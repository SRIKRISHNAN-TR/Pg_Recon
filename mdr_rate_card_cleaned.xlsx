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RIKRISHNAN_TR_PGRecon\"/>
    </mc:Choice>
  </mc:AlternateContent>
  <xr:revisionPtr revIDLastSave="0" documentId="13_ncr:1_{63F85DB2-A4F0-4B83-A075-E9D8FD9917CE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mdr_rate" sheetId="4" r:id="rId1"/>
    <sheet name="mdr_rate_cleaned" sheetId="2" r:id="rId2"/>
    <sheet name="mdr_tes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I10" i="2"/>
  <c r="H10" i="2"/>
  <c r="G10" i="2"/>
  <c r="F10" i="2"/>
  <c r="I9" i="2"/>
  <c r="H9" i="2"/>
  <c r="G9" i="2"/>
  <c r="F9" i="2"/>
  <c r="I8" i="2"/>
  <c r="H8" i="2"/>
  <c r="G8" i="2"/>
  <c r="F8" i="2"/>
  <c r="I7" i="2"/>
  <c r="H7" i="2"/>
  <c r="G7" i="2"/>
  <c r="F7" i="2"/>
  <c r="I6" i="2"/>
  <c r="H6" i="2"/>
  <c r="G6" i="2"/>
  <c r="F6" i="2"/>
  <c r="I5" i="2"/>
  <c r="H5" i="2"/>
  <c r="G5" i="2"/>
  <c r="F5" i="2"/>
  <c r="I4" i="2"/>
  <c r="H4" i="2"/>
  <c r="G4" i="2"/>
  <c r="F4" i="2"/>
  <c r="I3" i="2"/>
  <c r="H3" i="2"/>
  <c r="G3" i="2"/>
  <c r="F3" i="2"/>
  <c r="I2" i="2"/>
  <c r="H2" i="2"/>
  <c r="G2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1346" i="1" l="1"/>
  <c r="F4678" i="1"/>
  <c r="F1382" i="1"/>
  <c r="F1602" i="1"/>
  <c r="F4051" i="1"/>
  <c r="F1542" i="1"/>
  <c r="F155" i="1"/>
  <c r="F1203" i="1"/>
  <c r="F3735" i="1"/>
  <c r="F324" i="1"/>
  <c r="F374" i="1"/>
  <c r="F1241" i="1"/>
  <c r="F111" i="1"/>
  <c r="F2492" i="1"/>
  <c r="F3803" i="1"/>
  <c r="F5435" i="1"/>
  <c r="F5071" i="1"/>
  <c r="F5192" i="1"/>
  <c r="F5283" i="1"/>
  <c r="F855" i="1"/>
  <c r="F4320" i="1"/>
  <c r="F825" i="1"/>
  <c r="F1931" i="1"/>
  <c r="F4532" i="1"/>
  <c r="F5406" i="1"/>
  <c r="J2" i="1" l="1"/>
  <c r="H2" i="1"/>
  <c r="I2" i="1" s="1"/>
</calcChain>
</file>

<file path=xl/sharedStrings.xml><?xml version="1.0" encoding="utf-8"?>
<sst xmlns="http://schemas.openxmlformats.org/spreadsheetml/2006/main" count="22038" uniqueCount="5524">
  <si>
    <t>pg_txn_id</t>
  </si>
  <si>
    <t>payment_method</t>
  </si>
  <si>
    <t>gross_amount</t>
  </si>
  <si>
    <t>mdr_fee</t>
  </si>
  <si>
    <t>gst_fee</t>
  </si>
  <si>
    <t>slabs_matched</t>
  </si>
  <si>
    <t>mdr_rate</t>
  </si>
  <si>
    <t>expected_mdr</t>
  </si>
  <si>
    <t>mdr_status</t>
  </si>
  <si>
    <t>gst_status</t>
  </si>
  <si>
    <t>expected_gst</t>
  </si>
  <si>
    <t>fee_overcharge</t>
  </si>
  <si>
    <t>pay_420000065</t>
  </si>
  <si>
    <t>Wallet</t>
  </si>
  <si>
    <t>Differs</t>
  </si>
  <si>
    <t>Match</t>
  </si>
  <si>
    <t>pay_420000121</t>
  </si>
  <si>
    <t>Card</t>
  </si>
  <si>
    <t>pay_420000170</t>
  </si>
  <si>
    <t>pay_420000229</t>
  </si>
  <si>
    <t>pay_420000236</t>
  </si>
  <si>
    <t>UPI</t>
  </si>
  <si>
    <t>pay_420000249</t>
  </si>
  <si>
    <t>pay_420000316</t>
  </si>
  <si>
    <t>pay_420000355</t>
  </si>
  <si>
    <t>pay_420000357</t>
  </si>
  <si>
    <t>pay_420000392</t>
  </si>
  <si>
    <t>pay_420000449</t>
  </si>
  <si>
    <t>pay_420000460</t>
  </si>
  <si>
    <t>pay_420000471</t>
  </si>
  <si>
    <t>pay_420000489</t>
  </si>
  <si>
    <t>pay_420000525</t>
  </si>
  <si>
    <t>pay_420000584</t>
  </si>
  <si>
    <t>pay_420000597</t>
  </si>
  <si>
    <t>pay_420000636</t>
  </si>
  <si>
    <t>pay_420000644</t>
  </si>
  <si>
    <t>pay_420000659</t>
  </si>
  <si>
    <t>pay_420000691</t>
  </si>
  <si>
    <t>pay_420000728</t>
  </si>
  <si>
    <t>NetBanking</t>
  </si>
  <si>
    <t>pay_420000774</t>
  </si>
  <si>
    <t>pay_420000775</t>
  </si>
  <si>
    <t>pay_420000884</t>
  </si>
  <si>
    <t>pay_420001020</t>
  </si>
  <si>
    <t>pay_420001091</t>
  </si>
  <si>
    <t>pay_420001207</t>
  </si>
  <si>
    <t>pay_420001249</t>
  </si>
  <si>
    <t>pay_420001252</t>
  </si>
  <si>
    <t>pay_420001351</t>
  </si>
  <si>
    <t>pay_420001364</t>
  </si>
  <si>
    <t>pay_420001385</t>
  </si>
  <si>
    <t>pay_420001543</t>
  </si>
  <si>
    <t>pay_420001555</t>
  </si>
  <si>
    <t>pay_420001707</t>
  </si>
  <si>
    <t>pay_420001729</t>
  </si>
  <si>
    <t>pay_420001791</t>
  </si>
  <si>
    <t>pay_420001817</t>
  </si>
  <si>
    <t>pay_420001888</t>
  </si>
  <si>
    <t>pay_420001905</t>
  </si>
  <si>
    <t>pay_420001921</t>
  </si>
  <si>
    <t>pay_420001962</t>
  </si>
  <si>
    <t>pay_420001968</t>
  </si>
  <si>
    <t>pay_420001995</t>
  </si>
  <si>
    <t>pay_420002054</t>
  </si>
  <si>
    <t>pay_420002196</t>
  </si>
  <si>
    <t>pay_420002219</t>
  </si>
  <si>
    <t>pay_420002224</t>
  </si>
  <si>
    <t>pay_420002249</t>
  </si>
  <si>
    <t>pay_420002385</t>
  </si>
  <si>
    <t>pay_420002425</t>
  </si>
  <si>
    <t>pay_420002486</t>
  </si>
  <si>
    <t>pay_420002520</t>
  </si>
  <si>
    <t>pay_420002533</t>
  </si>
  <si>
    <t>pay_420002535</t>
  </si>
  <si>
    <t>pay_420002554</t>
  </si>
  <si>
    <t>pay_420002588</t>
  </si>
  <si>
    <t>pay_420002598</t>
  </si>
  <si>
    <t>pay_420002626</t>
  </si>
  <si>
    <t>pay_420002691</t>
  </si>
  <si>
    <t>pay_420002708</t>
  </si>
  <si>
    <t>pay_420002719</t>
  </si>
  <si>
    <t>pay_420002740</t>
  </si>
  <si>
    <t>pay_420002748</t>
  </si>
  <si>
    <t>pay_420002797</t>
  </si>
  <si>
    <t>pay_420002811</t>
  </si>
  <si>
    <t>pay_420002851</t>
  </si>
  <si>
    <t>pay_420002862</t>
  </si>
  <si>
    <t>pay_420002886</t>
  </si>
  <si>
    <t>pay_420002905</t>
  </si>
  <si>
    <t>pay_420002930</t>
  </si>
  <si>
    <t>pay_420002938</t>
  </si>
  <si>
    <t>pay_420003103</t>
  </si>
  <si>
    <t>pay_420003120</t>
  </si>
  <si>
    <t>pay_420003126</t>
  </si>
  <si>
    <t>pay_420003202</t>
  </si>
  <si>
    <t>pay_420003211</t>
  </si>
  <si>
    <t>pay_420003216</t>
  </si>
  <si>
    <t>pay_420003327</t>
  </si>
  <si>
    <t>pay_420003347</t>
  </si>
  <si>
    <t>pay_420003365</t>
  </si>
  <si>
    <t>pay_420003419</t>
  </si>
  <si>
    <t>pay_420003424</t>
  </si>
  <si>
    <t>pay_420003471</t>
  </si>
  <si>
    <t>pay_420003588</t>
  </si>
  <si>
    <t>pay_420003758</t>
  </si>
  <si>
    <t>pay_420003792</t>
  </si>
  <si>
    <t>pay_420003819</t>
  </si>
  <si>
    <t>pay_420003852</t>
  </si>
  <si>
    <t>pay_420003895</t>
  </si>
  <si>
    <t>pay_420003999</t>
  </si>
  <si>
    <t>pay_420004053</t>
  </si>
  <si>
    <t>pay_420004070</t>
  </si>
  <si>
    <t>pay_420004072</t>
  </si>
  <si>
    <t>pay_420004086</t>
  </si>
  <si>
    <t>pay_420004101</t>
  </si>
  <si>
    <t>pay_420004190</t>
  </si>
  <si>
    <t>pay_420004252</t>
  </si>
  <si>
    <t>pay_420004272</t>
  </si>
  <si>
    <t>pay_420004486</t>
  </si>
  <si>
    <t>pay_420004555</t>
  </si>
  <si>
    <t>pay_420004563</t>
  </si>
  <si>
    <t>pay_420004565</t>
  </si>
  <si>
    <t>pay_420004574</t>
  </si>
  <si>
    <t>pay_420004637</t>
  </si>
  <si>
    <t>pay_420004777</t>
  </si>
  <si>
    <t>pay_420004896</t>
  </si>
  <si>
    <t>pay_420004926</t>
  </si>
  <si>
    <t>pay_420004934</t>
  </si>
  <si>
    <t>pay_420005006</t>
  </si>
  <si>
    <t>pay_420005015</t>
  </si>
  <si>
    <t>pay_420005055</t>
  </si>
  <si>
    <t>pay_420005093</t>
  </si>
  <si>
    <t>pay_420005094</t>
  </si>
  <si>
    <t>pay_420005144</t>
  </si>
  <si>
    <t>pay_420005269</t>
  </si>
  <si>
    <t>pay_420005288</t>
  </si>
  <si>
    <t>pay_420005306</t>
  </si>
  <si>
    <t>pay_420005309</t>
  </si>
  <si>
    <t>pay_420005343</t>
  </si>
  <si>
    <t>pay_420005418</t>
  </si>
  <si>
    <t>pay_420005424</t>
  </si>
  <si>
    <t>pay_420005464</t>
  </si>
  <si>
    <t>pay_420005484</t>
  </si>
  <si>
    <t>pay_420005568</t>
  </si>
  <si>
    <t>pay_420005609</t>
  </si>
  <si>
    <t>pay_420005694</t>
  </si>
  <si>
    <t>pay_420005740</t>
  </si>
  <si>
    <t>pay_420000034</t>
  </si>
  <si>
    <t>pay_420000054</t>
  </si>
  <si>
    <t>pay_420000064</t>
  </si>
  <si>
    <t>pay_420000082</t>
  </si>
  <si>
    <t>pay_420000086</t>
  </si>
  <si>
    <t>pay_420000107</t>
  </si>
  <si>
    <t>pay_420000109</t>
  </si>
  <si>
    <t>pay_420000117</t>
  </si>
  <si>
    <t>pay_420000142</t>
  </si>
  <si>
    <t>pay_420000173</t>
  </si>
  <si>
    <t>pay_420000187</t>
  </si>
  <si>
    <t>pay_420000230</t>
  </si>
  <si>
    <t>pay_420000233</t>
  </si>
  <si>
    <t>pay_420000293</t>
  </si>
  <si>
    <t>pay_420000411</t>
  </si>
  <si>
    <t>pay_420000433</t>
  </si>
  <si>
    <t>pay_420000461</t>
  </si>
  <si>
    <t>pay_420000476</t>
  </si>
  <si>
    <t>pay_420000500</t>
  </si>
  <si>
    <t>pay_420000531</t>
  </si>
  <si>
    <t>pay_420000550</t>
  </si>
  <si>
    <t>pay_420000585</t>
  </si>
  <si>
    <t>pay_420000589</t>
  </si>
  <si>
    <t>pay_420000615</t>
  </si>
  <si>
    <t>pay_420000624</t>
  </si>
  <si>
    <t>pay_420000625</t>
  </si>
  <si>
    <t>pay_420000670</t>
  </si>
  <si>
    <t>pay_420000700</t>
  </si>
  <si>
    <t>pay_420000724</t>
  </si>
  <si>
    <t>pay_420000729</t>
  </si>
  <si>
    <t>pay_420000760</t>
  </si>
  <si>
    <t>pay_420000782</t>
  </si>
  <si>
    <t>pay_420000783</t>
  </si>
  <si>
    <t>pay_420000845</t>
  </si>
  <si>
    <t>pay_420000864</t>
  </si>
  <si>
    <t>pay_420000865</t>
  </si>
  <si>
    <t>pay_420000929</t>
  </si>
  <si>
    <t>pay_420000931</t>
  </si>
  <si>
    <t>pay_420000960</t>
  </si>
  <si>
    <t>pay_420000968</t>
  </si>
  <si>
    <t>pay_420001107</t>
  </si>
  <si>
    <t>pay_420001111</t>
  </si>
  <si>
    <t>pay_420001121</t>
  </si>
  <si>
    <t>pay_420001158</t>
  </si>
  <si>
    <t>pay_420001170</t>
  </si>
  <si>
    <t>pay_420001206</t>
  </si>
  <si>
    <t>pay_420001219</t>
  </si>
  <si>
    <t>pay_420001232</t>
  </si>
  <si>
    <t>pay_420001250</t>
  </si>
  <si>
    <t>pay_420001266</t>
  </si>
  <si>
    <t>pay_420001294</t>
  </si>
  <si>
    <t>pay_420001301</t>
  </si>
  <si>
    <t>pay_420001338</t>
  </si>
  <si>
    <t>pay_420001356</t>
  </si>
  <si>
    <t>pay_420001362</t>
  </si>
  <si>
    <t>pay_420001415</t>
  </si>
  <si>
    <t>pay_420001477</t>
  </si>
  <si>
    <t>pay_420001502</t>
  </si>
  <si>
    <t>pay_420001582</t>
  </si>
  <si>
    <t>pay_420001655</t>
  </si>
  <si>
    <t>pay_420001662</t>
  </si>
  <si>
    <t>pay_420001718</t>
  </si>
  <si>
    <t>pay_420001760</t>
  </si>
  <si>
    <t>pay_420001827</t>
  </si>
  <si>
    <t>pay_420001929</t>
  </si>
  <si>
    <t>pay_420001935</t>
  </si>
  <si>
    <t>pay_420001956</t>
  </si>
  <si>
    <t>pay_420001964</t>
  </si>
  <si>
    <t>pay_420001992</t>
  </si>
  <si>
    <t>pay_420002013</t>
  </si>
  <si>
    <t>pay_420002083</t>
  </si>
  <si>
    <t>pay_420002091</t>
  </si>
  <si>
    <t>pay_420002096</t>
  </si>
  <si>
    <t>pay_420002120</t>
  </si>
  <si>
    <t>pay_420002142</t>
  </si>
  <si>
    <t>pay_420002182</t>
  </si>
  <si>
    <t>pay_420002220</t>
  </si>
  <si>
    <t>pay_420002242</t>
  </si>
  <si>
    <t>pay_420002265</t>
  </si>
  <si>
    <t>pay_420002286</t>
  </si>
  <si>
    <t>pay_420002329</t>
  </si>
  <si>
    <t>pay_420002338</t>
  </si>
  <si>
    <t>pay_420002388</t>
  </si>
  <si>
    <t>pay_420002408</t>
  </si>
  <si>
    <t>pay_420002450</t>
  </si>
  <si>
    <t>pay_420002453</t>
  </si>
  <si>
    <t>pay_420002457</t>
  </si>
  <si>
    <t>pay_420002527</t>
  </si>
  <si>
    <t>pay_420002530</t>
  </si>
  <si>
    <t>pay_420002565</t>
  </si>
  <si>
    <t>pay_420002634</t>
  </si>
  <si>
    <t>pay_420002655</t>
  </si>
  <si>
    <t>pay_420002663</t>
  </si>
  <si>
    <t>pay_420002677</t>
  </si>
  <si>
    <t>pay_420002711</t>
  </si>
  <si>
    <t>pay_420002734</t>
  </si>
  <si>
    <t>pay_420002742</t>
  </si>
  <si>
    <t>pay_420002756</t>
  </si>
  <si>
    <t>pay_420002763</t>
  </si>
  <si>
    <t>pay_420002786</t>
  </si>
  <si>
    <t>pay_420002791</t>
  </si>
  <si>
    <t>pay_420002814</t>
  </si>
  <si>
    <t>pay_420002820</t>
  </si>
  <si>
    <t>pay_420002838</t>
  </si>
  <si>
    <t>pay_420002860</t>
  </si>
  <si>
    <t>pay_420002937</t>
  </si>
  <si>
    <t>pay_420002995</t>
  </si>
  <si>
    <t>pay_420003008</t>
  </si>
  <si>
    <t>pay_420003055</t>
  </si>
  <si>
    <t>pay_420003075</t>
  </si>
  <si>
    <t>pay_420003111</t>
  </si>
  <si>
    <t>pay_420003116</t>
  </si>
  <si>
    <t>pay_420003164</t>
  </si>
  <si>
    <t>pay_420003215</t>
  </si>
  <si>
    <t>pay_420003219</t>
  </si>
  <si>
    <t>pay_420003233</t>
  </si>
  <si>
    <t>pay_420003242</t>
  </si>
  <si>
    <t>pay_420003266</t>
  </si>
  <si>
    <t>pay_420003296</t>
  </si>
  <si>
    <t>pay_420003334</t>
  </si>
  <si>
    <t>pay_420003359</t>
  </si>
  <si>
    <t>pay_420003366</t>
  </si>
  <si>
    <t>pay_420003379</t>
  </si>
  <si>
    <t>pay_420003397</t>
  </si>
  <si>
    <t>pay_420003530</t>
  </si>
  <si>
    <t>pay_420003531</t>
  </si>
  <si>
    <t>pay_420003532</t>
  </si>
  <si>
    <t>pay_420003534</t>
  </si>
  <si>
    <t>pay_420003536</t>
  </si>
  <si>
    <t>pay_420003544</t>
  </si>
  <si>
    <t>pay_420003553</t>
  </si>
  <si>
    <t>pay_420003561</t>
  </si>
  <si>
    <t>pay_420003570</t>
  </si>
  <si>
    <t>pay_420003587</t>
  </si>
  <si>
    <t>pay_420003592</t>
  </si>
  <si>
    <t>pay_420003595</t>
  </si>
  <si>
    <t>pay_420003614</t>
  </si>
  <si>
    <t>pay_420003618</t>
  </si>
  <si>
    <t>pay_420003636</t>
  </si>
  <si>
    <t>pay_420003683</t>
  </si>
  <si>
    <t>pay_420003740</t>
  </si>
  <si>
    <t>pay_420003755</t>
  </si>
  <si>
    <t>pay_420003822</t>
  </si>
  <si>
    <t>pay_420003872</t>
  </si>
  <si>
    <t>pay_420003935</t>
  </si>
  <si>
    <t>pay_420003978</t>
  </si>
  <si>
    <t>pay_420004010</t>
  </si>
  <si>
    <t>pay_420004054</t>
  </si>
  <si>
    <t>pay_420004075</t>
  </si>
  <si>
    <t>pay_420004079</t>
  </si>
  <si>
    <t>pay_420004103</t>
  </si>
  <si>
    <t>pay_420004157</t>
  </si>
  <si>
    <t>pay_420004173</t>
  </si>
  <si>
    <t>pay_420004202</t>
  </si>
  <si>
    <t>pay_420004267</t>
  </si>
  <si>
    <t>pay_420004271</t>
  </si>
  <si>
    <t>pay_420004337</t>
  </si>
  <si>
    <t>pay_420004345</t>
  </si>
  <si>
    <t>pay_420004373</t>
  </si>
  <si>
    <t>pay_420004377</t>
  </si>
  <si>
    <t>pay_420004421</t>
  </si>
  <si>
    <t>pay_420004511</t>
  </si>
  <si>
    <t>pay_420004537</t>
  </si>
  <si>
    <t>pay_420004559</t>
  </si>
  <si>
    <t>pay_420004569</t>
  </si>
  <si>
    <t>pay_420004599</t>
  </si>
  <si>
    <t>pay_420004610</t>
  </si>
  <si>
    <t>pay_420004636</t>
  </si>
  <si>
    <t>pay_420004666</t>
  </si>
  <si>
    <t>pay_420004679</t>
  </si>
  <si>
    <t>pay_420004710</t>
  </si>
  <si>
    <t>pay_420004715</t>
  </si>
  <si>
    <t>pay_420004745</t>
  </si>
  <si>
    <t>pay_420004750</t>
  </si>
  <si>
    <t>pay_420004884</t>
  </si>
  <si>
    <t>pay_420004887</t>
  </si>
  <si>
    <t>pay_420004903</t>
  </si>
  <si>
    <t>pay_420004960</t>
  </si>
  <si>
    <t>pay_420004979</t>
  </si>
  <si>
    <t>pay_420005029</t>
  </si>
  <si>
    <t>pay_420005124</t>
  </si>
  <si>
    <t>pay_420005280</t>
  </si>
  <si>
    <t>pay_420005287</t>
  </si>
  <si>
    <t>pay_420005300</t>
  </si>
  <si>
    <t>pay_420005311</t>
  </si>
  <si>
    <t>pay_420005317</t>
  </si>
  <si>
    <t>pay_420005319</t>
  </si>
  <si>
    <t>pay_420005340</t>
  </si>
  <si>
    <t>pay_420005384</t>
  </si>
  <si>
    <t>pay_420005389</t>
  </si>
  <si>
    <t>pay_420005427</t>
  </si>
  <si>
    <t>pay_420005448</t>
  </si>
  <si>
    <t>pay_420005479</t>
  </si>
  <si>
    <t>pay_420005490</t>
  </si>
  <si>
    <t>pay_420005529</t>
  </si>
  <si>
    <t>pay_420005572</t>
  </si>
  <si>
    <t>pay_420005578</t>
  </si>
  <si>
    <t>pay_420005600</t>
  </si>
  <si>
    <t>pay_420005677</t>
  </si>
  <si>
    <t>pay_420000041</t>
  </si>
  <si>
    <t>pay_420000078</t>
  </si>
  <si>
    <t>pay_420000101</t>
  </si>
  <si>
    <t>pay_420000111</t>
  </si>
  <si>
    <t>pay_420000115</t>
  </si>
  <si>
    <t>pay_420000228</t>
  </si>
  <si>
    <t>pay_420000250</t>
  </si>
  <si>
    <t>pay_420000268</t>
  </si>
  <si>
    <t>pay_420000281</t>
  </si>
  <si>
    <t>pay_420000315</t>
  </si>
  <si>
    <t>pay_420000430</t>
  </si>
  <si>
    <t>pay_420000437</t>
  </si>
  <si>
    <t>pay_420000464</t>
  </si>
  <si>
    <t>pay_420000470</t>
  </si>
  <si>
    <t>pay_420000482</t>
  </si>
  <si>
    <t>pay_420000512</t>
  </si>
  <si>
    <t>pay_420000513</t>
  </si>
  <si>
    <t>pay_420000592</t>
  </si>
  <si>
    <t>pay_420000647</t>
  </si>
  <si>
    <t>pay_420000735</t>
  </si>
  <si>
    <t>pay_420000740</t>
  </si>
  <si>
    <t>pay_420000823</t>
  </si>
  <si>
    <t>pay_420000825</t>
  </si>
  <si>
    <t>pay_420000826</t>
  </si>
  <si>
    <t>pay_420000840</t>
  </si>
  <si>
    <t>pay_420000867</t>
  </si>
  <si>
    <t>pay_420000870</t>
  </si>
  <si>
    <t>pay_420000930</t>
  </si>
  <si>
    <t>pay_420000951</t>
  </si>
  <si>
    <t>pay_420001000</t>
  </si>
  <si>
    <t>pay_420001010</t>
  </si>
  <si>
    <t>pay_420001106</t>
  </si>
  <si>
    <t>pay_420001138</t>
  </si>
  <si>
    <t>pay_420001195</t>
  </si>
  <si>
    <t>pay_420001197</t>
  </si>
  <si>
    <t>pay_420001209</t>
  </si>
  <si>
    <t>pay_420001230</t>
  </si>
  <si>
    <t>pay_420001231</t>
  </si>
  <si>
    <t>pay_420001259</t>
  </si>
  <si>
    <t>pay_420001307</t>
  </si>
  <si>
    <t>pay_420001312</t>
  </si>
  <si>
    <t>pay_420001320</t>
  </si>
  <si>
    <t>pay_420001360</t>
  </si>
  <si>
    <t>pay_420001371</t>
  </si>
  <si>
    <t>pay_420001384</t>
  </si>
  <si>
    <t>pay_420001393</t>
  </si>
  <si>
    <t>pay_420001394</t>
  </si>
  <si>
    <t>pay_420001409</t>
  </si>
  <si>
    <t>pay_420001488</t>
  </si>
  <si>
    <t>pay_420001499</t>
  </si>
  <si>
    <t>pay_420001520</t>
  </si>
  <si>
    <t>pay_420001534</t>
  </si>
  <si>
    <t>pay_420001571</t>
  </si>
  <si>
    <t>pay_420001591</t>
  </si>
  <si>
    <t>pay_420001628</t>
  </si>
  <si>
    <t>pay_420001629</t>
  </si>
  <si>
    <t>pay_420001646</t>
  </si>
  <si>
    <t>pay_420001659</t>
  </si>
  <si>
    <t>pay_420001677</t>
  </si>
  <si>
    <t>pay_420001690</t>
  </si>
  <si>
    <t>pay_420001714</t>
  </si>
  <si>
    <t>pay_420001734</t>
  </si>
  <si>
    <t>pay_420001764</t>
  </si>
  <si>
    <t>pay_420001813</t>
  </si>
  <si>
    <t>pay_420001814</t>
  </si>
  <si>
    <t>pay_420001829</t>
  </si>
  <si>
    <t>pay_420001943</t>
  </si>
  <si>
    <t>pay_420001970</t>
  </si>
  <si>
    <t>pay_420001986</t>
  </si>
  <si>
    <t>pay_420002003</t>
  </si>
  <si>
    <t>pay_420002062</t>
  </si>
  <si>
    <t>pay_420002123</t>
  </si>
  <si>
    <t>pay_420002166</t>
  </si>
  <si>
    <t>pay_420002173</t>
  </si>
  <si>
    <t>pay_420002181</t>
  </si>
  <si>
    <t>pay_420002193</t>
  </si>
  <si>
    <t>pay_420002198</t>
  </si>
  <si>
    <t>pay_420002225</t>
  </si>
  <si>
    <t>pay_420002303</t>
  </si>
  <si>
    <t>pay_420002304</t>
  </si>
  <si>
    <t>pay_420002378</t>
  </si>
  <si>
    <t>pay_420002384</t>
  </si>
  <si>
    <t>pay_420002427</t>
  </si>
  <si>
    <t>pay_420002437</t>
  </si>
  <si>
    <t>pay_420002446</t>
  </si>
  <si>
    <t>pay_420002449</t>
  </si>
  <si>
    <t>pay_420002451</t>
  </si>
  <si>
    <t>pay_420002452</t>
  </si>
  <si>
    <t>pay_420002484</t>
  </si>
  <si>
    <t>pay_420002498</t>
  </si>
  <si>
    <t>pay_420002594</t>
  </si>
  <si>
    <t>pay_420002619</t>
  </si>
  <si>
    <t>pay_420002653</t>
  </si>
  <si>
    <t>pay_420002783</t>
  </si>
  <si>
    <t>pay_420002852</t>
  </si>
  <si>
    <t>pay_420002899</t>
  </si>
  <si>
    <t>pay_420002915</t>
  </si>
  <si>
    <t>pay_420002923</t>
  </si>
  <si>
    <t>pay_420002966</t>
  </si>
  <si>
    <t>pay_420002967</t>
  </si>
  <si>
    <t>pay_420002974</t>
  </si>
  <si>
    <t>pay_420002987</t>
  </si>
  <si>
    <t>pay_420002989</t>
  </si>
  <si>
    <t>pay_420003011</t>
  </si>
  <si>
    <t>pay_420003061</t>
  </si>
  <si>
    <t>pay_420003182</t>
  </si>
  <si>
    <t>pay_420003200</t>
  </si>
  <si>
    <t>pay_420003218</t>
  </si>
  <si>
    <t>pay_420003253</t>
  </si>
  <si>
    <t>pay_420003258</t>
  </si>
  <si>
    <t>pay_420003292</t>
  </si>
  <si>
    <t>pay_420003319</t>
  </si>
  <si>
    <t>pay_420003322</t>
  </si>
  <si>
    <t>pay_420003433</t>
  </si>
  <si>
    <t>pay_420003435</t>
  </si>
  <si>
    <t>pay_420003452</t>
  </si>
  <si>
    <t>pay_420003495</t>
  </si>
  <si>
    <t>pay_420003521</t>
  </si>
  <si>
    <t>pay_420003529</t>
  </si>
  <si>
    <t>pay_420003537</t>
  </si>
  <si>
    <t>pay_420003538</t>
  </si>
  <si>
    <t>pay_420003573</t>
  </si>
  <si>
    <t>pay_420003575</t>
  </si>
  <si>
    <t>pay_420003579</t>
  </si>
  <si>
    <t>pay_420003609</t>
  </si>
  <si>
    <t>pay_420003620</t>
  </si>
  <si>
    <t>pay_420003643</t>
  </si>
  <si>
    <t>pay_420003684</t>
  </si>
  <si>
    <t>pay_420003736</t>
  </si>
  <si>
    <t>pay_420003743</t>
  </si>
  <si>
    <t>pay_420003746</t>
  </si>
  <si>
    <t>pay_420003751</t>
  </si>
  <si>
    <t>pay_420003802</t>
  </si>
  <si>
    <t>pay_420003894</t>
  </si>
  <si>
    <t>pay_420003903</t>
  </si>
  <si>
    <t>pay_420003929</t>
  </si>
  <si>
    <t>pay_420003982</t>
  </si>
  <si>
    <t>pay_420003990</t>
  </si>
  <si>
    <t>pay_420004002</t>
  </si>
  <si>
    <t>pay_420004021</t>
  </si>
  <si>
    <t>pay_420004117</t>
  </si>
  <si>
    <t>pay_420004122</t>
  </si>
  <si>
    <t>pay_420004177</t>
  </si>
  <si>
    <t>pay_420004204</t>
  </si>
  <si>
    <t>pay_420004205</t>
  </si>
  <si>
    <t>pay_420004220</t>
  </si>
  <si>
    <t>pay_420004242</t>
  </si>
  <si>
    <t>pay_420004246</t>
  </si>
  <si>
    <t>pay_420004289</t>
  </si>
  <si>
    <t>pay_420004291</t>
  </si>
  <si>
    <t>pay_420004297</t>
  </si>
  <si>
    <t>pay_420004398</t>
  </si>
  <si>
    <t>pay_420004452</t>
  </si>
  <si>
    <t>pay_420004492</t>
  </si>
  <si>
    <t>pay_420004494</t>
  </si>
  <si>
    <t>pay_420004500</t>
  </si>
  <si>
    <t>pay_420004541</t>
  </si>
  <si>
    <t>pay_420004552</t>
  </si>
  <si>
    <t>pay_420004602</t>
  </si>
  <si>
    <t>pay_420004657</t>
  </si>
  <si>
    <t>pay_420004688</t>
  </si>
  <si>
    <t>pay_420004700</t>
  </si>
  <si>
    <t>pay_420004733</t>
  </si>
  <si>
    <t>pay_420004743</t>
  </si>
  <si>
    <t>pay_420004749</t>
  </si>
  <si>
    <t>pay_420004783</t>
  </si>
  <si>
    <t>pay_420004850</t>
  </si>
  <si>
    <t>pay_420004866</t>
  </si>
  <si>
    <t>pay_420004966</t>
  </si>
  <si>
    <t>pay_420005013</t>
  </si>
  <si>
    <t>pay_420005024</t>
  </si>
  <si>
    <t>pay_420005077</t>
  </si>
  <si>
    <t>pay_420005127</t>
  </si>
  <si>
    <t>pay_420005214</t>
  </si>
  <si>
    <t>pay_420005230</t>
  </si>
  <si>
    <t>pay_420005254</t>
  </si>
  <si>
    <t>pay_420005257</t>
  </si>
  <si>
    <t>pay_420005259</t>
  </si>
  <si>
    <t>pay_420005260</t>
  </si>
  <si>
    <t>pay_420005358</t>
  </si>
  <si>
    <t>pay_420005463</t>
  </si>
  <si>
    <t>pay_420005476</t>
  </si>
  <si>
    <t>pay_420005516</t>
  </si>
  <si>
    <t>pay_420005585</t>
  </si>
  <si>
    <t>pay_420005612</t>
  </si>
  <si>
    <t>pay_420005637</t>
  </si>
  <si>
    <t>pay_420005678</t>
  </si>
  <si>
    <t>pay_420005699</t>
  </si>
  <si>
    <t>pay_420000042</t>
  </si>
  <si>
    <t>pay_420000048</t>
  </si>
  <si>
    <t>pay_420000091</t>
  </si>
  <si>
    <t>pay_420000104</t>
  </si>
  <si>
    <t>pay_420000108</t>
  </si>
  <si>
    <t>pay_420000110</t>
  </si>
  <si>
    <t>pay_420000150</t>
  </si>
  <si>
    <t>pay_420000189</t>
  </si>
  <si>
    <t>pay_420000207</t>
  </si>
  <si>
    <t>pay_420000253</t>
  </si>
  <si>
    <t>pay_420000284</t>
  </si>
  <si>
    <t>pay_420000304</t>
  </si>
  <si>
    <t>pay_420000324</t>
  </si>
  <si>
    <t>pay_420000333</t>
  </si>
  <si>
    <t>pay_420000372</t>
  </si>
  <si>
    <t>pay_420000445</t>
  </si>
  <si>
    <t>pay_420000472</t>
  </si>
  <si>
    <t>pay_420000508</t>
  </si>
  <si>
    <t>pay_420000593</t>
  </si>
  <si>
    <t>pay_420000639</t>
  </si>
  <si>
    <t>pay_420000668</t>
  </si>
  <si>
    <t>pay_420000741</t>
  </si>
  <si>
    <t>pay_420000746</t>
  </si>
  <si>
    <t>pay_420000747</t>
  </si>
  <si>
    <t>pay_420000761</t>
  </si>
  <si>
    <t>pay_420000776</t>
  </si>
  <si>
    <t>pay_420000803</t>
  </si>
  <si>
    <t>pay_420000813</t>
  </si>
  <si>
    <t>pay_420000830</t>
  </si>
  <si>
    <t>pay_420000876</t>
  </si>
  <si>
    <t>pay_420000935</t>
  </si>
  <si>
    <t>pay_420000950</t>
  </si>
  <si>
    <t>pay_420001078</t>
  </si>
  <si>
    <t>pay_420001113</t>
  </si>
  <si>
    <t>pay_420001127</t>
  </si>
  <si>
    <t>pay_420001174</t>
  </si>
  <si>
    <t>pay_420001194</t>
  </si>
  <si>
    <t>pay_420001229</t>
  </si>
  <si>
    <t>pay_420001309</t>
  </si>
  <si>
    <t>pay_420001319</t>
  </si>
  <si>
    <t>pay_420001343</t>
  </si>
  <si>
    <t>pay_420001372</t>
  </si>
  <si>
    <t>pay_420001387</t>
  </si>
  <si>
    <t>pay_420001395</t>
  </si>
  <si>
    <t>pay_420001400</t>
  </si>
  <si>
    <t>pay_420001402</t>
  </si>
  <si>
    <t>pay_420001461</t>
  </si>
  <si>
    <t>pay_420001480</t>
  </si>
  <si>
    <t>pay_420001498</t>
  </si>
  <si>
    <t>pay_420001528</t>
  </si>
  <si>
    <t>pay_420001550</t>
  </si>
  <si>
    <t>pay_420001559</t>
  </si>
  <si>
    <t>pay_420001574</t>
  </si>
  <si>
    <t>pay_420001595</t>
  </si>
  <si>
    <t>pay_420001598</t>
  </si>
  <si>
    <t>pay_420001608</t>
  </si>
  <si>
    <t>pay_420001626</t>
  </si>
  <si>
    <t>pay_420001688</t>
  </si>
  <si>
    <t>pay_420001713</t>
  </si>
  <si>
    <t>pay_420001739</t>
  </si>
  <si>
    <t>pay_420001815</t>
  </si>
  <si>
    <t>pay_420001858</t>
  </si>
  <si>
    <t>pay_420001947</t>
  </si>
  <si>
    <t>pay_420002064</t>
  </si>
  <si>
    <t>pay_420002074</t>
  </si>
  <si>
    <t>pay_420002084</t>
  </si>
  <si>
    <t>pay_420002090</t>
  </si>
  <si>
    <t>pay_420002125</t>
  </si>
  <si>
    <t>pay_420002127</t>
  </si>
  <si>
    <t>pay_420002163</t>
  </si>
  <si>
    <t>pay_420002203</t>
  </si>
  <si>
    <t>pay_420002238</t>
  </si>
  <si>
    <t>pay_420002266</t>
  </si>
  <si>
    <t>pay_420002289</t>
  </si>
  <si>
    <t>pay_420002297</t>
  </si>
  <si>
    <t>pay_420002305</t>
  </si>
  <si>
    <t>pay_420002316</t>
  </si>
  <si>
    <t>pay_420002333</t>
  </si>
  <si>
    <t>pay_420002367</t>
  </si>
  <si>
    <t>pay_420002390</t>
  </si>
  <si>
    <t>pay_420002417</t>
  </si>
  <si>
    <t>pay_420002430</t>
  </si>
  <si>
    <t>pay_420002442</t>
  </si>
  <si>
    <t>pay_420002487</t>
  </si>
  <si>
    <t>pay_420002538</t>
  </si>
  <si>
    <t>pay_420002586</t>
  </si>
  <si>
    <t>pay_420002647</t>
  </si>
  <si>
    <t>pay_420002654</t>
  </si>
  <si>
    <t>pay_420002662</t>
  </si>
  <si>
    <t>pay_420002668</t>
  </si>
  <si>
    <t>pay_420002686</t>
  </si>
  <si>
    <t>pay_420002692</t>
  </si>
  <si>
    <t>pay_420002729</t>
  </si>
  <si>
    <t>pay_420002744</t>
  </si>
  <si>
    <t>pay_420002746</t>
  </si>
  <si>
    <t>pay_420002802</t>
  </si>
  <si>
    <t>pay_420002931</t>
  </si>
  <si>
    <t>pay_420002960</t>
  </si>
  <si>
    <t>pay_420002961</t>
  </si>
  <si>
    <t>pay_420003036</t>
  </si>
  <si>
    <t>pay_420003041</t>
  </si>
  <si>
    <t>pay_420003063</t>
  </si>
  <si>
    <t>pay_420003118</t>
  </si>
  <si>
    <t>pay_420003142</t>
  </si>
  <si>
    <t>pay_420003162</t>
  </si>
  <si>
    <t>pay_420003187</t>
  </si>
  <si>
    <t>pay_420003293</t>
  </si>
  <si>
    <t>pay_420003324</t>
  </si>
  <si>
    <t>pay_420003355</t>
  </si>
  <si>
    <t>pay_420003367</t>
  </si>
  <si>
    <t>pay_420003384</t>
  </si>
  <si>
    <t>pay_420003415</t>
  </si>
  <si>
    <t>pay_420003468</t>
  </si>
  <si>
    <t>pay_420003488</t>
  </si>
  <si>
    <t>pay_420003562</t>
  </si>
  <si>
    <t>pay_420003585</t>
  </si>
  <si>
    <t>pay_420003646</t>
  </si>
  <si>
    <t>pay_420003685</t>
  </si>
  <si>
    <t>pay_420003722</t>
  </si>
  <si>
    <t>pay_420003735</t>
  </si>
  <si>
    <t>pay_420003748</t>
  </si>
  <si>
    <t>pay_420003763</t>
  </si>
  <si>
    <t>pay_420003784</t>
  </si>
  <si>
    <t>pay_420003832</t>
  </si>
  <si>
    <t>pay_420003847</t>
  </si>
  <si>
    <t>pay_420003900</t>
  </si>
  <si>
    <t>pay_420003901</t>
  </si>
  <si>
    <t>pay_420003918</t>
  </si>
  <si>
    <t>pay_420003943</t>
  </si>
  <si>
    <t>pay_420003952</t>
  </si>
  <si>
    <t>pay_420003970</t>
  </si>
  <si>
    <t>pay_420004041</t>
  </si>
  <si>
    <t>pay_420004044</t>
  </si>
  <si>
    <t>pay_420004051</t>
  </si>
  <si>
    <t>pay_420004059</t>
  </si>
  <si>
    <t>pay_420004078</t>
  </si>
  <si>
    <t>pay_420004089</t>
  </si>
  <si>
    <t>pay_420004149</t>
  </si>
  <si>
    <t>pay_420004214</t>
  </si>
  <si>
    <t>pay_420004313</t>
  </si>
  <si>
    <t>pay_420004328</t>
  </si>
  <si>
    <t>pay_420004338</t>
  </si>
  <si>
    <t>pay_420004392</t>
  </si>
  <si>
    <t>pay_420004445</t>
  </si>
  <si>
    <t>pay_420004512</t>
  </si>
  <si>
    <t>pay_420004525</t>
  </si>
  <si>
    <t>pay_420004553</t>
  </si>
  <si>
    <t>pay_420004611</t>
  </si>
  <si>
    <t>pay_420004641</t>
  </si>
  <si>
    <t>pay_420004647</t>
  </si>
  <si>
    <t>pay_420004682</t>
  </si>
  <si>
    <t>pay_420004758</t>
  </si>
  <si>
    <t>pay_420004759</t>
  </si>
  <si>
    <t>pay_420004794</t>
  </si>
  <si>
    <t>pay_420004852</t>
  </si>
  <si>
    <t>pay_420004856</t>
  </si>
  <si>
    <t>pay_420004864</t>
  </si>
  <si>
    <t>pay_420004886</t>
  </si>
  <si>
    <t>pay_420004888</t>
  </si>
  <si>
    <t>pay_420004889</t>
  </si>
  <si>
    <t>pay_420004891</t>
  </si>
  <si>
    <t>pay_420004983</t>
  </si>
  <si>
    <t>pay_420004997</t>
  </si>
  <si>
    <t>pay_420005008</t>
  </si>
  <si>
    <t>pay_420005009</t>
  </si>
  <si>
    <t>pay_420005023</t>
  </si>
  <si>
    <t>pay_420005058</t>
  </si>
  <si>
    <t>pay_420005063</t>
  </si>
  <si>
    <t>pay_420005079</t>
  </si>
  <si>
    <t>pay_420005104</t>
  </si>
  <si>
    <t>pay_420005125</t>
  </si>
  <si>
    <t>pay_420005129</t>
  </si>
  <si>
    <t>pay_420005209</t>
  </si>
  <si>
    <t>pay_420005213</t>
  </si>
  <si>
    <t>pay_420005229</t>
  </si>
  <si>
    <t>pay_420005234</t>
  </si>
  <si>
    <t>pay_420005294</t>
  </si>
  <si>
    <t>pay_420005326</t>
  </si>
  <si>
    <t>pay_420005347</t>
  </si>
  <si>
    <t>pay_420005354</t>
  </si>
  <si>
    <t>pay_420005363</t>
  </si>
  <si>
    <t>pay_420005369</t>
  </si>
  <si>
    <t>pay_420005376</t>
  </si>
  <si>
    <t>pay_420005378</t>
  </si>
  <si>
    <t>pay_420005415</t>
  </si>
  <si>
    <t>pay_420005453</t>
  </si>
  <si>
    <t>pay_420005460</t>
  </si>
  <si>
    <t>pay_420005467</t>
  </si>
  <si>
    <t>pay_420005475</t>
  </si>
  <si>
    <t>pay_420005503</t>
  </si>
  <si>
    <t>pay_420005565</t>
  </si>
  <si>
    <t>pay_420005569</t>
  </si>
  <si>
    <t>pay_420005665</t>
  </si>
  <si>
    <t>pay_420005675</t>
  </si>
  <si>
    <t>pay_420005728</t>
  </si>
  <si>
    <t>pay_420005731</t>
  </si>
  <si>
    <t>pay_420000116</t>
  </si>
  <si>
    <t>pay_420000220</t>
  </si>
  <si>
    <t>pay_420000266</t>
  </si>
  <si>
    <t>pay_420000267</t>
  </si>
  <si>
    <t>pay_420000320</t>
  </si>
  <si>
    <t>pay_420000329</t>
  </si>
  <si>
    <t>pay_420000387</t>
  </si>
  <si>
    <t>pay_420000389</t>
  </si>
  <si>
    <t>pay_420000486</t>
  </si>
  <si>
    <t>pay_420000504</t>
  </si>
  <si>
    <t>pay_420000520</t>
  </si>
  <si>
    <t>pay_420000578</t>
  </si>
  <si>
    <t>pay_420000582</t>
  </si>
  <si>
    <t>pay_420000612</t>
  </si>
  <si>
    <t>pay_420000620</t>
  </si>
  <si>
    <t>pay_420000666</t>
  </si>
  <si>
    <t>pay_420000701</t>
  </si>
  <si>
    <t>pay_420000709</t>
  </si>
  <si>
    <t>pay_420000745</t>
  </si>
  <si>
    <t>pay_420000811</t>
  </si>
  <si>
    <t>pay_420000888</t>
  </si>
  <si>
    <t>pay_420000889</t>
  </si>
  <si>
    <t>pay_420000900</t>
  </si>
  <si>
    <t>pay_420000926</t>
  </si>
  <si>
    <t>pay_420000940</t>
  </si>
  <si>
    <t>pay_420000953</t>
  </si>
  <si>
    <t>pay_420000964</t>
  </si>
  <si>
    <t>pay_420000992</t>
  </si>
  <si>
    <t>pay_420001073</t>
  </si>
  <si>
    <t>pay_420001122</t>
  </si>
  <si>
    <t>pay_420001123</t>
  </si>
  <si>
    <t>pay_420001149</t>
  </si>
  <si>
    <t>pay_420001151</t>
  </si>
  <si>
    <t>pay_420001165</t>
  </si>
  <si>
    <t>pay_420001181</t>
  </si>
  <si>
    <t>pay_420001186</t>
  </si>
  <si>
    <t>pay_420001189</t>
  </si>
  <si>
    <t>pay_420001263</t>
  </si>
  <si>
    <t>pay_420001282</t>
  </si>
  <si>
    <t>pay_420001283</t>
  </si>
  <si>
    <t>pay_420001375</t>
  </si>
  <si>
    <t>pay_420001401</t>
  </si>
  <si>
    <t>pay_420001405</t>
  </si>
  <si>
    <t>pay_420001427</t>
  </si>
  <si>
    <t>pay_420001433</t>
  </si>
  <si>
    <t>pay_420001439</t>
  </si>
  <si>
    <t>pay_420001474</t>
  </si>
  <si>
    <t>pay_420001481</t>
  </si>
  <si>
    <t>pay_420001485</t>
  </si>
  <si>
    <t>pay_420001631</t>
  </si>
  <si>
    <t>pay_420001643</t>
  </si>
  <si>
    <t>pay_420001644</t>
  </si>
  <si>
    <t>pay_420001678</t>
  </si>
  <si>
    <t>pay_420001703</t>
  </si>
  <si>
    <t>pay_420001770</t>
  </si>
  <si>
    <t>pay_420001818</t>
  </si>
  <si>
    <t>pay_420001856</t>
  </si>
  <si>
    <t>pay_420001878</t>
  </si>
  <si>
    <t>pay_420001903</t>
  </si>
  <si>
    <t>pay_420001936</t>
  </si>
  <si>
    <t>pay_420002012</t>
  </si>
  <si>
    <t>pay_420002014</t>
  </si>
  <si>
    <t>pay_420002170</t>
  </si>
  <si>
    <t>pay_420002269</t>
  </si>
  <si>
    <t>pay_420002271</t>
  </si>
  <si>
    <t>pay_420002275</t>
  </si>
  <si>
    <t>pay_420002339</t>
  </si>
  <si>
    <t>pay_420002345</t>
  </si>
  <si>
    <t>pay_420002402</t>
  </si>
  <si>
    <t>pay_420002515</t>
  </si>
  <si>
    <t>pay_420002614</t>
  </si>
  <si>
    <t>pay_420002629</t>
  </si>
  <si>
    <t>pay_420002640</t>
  </si>
  <si>
    <t>pay_420002643</t>
  </si>
  <si>
    <t>pay_420002648</t>
  </si>
  <si>
    <t>pay_420002696</t>
  </si>
  <si>
    <t>pay_420002709</t>
  </si>
  <si>
    <t>pay_420002718</t>
  </si>
  <si>
    <t>pay_420002722</t>
  </si>
  <si>
    <t>pay_420002727</t>
  </si>
  <si>
    <t>pay_420002750</t>
  </si>
  <si>
    <t>pay_420002751</t>
  </si>
  <si>
    <t>pay_420002805</t>
  </si>
  <si>
    <t>pay_420002810</t>
  </si>
  <si>
    <t>pay_420002847</t>
  </si>
  <si>
    <t>pay_420002876</t>
  </si>
  <si>
    <t>pay_420002880</t>
  </si>
  <si>
    <t>pay_420002910</t>
  </si>
  <si>
    <t>pay_420002956</t>
  </si>
  <si>
    <t>pay_420003002</t>
  </si>
  <si>
    <t>pay_420003019</t>
  </si>
  <si>
    <t>pay_420003052</t>
  </si>
  <si>
    <t>pay_420003062</t>
  </si>
  <si>
    <t>pay_420003097</t>
  </si>
  <si>
    <t>pay_420003161</t>
  </si>
  <si>
    <t>pay_420003186</t>
  </si>
  <si>
    <t>pay_420003197</t>
  </si>
  <si>
    <t>pay_420003252</t>
  </si>
  <si>
    <t>pay_420003284</t>
  </si>
  <si>
    <t>pay_420003391</t>
  </si>
  <si>
    <t>pay_420003490</t>
  </si>
  <si>
    <t>pay_420003503</t>
  </si>
  <si>
    <t>pay_420003507</t>
  </si>
  <si>
    <t>pay_420003563</t>
  </si>
  <si>
    <t>pay_420003576</t>
  </si>
  <si>
    <t>pay_420003581</t>
  </si>
  <si>
    <t>pay_420003608</t>
  </si>
  <si>
    <t>pay_420003629</t>
  </si>
  <si>
    <t>pay_420003649</t>
  </si>
  <si>
    <t>pay_420003659</t>
  </si>
  <si>
    <t>pay_420003668</t>
  </si>
  <si>
    <t>pay_420003691</t>
  </si>
  <si>
    <t>pay_420003714</t>
  </si>
  <si>
    <t>pay_420003767</t>
  </si>
  <si>
    <t>pay_420003789</t>
  </si>
  <si>
    <t>pay_420003810</t>
  </si>
  <si>
    <t>pay_420003831</t>
  </si>
  <si>
    <t>pay_420003887</t>
  </si>
  <si>
    <t>pay_420003889</t>
  </si>
  <si>
    <t>pay_420003913</t>
  </si>
  <si>
    <t>pay_420003950</t>
  </si>
  <si>
    <t>pay_420003958</t>
  </si>
  <si>
    <t>pay_420003974</t>
  </si>
  <si>
    <t>pay_420004005</t>
  </si>
  <si>
    <t>pay_420004066</t>
  </si>
  <si>
    <t>pay_420004067</t>
  </si>
  <si>
    <t>pay_420004109</t>
  </si>
  <si>
    <t>pay_420004146</t>
  </si>
  <si>
    <t>pay_420004150</t>
  </si>
  <si>
    <t>pay_420004161</t>
  </si>
  <si>
    <t>pay_420004256</t>
  </si>
  <si>
    <t>pay_420004363</t>
  </si>
  <si>
    <t>pay_420004372</t>
  </si>
  <si>
    <t>pay_420004378</t>
  </si>
  <si>
    <t>pay_420004393</t>
  </si>
  <si>
    <t>pay_420004405</t>
  </si>
  <si>
    <t>pay_420004426</t>
  </si>
  <si>
    <t>pay_420004455</t>
  </si>
  <si>
    <t>pay_420004524</t>
  </si>
  <si>
    <t>pay_420004526</t>
  </si>
  <si>
    <t>pay_420004536</t>
  </si>
  <si>
    <t>pay_420004540</t>
  </si>
  <si>
    <t>pay_420004546</t>
  </si>
  <si>
    <t>pay_420004558</t>
  </si>
  <si>
    <t>pay_420004609</t>
  </si>
  <si>
    <t>pay_420004612</t>
  </si>
  <si>
    <t>pay_420004615</t>
  </si>
  <si>
    <t>pay_420004741</t>
  </si>
  <si>
    <t>pay_420004742</t>
  </si>
  <si>
    <t>pay_420004792</t>
  </si>
  <si>
    <t>pay_420004809</t>
  </si>
  <si>
    <t>pay_420004816</t>
  </si>
  <si>
    <t>pay_420004834</t>
  </si>
  <si>
    <t>pay_420004867</t>
  </si>
  <si>
    <t>pay_420004921</t>
  </si>
  <si>
    <t>pay_420004933</t>
  </si>
  <si>
    <t>pay_420004968</t>
  </si>
  <si>
    <t>pay_420004995</t>
  </si>
  <si>
    <t>pay_420005075</t>
  </si>
  <si>
    <t>pay_420005106</t>
  </si>
  <si>
    <t>pay_420005237</t>
  </si>
  <si>
    <t>pay_420005267</t>
  </si>
  <si>
    <t>pay_420005293</t>
  </si>
  <si>
    <t>pay_420005355</t>
  </si>
  <si>
    <t>pay_420005372</t>
  </si>
  <si>
    <t>pay_420005380</t>
  </si>
  <si>
    <t>pay_420005461</t>
  </si>
  <si>
    <t>pay_420005462</t>
  </si>
  <si>
    <t>pay_420005466</t>
  </si>
  <si>
    <t>pay_420005474</t>
  </si>
  <si>
    <t>pay_420005488</t>
  </si>
  <si>
    <t>pay_420005511</t>
  </si>
  <si>
    <t>pay_420005518</t>
  </si>
  <si>
    <t>pay_420005547</t>
  </si>
  <si>
    <t>pay_420005574</t>
  </si>
  <si>
    <t>pay_420005591</t>
  </si>
  <si>
    <t>pay_420005605</t>
  </si>
  <si>
    <t>pay_420005639</t>
  </si>
  <si>
    <t>pay_420005641</t>
  </si>
  <si>
    <t>pay_420005698</t>
  </si>
  <si>
    <t>pay_420005709</t>
  </si>
  <si>
    <t>pay_420000021</t>
  </si>
  <si>
    <t>pay_420000038</t>
  </si>
  <si>
    <t>pay_420000079</t>
  </si>
  <si>
    <t>pay_420000090</t>
  </si>
  <si>
    <t>pay_420000146</t>
  </si>
  <si>
    <t>pay_420000180</t>
  </si>
  <si>
    <t>pay_420000203</t>
  </si>
  <si>
    <t>pay_420000216</t>
  </si>
  <si>
    <t>pay_420000263</t>
  </si>
  <si>
    <t>pay_420000264</t>
  </si>
  <si>
    <t>pay_420000365</t>
  </si>
  <si>
    <t>pay_420000382</t>
  </si>
  <si>
    <t>pay_420000383</t>
  </si>
  <si>
    <t>pay_420000400</t>
  </si>
  <si>
    <t>pay_420000408</t>
  </si>
  <si>
    <t>pay_420000424</t>
  </si>
  <si>
    <t>pay_420000439</t>
  </si>
  <si>
    <t>pay_420000467</t>
  </si>
  <si>
    <t>pay_420000469</t>
  </si>
  <si>
    <t>pay_420000495</t>
  </si>
  <si>
    <t>pay_420000496</t>
  </si>
  <si>
    <t>pay_420000516</t>
  </si>
  <si>
    <t>pay_420000605</t>
  </si>
  <si>
    <t>pay_420000619</t>
  </si>
  <si>
    <t>pay_420000622</t>
  </si>
  <si>
    <t>pay_420000629</t>
  </si>
  <si>
    <t>pay_420000682</t>
  </si>
  <si>
    <t>pay_420000687</t>
  </si>
  <si>
    <t>pay_420000748</t>
  </si>
  <si>
    <t>pay_420000834</t>
  </si>
  <si>
    <t>pay_420000838</t>
  </si>
  <si>
    <t>pay_420000869</t>
  </si>
  <si>
    <t>pay_420000903</t>
  </si>
  <si>
    <t>pay_420000928</t>
  </si>
  <si>
    <t>pay_420000954</t>
  </si>
  <si>
    <t>pay_420000984</t>
  </si>
  <si>
    <t>pay_420000999</t>
  </si>
  <si>
    <t>pay_420001001</t>
  </si>
  <si>
    <t>pay_420001018</t>
  </si>
  <si>
    <t>pay_420001031</t>
  </si>
  <si>
    <t>pay_420001057</t>
  </si>
  <si>
    <t>pay_420001131</t>
  </si>
  <si>
    <t>pay_420001162</t>
  </si>
  <si>
    <t>pay_420001163</t>
  </si>
  <si>
    <t>pay_420001180</t>
  </si>
  <si>
    <t>pay_420001297</t>
  </si>
  <si>
    <t>pay_420001305</t>
  </si>
  <si>
    <t>pay_420001340</t>
  </si>
  <si>
    <t>pay_420001399</t>
  </si>
  <si>
    <t>pay_420001416</t>
  </si>
  <si>
    <t>pay_420001429</t>
  </si>
  <si>
    <t>pay_420001438</t>
  </si>
  <si>
    <t>pay_420001476</t>
  </si>
  <si>
    <t>pay_420001505</t>
  </si>
  <si>
    <t>pay_420001518</t>
  </si>
  <si>
    <t>pay_420001539</t>
  </si>
  <si>
    <t>pay_420001579</t>
  </si>
  <si>
    <t>pay_420001584</t>
  </si>
  <si>
    <t>pay_420001590</t>
  </si>
  <si>
    <t>pay_420001635</t>
  </si>
  <si>
    <t>pay_420001656</t>
  </si>
  <si>
    <t>pay_420001668</t>
  </si>
  <si>
    <t>pay_420001676</t>
  </si>
  <si>
    <t>pay_420001708</t>
  </si>
  <si>
    <t>pay_420001785</t>
  </si>
  <si>
    <t>pay_420001853</t>
  </si>
  <si>
    <t>pay_420001862</t>
  </si>
  <si>
    <t>pay_420001963</t>
  </si>
  <si>
    <t>pay_420001975</t>
  </si>
  <si>
    <t>pay_420002026</t>
  </si>
  <si>
    <t>pay_420002058</t>
  </si>
  <si>
    <t>pay_420002066</t>
  </si>
  <si>
    <t>pay_420002130</t>
  </si>
  <si>
    <t>pay_420002192</t>
  </si>
  <si>
    <t>pay_420002235</t>
  </si>
  <si>
    <t>pay_420002342</t>
  </si>
  <si>
    <t>pay_420002343</t>
  </si>
  <si>
    <t>pay_420002361</t>
  </si>
  <si>
    <t>pay_420002379</t>
  </si>
  <si>
    <t>pay_420002393</t>
  </si>
  <si>
    <t>pay_420002444</t>
  </si>
  <si>
    <t>pay_420002494</t>
  </si>
  <si>
    <t>pay_420002513</t>
  </si>
  <si>
    <t>pay_420002576</t>
  </si>
  <si>
    <t>pay_420002604</t>
  </si>
  <si>
    <t>pay_420002609</t>
  </si>
  <si>
    <t>pay_420002617</t>
  </si>
  <si>
    <t>pay_420002672</t>
  </si>
  <si>
    <t>pay_420002675</t>
  </si>
  <si>
    <t>pay_420002688</t>
  </si>
  <si>
    <t>pay_420002699</t>
  </si>
  <si>
    <t>pay_420002754</t>
  </si>
  <si>
    <t>pay_420002780</t>
  </si>
  <si>
    <t>pay_420002781</t>
  </si>
  <si>
    <t>pay_420002799</t>
  </si>
  <si>
    <t>pay_420002813</t>
  </si>
  <si>
    <t>pay_420002815</t>
  </si>
  <si>
    <t>pay_420002844</t>
  </si>
  <si>
    <t>pay_420002882</t>
  </si>
  <si>
    <t>pay_420002892</t>
  </si>
  <si>
    <t>pay_420002978</t>
  </si>
  <si>
    <t>pay_420002988</t>
  </si>
  <si>
    <t>pay_420003015</t>
  </si>
  <si>
    <t>pay_420003043</t>
  </si>
  <si>
    <t>pay_420003053</t>
  </si>
  <si>
    <t>pay_420003068</t>
  </si>
  <si>
    <t>pay_420003079</t>
  </si>
  <si>
    <t>pay_420003081</t>
  </si>
  <si>
    <t>pay_420003130</t>
  </si>
  <si>
    <t>pay_420003160</t>
  </si>
  <si>
    <t>pay_420003181</t>
  </si>
  <si>
    <t>pay_420003199</t>
  </si>
  <si>
    <t>pay_420003209</t>
  </si>
  <si>
    <t>pay_420003217</t>
  </si>
  <si>
    <t>pay_420003246</t>
  </si>
  <si>
    <t>pay_420003342</t>
  </si>
  <si>
    <t>pay_420003354</t>
  </si>
  <si>
    <t>pay_420003368</t>
  </si>
  <si>
    <t>pay_420003374</t>
  </si>
  <si>
    <t>pay_420003389</t>
  </si>
  <si>
    <t>pay_420003408</t>
  </si>
  <si>
    <t>pay_420003412</t>
  </si>
  <si>
    <t>pay_420003414</t>
  </si>
  <si>
    <t>pay_420003497</t>
  </si>
  <si>
    <t>pay_420003504</t>
  </si>
  <si>
    <t>pay_420003742</t>
  </si>
  <si>
    <t>pay_420003762</t>
  </si>
  <si>
    <t>pay_420003816</t>
  </si>
  <si>
    <t>pay_420003825</t>
  </si>
  <si>
    <t>pay_420003864</t>
  </si>
  <si>
    <t>pay_420003902</t>
  </si>
  <si>
    <t>pay_420004011</t>
  </si>
  <si>
    <t>pay_420004081</t>
  </si>
  <si>
    <t>pay_420004099</t>
  </si>
  <si>
    <t>pay_420004108</t>
  </si>
  <si>
    <t>pay_420004223</t>
  </si>
  <si>
    <t>pay_420004253</t>
  </si>
  <si>
    <t>pay_420004259</t>
  </si>
  <si>
    <t>pay_420004300</t>
  </si>
  <si>
    <t>pay_420004348</t>
  </si>
  <si>
    <t>pay_420004368</t>
  </si>
  <si>
    <t>pay_420004432</t>
  </si>
  <si>
    <t>pay_420004440</t>
  </si>
  <si>
    <t>pay_420004447</t>
  </si>
  <si>
    <t>pay_420004456</t>
  </si>
  <si>
    <t>pay_420004464</t>
  </si>
  <si>
    <t>pay_420004483</t>
  </si>
  <si>
    <t>pay_420004488</t>
  </si>
  <si>
    <t>pay_420004635</t>
  </si>
  <si>
    <t>pay_420004669</t>
  </si>
  <si>
    <t>pay_420004713</t>
  </si>
  <si>
    <t>pay_420004716</t>
  </si>
  <si>
    <t>pay_420004720</t>
  </si>
  <si>
    <t>pay_420004746</t>
  </si>
  <si>
    <t>pay_420004753</t>
  </si>
  <si>
    <t>pay_420004787</t>
  </si>
  <si>
    <t>pay_420004813</t>
  </si>
  <si>
    <t>pay_420004842</t>
  </si>
  <si>
    <t>pay_420004845</t>
  </si>
  <si>
    <t>pay_420004881</t>
  </si>
  <si>
    <t>pay_420004893</t>
  </si>
  <si>
    <t>pay_420004951</t>
  </si>
  <si>
    <t>pay_420004953</t>
  </si>
  <si>
    <t>pay_420004958</t>
  </si>
  <si>
    <t>pay_420004974</t>
  </si>
  <si>
    <t>pay_420005007</t>
  </si>
  <si>
    <t>pay_420005017</t>
  </si>
  <si>
    <t>pay_420005070</t>
  </si>
  <si>
    <t>pay_420005081</t>
  </si>
  <si>
    <t>pay_420005097</t>
  </si>
  <si>
    <t>pay_420005155</t>
  </si>
  <si>
    <t>pay_420005212</t>
  </si>
  <si>
    <t>pay_420005265</t>
  </si>
  <si>
    <t>pay_420005331</t>
  </si>
  <si>
    <t>pay_420005364</t>
  </si>
  <si>
    <t>pay_420005395</t>
  </si>
  <si>
    <t>pay_420005441</t>
  </si>
  <si>
    <t>pay_420005505</t>
  </si>
  <si>
    <t>pay_420005549</t>
  </si>
  <si>
    <t>pay_420005564</t>
  </si>
  <si>
    <t>pay_420005646</t>
  </si>
  <si>
    <t>pay_420005653</t>
  </si>
  <si>
    <t>pay_420005656</t>
  </si>
  <si>
    <t>pay_420005669</t>
  </si>
  <si>
    <t>pay_420005670</t>
  </si>
  <si>
    <t>pay_420005683</t>
  </si>
  <si>
    <t>pay_420005716</t>
  </si>
  <si>
    <t>pay_420005733</t>
  </si>
  <si>
    <t>pay_420005739</t>
  </si>
  <si>
    <t>pay_420000099</t>
  </si>
  <si>
    <t>pay_420000156</t>
  </si>
  <si>
    <t>pay_420000241</t>
  </si>
  <si>
    <t>pay_420000255</t>
  </si>
  <si>
    <t>pay_420000271</t>
  </si>
  <si>
    <t>pay_420000295</t>
  </si>
  <si>
    <t>pay_420000344</t>
  </si>
  <si>
    <t>pay_420000413</t>
  </si>
  <si>
    <t>pay_420000432</t>
  </si>
  <si>
    <t>pay_420000440</t>
  </si>
  <si>
    <t>pay_420000479</t>
  </si>
  <si>
    <t>pay_420000503</t>
  </si>
  <si>
    <t>pay_420000530</t>
  </si>
  <si>
    <t>pay_420000542</t>
  </si>
  <si>
    <t>pay_420000559</t>
  </si>
  <si>
    <t>pay_420000660</t>
  </si>
  <si>
    <t>pay_420000699</t>
  </si>
  <si>
    <t>pay_420000730</t>
  </si>
  <si>
    <t>pay_420000733</t>
  </si>
  <si>
    <t>pay_420000754</t>
  </si>
  <si>
    <t>pay_420000787</t>
  </si>
  <si>
    <t>pay_420000814</t>
  </si>
  <si>
    <t>pay_420000835</t>
  </si>
  <si>
    <t>pay_420000839</t>
  </si>
  <si>
    <t>pay_420000858</t>
  </si>
  <si>
    <t>pay_420000918</t>
  </si>
  <si>
    <t>pay_420000978</t>
  </si>
  <si>
    <t>pay_420001037</t>
  </si>
  <si>
    <t>pay_420001042</t>
  </si>
  <si>
    <t>pay_420001062</t>
  </si>
  <si>
    <t>pay_420001119</t>
  </si>
  <si>
    <t>pay_420001133</t>
  </si>
  <si>
    <t>pay_420001200</t>
  </si>
  <si>
    <t>pay_420001227</t>
  </si>
  <si>
    <t>pay_420001255</t>
  </si>
  <si>
    <t>pay_420001262</t>
  </si>
  <si>
    <t>pay_420001267</t>
  </si>
  <si>
    <t>pay_420001285</t>
  </si>
  <si>
    <t>pay_420001299</t>
  </si>
  <si>
    <t>pay_420001304</t>
  </si>
  <si>
    <t>pay_420001374</t>
  </si>
  <si>
    <t>pay_420001391</t>
  </si>
  <si>
    <t>pay_420001428</t>
  </si>
  <si>
    <t>pay_420001437</t>
  </si>
  <si>
    <t>pay_420001459</t>
  </si>
  <si>
    <t>pay_420001469</t>
  </si>
  <si>
    <t>pay_420001478</t>
  </si>
  <si>
    <t>pay_420001507</t>
  </si>
  <si>
    <t>pay_420001623</t>
  </si>
  <si>
    <t>pay_420001647</t>
  </si>
  <si>
    <t>pay_420001710</t>
  </si>
  <si>
    <t>pay_420001749</t>
  </si>
  <si>
    <t>pay_420001765</t>
  </si>
  <si>
    <t>pay_420001771</t>
  </si>
  <si>
    <t>pay_420001779</t>
  </si>
  <si>
    <t>pay_420001808</t>
  </si>
  <si>
    <t>pay_420001834</t>
  </si>
  <si>
    <t>pay_420001860</t>
  </si>
  <si>
    <t>pay_420001915</t>
  </si>
  <si>
    <t>pay_420001939</t>
  </si>
  <si>
    <t>pay_420002017</t>
  </si>
  <si>
    <t>pay_420002025</t>
  </si>
  <si>
    <t>pay_420002051</t>
  </si>
  <si>
    <t>pay_420002056</t>
  </si>
  <si>
    <t>pay_420002075</t>
  </si>
  <si>
    <t>pay_420002186</t>
  </si>
  <si>
    <t>pay_420002245</t>
  </si>
  <si>
    <t>pay_420002259</t>
  </si>
  <si>
    <t>pay_420002274</t>
  </si>
  <si>
    <t>pay_420002293</t>
  </si>
  <si>
    <t>pay_420002306</t>
  </si>
  <si>
    <t>pay_420002371</t>
  </si>
  <si>
    <t>pay_420002406</t>
  </si>
  <si>
    <t>pay_420002411</t>
  </si>
  <si>
    <t>pay_420002418</t>
  </si>
  <si>
    <t>pay_420002454</t>
  </si>
  <si>
    <t>pay_420002473</t>
  </si>
  <si>
    <t>pay_420002526</t>
  </si>
  <si>
    <t>pay_420002571</t>
  </si>
  <si>
    <t>pay_420002641</t>
  </si>
  <si>
    <t>pay_420002665</t>
  </si>
  <si>
    <t>pay_420002706</t>
  </si>
  <si>
    <t>pay_420002785</t>
  </si>
  <si>
    <t>pay_420002818</t>
  </si>
  <si>
    <t>pay_420002824</t>
  </si>
  <si>
    <t>pay_420002832</t>
  </si>
  <si>
    <t>pay_420002904</t>
  </si>
  <si>
    <t>pay_420002920</t>
  </si>
  <si>
    <t>pay_420002942</t>
  </si>
  <si>
    <t>pay_420003017</t>
  </si>
  <si>
    <t>pay_420003020</t>
  </si>
  <si>
    <t>pay_420003057</t>
  </si>
  <si>
    <t>pay_420003067</t>
  </si>
  <si>
    <t>pay_420003165</t>
  </si>
  <si>
    <t>pay_420003167</t>
  </si>
  <si>
    <t>pay_420003172</t>
  </si>
  <si>
    <t>pay_420003173</t>
  </si>
  <si>
    <t>pay_420003194</t>
  </si>
  <si>
    <t>pay_420003239</t>
  </si>
  <si>
    <t>pay_420003304</t>
  </si>
  <si>
    <t>pay_420003310</t>
  </si>
  <si>
    <t>pay_420003344</t>
  </si>
  <si>
    <t>pay_420003386</t>
  </si>
  <si>
    <t>pay_420003403</t>
  </si>
  <si>
    <t>pay_420003509</t>
  </si>
  <si>
    <t>pay_420003518</t>
  </si>
  <si>
    <t>pay_420003552</t>
  </si>
  <si>
    <t>pay_420003571</t>
  </si>
  <si>
    <t>pay_420003598</t>
  </si>
  <si>
    <t>pay_420003653</t>
  </si>
  <si>
    <t>pay_420003662</t>
  </si>
  <si>
    <t>pay_420003676</t>
  </si>
  <si>
    <t>pay_420003688</t>
  </si>
  <si>
    <t>pay_420003769</t>
  </si>
  <si>
    <t>pay_420003870</t>
  </si>
  <si>
    <t>pay_420003874</t>
  </si>
  <si>
    <t>pay_420003914</t>
  </si>
  <si>
    <t>pay_420003920</t>
  </si>
  <si>
    <t>pay_420003959</t>
  </si>
  <si>
    <t>pay_420004028</t>
  </si>
  <si>
    <t>pay_420004181</t>
  </si>
  <si>
    <t>pay_420004226</t>
  </si>
  <si>
    <t>pay_420004227</t>
  </si>
  <si>
    <t>pay_420004245</t>
  </si>
  <si>
    <t>pay_420004319</t>
  </si>
  <si>
    <t>pay_420004409</t>
  </si>
  <si>
    <t>pay_420004412</t>
  </si>
  <si>
    <t>pay_420004414</t>
  </si>
  <si>
    <t>pay_420004442</t>
  </si>
  <si>
    <t>pay_420004481</t>
  </si>
  <si>
    <t>pay_420004542</t>
  </si>
  <si>
    <t>pay_420004601</t>
  </si>
  <si>
    <t>pay_420004626</t>
  </si>
  <si>
    <t>pay_420004692</t>
  </si>
  <si>
    <t>pay_420004697</t>
  </si>
  <si>
    <t>pay_420004765</t>
  </si>
  <si>
    <t>pay_420004796</t>
  </si>
  <si>
    <t>pay_420004878</t>
  </si>
  <si>
    <t>pay_420004944</t>
  </si>
  <si>
    <t>pay_420004948</t>
  </si>
  <si>
    <t>pay_420004950</t>
  </si>
  <si>
    <t>pay_420004963</t>
  </si>
  <si>
    <t>pay_420004988</t>
  </si>
  <si>
    <t>pay_420005016</t>
  </si>
  <si>
    <t>pay_420005040</t>
  </si>
  <si>
    <t>pay_420005050</t>
  </si>
  <si>
    <t>pay_420005054</t>
  </si>
  <si>
    <t>pay_420005101</t>
  </si>
  <si>
    <t>pay_420005103</t>
  </si>
  <si>
    <t>pay_420005115</t>
  </si>
  <si>
    <t>pay_420005128</t>
  </si>
  <si>
    <t>pay_420005130</t>
  </si>
  <si>
    <t>pay_420005132</t>
  </si>
  <si>
    <t>pay_420005151</t>
  </si>
  <si>
    <t>pay_420005153</t>
  </si>
  <si>
    <t>pay_420005219</t>
  </si>
  <si>
    <t>pay_420005223</t>
  </si>
  <si>
    <t>pay_420005238</t>
  </si>
  <si>
    <t>pay_420005250</t>
  </si>
  <si>
    <t>pay_420005263</t>
  </si>
  <si>
    <t>pay_420005270</t>
  </si>
  <si>
    <t>pay_420005282</t>
  </si>
  <si>
    <t>pay_420005283</t>
  </si>
  <si>
    <t>pay_420005292</t>
  </si>
  <si>
    <t>pay_420005367</t>
  </si>
  <si>
    <t>pay_420005410</t>
  </si>
  <si>
    <t>pay_420005465</t>
  </si>
  <si>
    <t>pay_420005515</t>
  </si>
  <si>
    <t>pay_420005519</t>
  </si>
  <si>
    <t>pay_420005579</t>
  </si>
  <si>
    <t>pay_420005592</t>
  </si>
  <si>
    <t>pay_420005626</t>
  </si>
  <si>
    <t>pay_420005649</t>
  </si>
  <si>
    <t>pay_420005680</t>
  </si>
  <si>
    <t>pay_420005689</t>
  </si>
  <si>
    <t>pay_420005717</t>
  </si>
  <si>
    <t>pay_420005738</t>
  </si>
  <si>
    <t>pay_420000012</t>
  </si>
  <si>
    <t>pay_420000023</t>
  </si>
  <si>
    <t>pay_420000030</t>
  </si>
  <si>
    <t>pay_420000040</t>
  </si>
  <si>
    <t>pay_420000075</t>
  </si>
  <si>
    <t>pay_420000106</t>
  </si>
  <si>
    <t>pay_420000168</t>
  </si>
  <si>
    <t>pay_420000184</t>
  </si>
  <si>
    <t>pay_420000202</t>
  </si>
  <si>
    <t>pay_420000278</t>
  </si>
  <si>
    <t>pay_420000286</t>
  </si>
  <si>
    <t>pay_420000339</t>
  </si>
  <si>
    <t>pay_420000454</t>
  </si>
  <si>
    <t>pay_420000455</t>
  </si>
  <si>
    <t>pay_420000473</t>
  </si>
  <si>
    <t>pay_420000483</t>
  </si>
  <si>
    <t>pay_420000494</t>
  </si>
  <si>
    <t>pay_420000552</t>
  </si>
  <si>
    <t>pay_420000608</t>
  </si>
  <si>
    <t>pay_420000714</t>
  </si>
  <si>
    <t>pay_420000718</t>
  </si>
  <si>
    <t>pay_420000723</t>
  </si>
  <si>
    <t>pay_420000766</t>
  </si>
  <si>
    <t>pay_420000777</t>
  </si>
  <si>
    <t>pay_420000804</t>
  </si>
  <si>
    <t>pay_420000843</t>
  </si>
  <si>
    <t>pay_420000874</t>
  </si>
  <si>
    <t>pay_420000943</t>
  </si>
  <si>
    <t>pay_420000983</t>
  </si>
  <si>
    <t>pay_420000994</t>
  </si>
  <si>
    <t>pay_420000998</t>
  </si>
  <si>
    <t>pay_420001029</t>
  </si>
  <si>
    <t>pay_420001041</t>
  </si>
  <si>
    <t>pay_420001079</t>
  </si>
  <si>
    <t>pay_420001092</t>
  </si>
  <si>
    <t>pay_420001146</t>
  </si>
  <si>
    <t>pay_420001176</t>
  </si>
  <si>
    <t>pay_420001246</t>
  </si>
  <si>
    <t>pay_420001270</t>
  </si>
  <si>
    <t>pay_420001277</t>
  </si>
  <si>
    <t>pay_420001280</t>
  </si>
  <si>
    <t>pay_420001313</t>
  </si>
  <si>
    <t>pay_420001353</t>
  </si>
  <si>
    <t>pay_420001357</t>
  </si>
  <si>
    <t>pay_420001380</t>
  </si>
  <si>
    <t>pay_420001424</t>
  </si>
  <si>
    <t>pay_420001495</t>
  </si>
  <si>
    <t>pay_420001508</t>
  </si>
  <si>
    <t>pay_420001529</t>
  </si>
  <si>
    <t>pay_420001594</t>
  </si>
  <si>
    <t>pay_420001597</t>
  </si>
  <si>
    <t>pay_420001610</t>
  </si>
  <si>
    <t>pay_420001665</t>
  </si>
  <si>
    <t>pay_420001694</t>
  </si>
  <si>
    <t>pay_420001695</t>
  </si>
  <si>
    <t>pay_420001736</t>
  </si>
  <si>
    <t>pay_420001750</t>
  </si>
  <si>
    <t>pay_420001752</t>
  </si>
  <si>
    <t>pay_420001849</t>
  </si>
  <si>
    <t>pay_420001871</t>
  </si>
  <si>
    <t>pay_420001890</t>
  </si>
  <si>
    <t>pay_420001908</t>
  </si>
  <si>
    <t>pay_420001916</t>
  </si>
  <si>
    <t>pay_420001951</t>
  </si>
  <si>
    <t>pay_420001987</t>
  </si>
  <si>
    <t>pay_420001998</t>
  </si>
  <si>
    <t>pay_420002007</t>
  </si>
  <si>
    <t>pay_420002033</t>
  </si>
  <si>
    <t>pay_420002046</t>
  </si>
  <si>
    <t>pay_420002099</t>
  </si>
  <si>
    <t>pay_420002101</t>
  </si>
  <si>
    <t>pay_420002148</t>
  </si>
  <si>
    <t>pay_420002177</t>
  </si>
  <si>
    <t>pay_420002248</t>
  </si>
  <si>
    <t>pay_420002256</t>
  </si>
  <si>
    <t>pay_420002260</t>
  </si>
  <si>
    <t>pay_420002270</t>
  </si>
  <si>
    <t>pay_420002292</t>
  </si>
  <si>
    <t>pay_420002313</t>
  </si>
  <si>
    <t>pay_420002327</t>
  </si>
  <si>
    <t>pay_420002340</t>
  </si>
  <si>
    <t>pay_420002366</t>
  </si>
  <si>
    <t>pay_420002412</t>
  </si>
  <si>
    <t>pay_420002422</t>
  </si>
  <si>
    <t>pay_420002516</t>
  </si>
  <si>
    <t>pay_420002549</t>
  </si>
  <si>
    <t>pay_420002553</t>
  </si>
  <si>
    <t>pay_420002584</t>
  </si>
  <si>
    <t>pay_420002627</t>
  </si>
  <si>
    <t>pay_420002658</t>
  </si>
  <si>
    <t>pay_420002664</t>
  </si>
  <si>
    <t>pay_420002671</t>
  </si>
  <si>
    <t>pay_420002680</t>
  </si>
  <si>
    <t>pay_420002694</t>
  </si>
  <si>
    <t>pay_420002758</t>
  </si>
  <si>
    <t>pay_420002772</t>
  </si>
  <si>
    <t>pay_420002795</t>
  </si>
  <si>
    <t>pay_420002934</t>
  </si>
  <si>
    <t>pay_420002948</t>
  </si>
  <si>
    <t>pay_420002963</t>
  </si>
  <si>
    <t>pay_420002964</t>
  </si>
  <si>
    <t>pay_420002968</t>
  </si>
  <si>
    <t>pay_420002996</t>
  </si>
  <si>
    <t>pay_420003009</t>
  </si>
  <si>
    <t>pay_420003014</t>
  </si>
  <si>
    <t>pay_420003035</t>
  </si>
  <si>
    <t>pay_420003042</t>
  </si>
  <si>
    <t>pay_420003082</t>
  </si>
  <si>
    <t>pay_420003095</t>
  </si>
  <si>
    <t>pay_420003108</t>
  </si>
  <si>
    <t>pay_420003145</t>
  </si>
  <si>
    <t>pay_420003170</t>
  </si>
  <si>
    <t>pay_420003196</t>
  </si>
  <si>
    <t>pay_420003198</t>
  </si>
  <si>
    <t>pay_420003224</t>
  </si>
  <si>
    <t>pay_420003268</t>
  </si>
  <si>
    <t>pay_420003270</t>
  </si>
  <si>
    <t>pay_420003330</t>
  </si>
  <si>
    <t>pay_420003420</t>
  </si>
  <si>
    <t>pay_420003426</t>
  </si>
  <si>
    <t>pay_420003492</t>
  </si>
  <si>
    <t>pay_420003502</t>
  </si>
  <si>
    <t>pay_420003568</t>
  </si>
  <si>
    <t>pay_420003572</t>
  </si>
  <si>
    <t>pay_420003586</t>
  </si>
  <si>
    <t>pay_420003616</t>
  </si>
  <si>
    <t>pay_420003641</t>
  </si>
  <si>
    <t>pay_420003657</t>
  </si>
  <si>
    <t>pay_420003697</t>
  </si>
  <si>
    <t>pay_420003766</t>
  </si>
  <si>
    <t>pay_420003770</t>
  </si>
  <si>
    <t>pay_420003785</t>
  </si>
  <si>
    <t>pay_420003786</t>
  </si>
  <si>
    <t>pay_420003797</t>
  </si>
  <si>
    <t>pay_420003809</t>
  </si>
  <si>
    <t>pay_420003853</t>
  </si>
  <si>
    <t>pay_420003873</t>
  </si>
  <si>
    <t>pay_420003878</t>
  </si>
  <si>
    <t>pay_420003944</t>
  </si>
  <si>
    <t>pay_420003946</t>
  </si>
  <si>
    <t>pay_420003975</t>
  </si>
  <si>
    <t>pay_420004017</t>
  </si>
  <si>
    <t>pay_420004083</t>
  </si>
  <si>
    <t>pay_420004093</t>
  </si>
  <si>
    <t>pay_420004095</t>
  </si>
  <si>
    <t>pay_420004138</t>
  </si>
  <si>
    <t>pay_420004195</t>
  </si>
  <si>
    <t>pay_420004248</t>
  </si>
  <si>
    <t>pay_420004304</t>
  </si>
  <si>
    <t>pay_420004315</t>
  </si>
  <si>
    <t>pay_420004324</t>
  </si>
  <si>
    <t>pay_420004327</t>
  </si>
  <si>
    <t>pay_420004344</t>
  </si>
  <si>
    <t>pay_420004367</t>
  </si>
  <si>
    <t>pay_420004370</t>
  </si>
  <si>
    <t>pay_420004384</t>
  </si>
  <si>
    <t>pay_420004386</t>
  </si>
  <si>
    <t>pay_420004395</t>
  </si>
  <si>
    <t>pay_420004406</t>
  </si>
  <si>
    <t>pay_420004415</t>
  </si>
  <si>
    <t>pay_420004448</t>
  </si>
  <si>
    <t>pay_420004466</t>
  </si>
  <si>
    <t>pay_420004474</t>
  </si>
  <si>
    <t>pay_420004485</t>
  </si>
  <si>
    <t>pay_420004487</t>
  </si>
  <si>
    <t>pay_420004499</t>
  </si>
  <si>
    <t>pay_420004514</t>
  </si>
  <si>
    <t>pay_420004566</t>
  </si>
  <si>
    <t>pay_420004567</t>
  </si>
  <si>
    <t>pay_420004582</t>
  </si>
  <si>
    <t>pay_420004585</t>
  </si>
  <si>
    <t>pay_420004622</t>
  </si>
  <si>
    <t>pay_420004703</t>
  </si>
  <si>
    <t>pay_420004815</t>
  </si>
  <si>
    <t>pay_420004904</t>
  </si>
  <si>
    <t>pay_420004911</t>
  </si>
  <si>
    <t>pay_420004912</t>
  </si>
  <si>
    <t>pay_420004946</t>
  </si>
  <si>
    <t>pay_420005000</t>
  </si>
  <si>
    <t>pay_420005012</t>
  </si>
  <si>
    <t>pay_420005080</t>
  </si>
  <si>
    <t>pay_420005118</t>
  </si>
  <si>
    <t>pay_420005200</t>
  </si>
  <si>
    <t>pay_420005262</t>
  </si>
  <si>
    <t>pay_420005290</t>
  </si>
  <si>
    <t>pay_420005330</t>
  </si>
  <si>
    <t>pay_420005333</t>
  </si>
  <si>
    <t>pay_420005349</t>
  </si>
  <si>
    <t>pay_420005383</t>
  </si>
  <si>
    <t>pay_420005408</t>
  </si>
  <si>
    <t>pay_420005455</t>
  </si>
  <si>
    <t>pay_420005483</t>
  </si>
  <si>
    <t>pay_420005514</t>
  </si>
  <si>
    <t>pay_420005525</t>
  </si>
  <si>
    <t>pay_420005542</t>
  </si>
  <si>
    <t>pay_420005558</t>
  </si>
  <si>
    <t>pay_420005616</t>
  </si>
  <si>
    <t>pay_420005660</t>
  </si>
  <si>
    <t>pay_420005695</t>
  </si>
  <si>
    <t>pay_420005705</t>
  </si>
  <si>
    <t>pay_420005721</t>
  </si>
  <si>
    <t>pay_420005727</t>
  </si>
  <si>
    <t>pay_420005737</t>
  </si>
  <si>
    <t>pay_420000004</t>
  </si>
  <si>
    <t>pay_420000016</t>
  </si>
  <si>
    <t>pay_420000072</t>
  </si>
  <si>
    <t>pay_420000087</t>
  </si>
  <si>
    <t>pay_420000089</t>
  </si>
  <si>
    <t>pay_420000113</t>
  </si>
  <si>
    <t>pay_420000120</t>
  </si>
  <si>
    <t>pay_420000128</t>
  </si>
  <si>
    <t>pay_420000185</t>
  </si>
  <si>
    <t>pay_420000192</t>
  </si>
  <si>
    <t>pay_420000254</t>
  </si>
  <si>
    <t>pay_420000337</t>
  </si>
  <si>
    <t>pay_420000350</t>
  </si>
  <si>
    <t>pay_420000351</t>
  </si>
  <si>
    <t>pay_420000352</t>
  </si>
  <si>
    <t>pay_420000378</t>
  </si>
  <si>
    <t>pay_420000465</t>
  </si>
  <si>
    <t>pay_420000522</t>
  </si>
  <si>
    <t>pay_420000537</t>
  </si>
  <si>
    <t>pay_420000541</t>
  </si>
  <si>
    <t>pay_420000544</t>
  </si>
  <si>
    <t>pay_420000564</t>
  </si>
  <si>
    <t>pay_420000645</t>
  </si>
  <si>
    <t>pay_420000649</t>
  </si>
  <si>
    <t>pay_420000693</t>
  </si>
  <si>
    <t>pay_420000705</t>
  </si>
  <si>
    <t>pay_420000727</t>
  </si>
  <si>
    <t>pay_420000792</t>
  </si>
  <si>
    <t>pay_420000801</t>
  </si>
  <si>
    <t>pay_420000851</t>
  </si>
  <si>
    <t>pay_420000861</t>
  </si>
  <si>
    <t>pay_420000863</t>
  </si>
  <si>
    <t>pay_420000901</t>
  </si>
  <si>
    <t>pay_420000914</t>
  </si>
  <si>
    <t>pay_420000919</t>
  </si>
  <si>
    <t>pay_420001004</t>
  </si>
  <si>
    <t>pay_420001033</t>
  </si>
  <si>
    <t>pay_420001039</t>
  </si>
  <si>
    <t>pay_420001040</t>
  </si>
  <si>
    <t>pay_420001080</t>
  </si>
  <si>
    <t>pay_420001234</t>
  </si>
  <si>
    <t>pay_420001306</t>
  </si>
  <si>
    <t>pay_420001323</t>
  </si>
  <si>
    <t>pay_420001334</t>
  </si>
  <si>
    <t>pay_420001335</t>
  </si>
  <si>
    <t>pay_420001337</t>
  </si>
  <si>
    <t>pay_420001466</t>
  </si>
  <si>
    <t>pay_420001492</t>
  </si>
  <si>
    <t>pay_420001521</t>
  </si>
  <si>
    <t>pay_420001540</t>
  </si>
  <si>
    <t>pay_420001551</t>
  </si>
  <si>
    <t>pay_420001609</t>
  </si>
  <si>
    <t>pay_420001619</t>
  </si>
  <si>
    <t>pay_420001630</t>
  </si>
  <si>
    <t>pay_420001649</t>
  </si>
  <si>
    <t>pay_420001660</t>
  </si>
  <si>
    <t>pay_420001696</t>
  </si>
  <si>
    <t>pay_420001697</t>
  </si>
  <si>
    <t>pay_420001698</t>
  </si>
  <si>
    <t>pay_420001705</t>
  </si>
  <si>
    <t>pay_420001709</t>
  </si>
  <si>
    <t>pay_420001721</t>
  </si>
  <si>
    <t>pay_420001725</t>
  </si>
  <si>
    <t>pay_420001728</t>
  </si>
  <si>
    <t>pay_420001751</t>
  </si>
  <si>
    <t>pay_420001772</t>
  </si>
  <si>
    <t>pay_420001796</t>
  </si>
  <si>
    <t>pay_420001821</t>
  </si>
  <si>
    <t>pay_420001842</t>
  </si>
  <si>
    <t>pay_420001847</t>
  </si>
  <si>
    <t>pay_420001851</t>
  </si>
  <si>
    <t>pay_420001913</t>
  </si>
  <si>
    <t>pay_420001940</t>
  </si>
  <si>
    <t>pay_420001954</t>
  </si>
  <si>
    <t>pay_420001959</t>
  </si>
  <si>
    <t>pay_420002032</t>
  </si>
  <si>
    <t>pay_420002093</t>
  </si>
  <si>
    <t>pay_420002095</t>
  </si>
  <si>
    <t>pay_420002139</t>
  </si>
  <si>
    <t>pay_420002165</t>
  </si>
  <si>
    <t>pay_420002197</t>
  </si>
  <si>
    <t>pay_420002257</t>
  </si>
  <si>
    <t>pay_420002290</t>
  </si>
  <si>
    <t>pay_420002356</t>
  </si>
  <si>
    <t>pay_420002399</t>
  </si>
  <si>
    <t>pay_420002466</t>
  </si>
  <si>
    <t>pay_420002495</t>
  </si>
  <si>
    <t>pay_420002511</t>
  </si>
  <si>
    <t>pay_420002572</t>
  </si>
  <si>
    <t>pay_420002638</t>
  </si>
  <si>
    <t>pay_420002703</t>
  </si>
  <si>
    <t>pay_420002752</t>
  </si>
  <si>
    <t>pay_420002775</t>
  </si>
  <si>
    <t>pay_420002806</t>
  </si>
  <si>
    <t>pay_420002808</t>
  </si>
  <si>
    <t>pay_420002812</t>
  </si>
  <si>
    <t>pay_420002846</t>
  </si>
  <si>
    <t>pay_420002926</t>
  </si>
  <si>
    <t>pay_420002932</t>
  </si>
  <si>
    <t>pay_420002991</t>
  </si>
  <si>
    <t>pay_420003047</t>
  </si>
  <si>
    <t>pay_420003056</t>
  </si>
  <si>
    <t>pay_420003124</t>
  </si>
  <si>
    <t>pay_420003127</t>
  </si>
  <si>
    <t>pay_420003137</t>
  </si>
  <si>
    <t>pay_420003138</t>
  </si>
  <si>
    <t>pay_420003177</t>
  </si>
  <si>
    <t>pay_420003228</t>
  </si>
  <si>
    <t>pay_420003291</t>
  </si>
  <si>
    <t>pay_420003378</t>
  </si>
  <si>
    <t>pay_420003445</t>
  </si>
  <si>
    <t>pay_420003569</t>
  </si>
  <si>
    <t>pay_420003574</t>
  </si>
  <si>
    <t>pay_420003604</t>
  </si>
  <si>
    <t>pay_420003664</t>
  </si>
  <si>
    <t>pay_420003681</t>
  </si>
  <si>
    <t>pay_420003720</t>
  </si>
  <si>
    <t>pay_420003745</t>
  </si>
  <si>
    <t>pay_420003754</t>
  </si>
  <si>
    <t>pay_420003826</t>
  </si>
  <si>
    <t>pay_420003862</t>
  </si>
  <si>
    <t>pay_420003934</t>
  </si>
  <si>
    <t>pay_420003937</t>
  </si>
  <si>
    <t>pay_420004032</t>
  </si>
  <si>
    <t>pay_420004035</t>
  </si>
  <si>
    <t>pay_420004042</t>
  </si>
  <si>
    <t>pay_420004050</t>
  </si>
  <si>
    <t>pay_420004076</t>
  </si>
  <si>
    <t>pay_420004091</t>
  </si>
  <si>
    <t>pay_420004136</t>
  </si>
  <si>
    <t>pay_420004175</t>
  </si>
  <si>
    <t>pay_420004268</t>
  </si>
  <si>
    <t>pay_420004277</t>
  </si>
  <si>
    <t>pay_420004311</t>
  </si>
  <si>
    <t>pay_420004400</t>
  </si>
  <si>
    <t>pay_420004457</t>
  </si>
  <si>
    <t>pay_420004498</t>
  </si>
  <si>
    <t>pay_420004561</t>
  </si>
  <si>
    <t>pay_420004618</t>
  </si>
  <si>
    <t>pay_420004702</t>
  </si>
  <si>
    <t>pay_420004721</t>
  </si>
  <si>
    <t>pay_420004736</t>
  </si>
  <si>
    <t>pay_420004779</t>
  </si>
  <si>
    <t>pay_420004793</t>
  </si>
  <si>
    <t>pay_420004827</t>
  </si>
  <si>
    <t>pay_420004902</t>
  </si>
  <si>
    <t>pay_420004947</t>
  </si>
  <si>
    <t>pay_420005005</t>
  </si>
  <si>
    <t>pay_420005032</t>
  </si>
  <si>
    <t>pay_420005039</t>
  </si>
  <si>
    <t>pay_420005057</t>
  </si>
  <si>
    <t>pay_420005062</t>
  </si>
  <si>
    <t>pay_420005076</t>
  </si>
  <si>
    <t>pay_420005108</t>
  </si>
  <si>
    <t>pay_420005135</t>
  </si>
  <si>
    <t>pay_420005159</t>
  </si>
  <si>
    <t>pay_420005190</t>
  </si>
  <si>
    <t>pay_420005249</t>
  </si>
  <si>
    <t>pay_420005342</t>
  </si>
  <si>
    <t>pay_420005356</t>
  </si>
  <si>
    <t>pay_420005422</t>
  </si>
  <si>
    <t>pay_420005434</t>
  </si>
  <si>
    <t>pay_420005473</t>
  </si>
  <si>
    <t>pay_420005495</t>
  </si>
  <si>
    <t>pay_420005562</t>
  </si>
  <si>
    <t>pay_420005567</t>
  </si>
  <si>
    <t>pay_420005603</t>
  </si>
  <si>
    <t>pay_420005617</t>
  </si>
  <si>
    <t>pay_420005636</t>
  </si>
  <si>
    <t>pay_420005682</t>
  </si>
  <si>
    <t>pay_420005684</t>
  </si>
  <si>
    <t>pay_420005718</t>
  </si>
  <si>
    <t>pay_420000026</t>
  </si>
  <si>
    <t>pay_420000050</t>
  </si>
  <si>
    <t>pay_420000112</t>
  </si>
  <si>
    <t>pay_420000149</t>
  </si>
  <si>
    <t>pay_420000171</t>
  </si>
  <si>
    <t>pay_420000183</t>
  </si>
  <si>
    <t>pay_420000222</t>
  </si>
  <si>
    <t>pay_420000226</t>
  </si>
  <si>
    <t>pay_420000270</t>
  </si>
  <si>
    <t>pay_420000290</t>
  </si>
  <si>
    <t>pay_420000312</t>
  </si>
  <si>
    <t>pay_420000342</t>
  </si>
  <si>
    <t>pay_420000363</t>
  </si>
  <si>
    <t>pay_420000403</t>
  </si>
  <si>
    <t>pay_420000414</t>
  </si>
  <si>
    <t>pay_420000447</t>
  </si>
  <si>
    <t>pay_420000474</t>
  </si>
  <si>
    <t>pay_420000477</t>
  </si>
  <si>
    <t>pay_420000488</t>
  </si>
  <si>
    <t>pay_420000529</t>
  </si>
  <si>
    <t>pay_420000534</t>
  </si>
  <si>
    <t>pay_420000570</t>
  </si>
  <si>
    <t>pay_420000607</t>
  </si>
  <si>
    <t>pay_420000610</t>
  </si>
  <si>
    <t>pay_420000623</t>
  </si>
  <si>
    <t>pay_420000686</t>
  </si>
  <si>
    <t>pay_420000692</t>
  </si>
  <si>
    <t>pay_420000716</t>
  </si>
  <si>
    <t>pay_420000722</t>
  </si>
  <si>
    <t>pay_420000793</t>
  </si>
  <si>
    <t>pay_420000798</t>
  </si>
  <si>
    <t>pay_420000812</t>
  </si>
  <si>
    <t>pay_420000829</t>
  </si>
  <si>
    <t>pay_420000850</t>
  </si>
  <si>
    <t>pay_420000877</t>
  </si>
  <si>
    <t>pay_420000909</t>
  </si>
  <si>
    <t>pay_420000949</t>
  </si>
  <si>
    <t>pay_420000974</t>
  </si>
  <si>
    <t>pay_420000987</t>
  </si>
  <si>
    <t>pay_420000997</t>
  </si>
  <si>
    <t>pay_420001003</t>
  </si>
  <si>
    <t>pay_420001019</t>
  </si>
  <si>
    <t>pay_420001085</t>
  </si>
  <si>
    <t>pay_420001105</t>
  </si>
  <si>
    <t>pay_420001128</t>
  </si>
  <si>
    <t>pay_420001130</t>
  </si>
  <si>
    <t>pay_420001152</t>
  </si>
  <si>
    <t>pay_420001183</t>
  </si>
  <si>
    <t>pay_420001184</t>
  </si>
  <si>
    <t>pay_420001210</t>
  </si>
  <si>
    <t>pay_420001239</t>
  </si>
  <si>
    <t>pay_420001275</t>
  </si>
  <si>
    <t>pay_420001314</t>
  </si>
  <si>
    <t>pay_420001420</t>
  </si>
  <si>
    <t>pay_420001445</t>
  </si>
  <si>
    <t>pay_420001455</t>
  </si>
  <si>
    <t>pay_420001510</t>
  </si>
  <si>
    <t>pay_420001606</t>
  </si>
  <si>
    <t>pay_420001618</t>
  </si>
  <si>
    <t>pay_420001671</t>
  </si>
  <si>
    <t>pay_420001743</t>
  </si>
  <si>
    <t>pay_420001762</t>
  </si>
  <si>
    <t>pay_420001773</t>
  </si>
  <si>
    <t>pay_420001825</t>
  </si>
  <si>
    <t>pay_420001841</t>
  </si>
  <si>
    <t>pay_420001920</t>
  </si>
  <si>
    <t>pay_420001937</t>
  </si>
  <si>
    <t>pay_420001988</t>
  </si>
  <si>
    <t>pay_420002050</t>
  </si>
  <si>
    <t>pay_420002071</t>
  </si>
  <si>
    <t>pay_420002081</t>
  </si>
  <si>
    <t>pay_420002112</t>
  </si>
  <si>
    <t>pay_420002134</t>
  </si>
  <si>
    <t>pay_420002136</t>
  </si>
  <si>
    <t>pay_420002140</t>
  </si>
  <si>
    <t>pay_420002164</t>
  </si>
  <si>
    <t>pay_420002168</t>
  </si>
  <si>
    <t>pay_420002184</t>
  </si>
  <si>
    <t>pay_420002322</t>
  </si>
  <si>
    <t>pay_420002360</t>
  </si>
  <si>
    <t>pay_420002391</t>
  </si>
  <si>
    <t>pay_420002459</t>
  </si>
  <si>
    <t>pay_420002489</t>
  </si>
  <si>
    <t>pay_420002528</t>
  </si>
  <si>
    <t>pay_420002541</t>
  </si>
  <si>
    <t>pay_420002605</t>
  </si>
  <si>
    <t>pay_420002645</t>
  </si>
  <si>
    <t>pay_420002683</t>
  </si>
  <si>
    <t>pay_420002769</t>
  </si>
  <si>
    <t>pay_420002827</t>
  </si>
  <si>
    <t>pay_420002850</t>
  </si>
  <si>
    <t>pay_420002888</t>
  </si>
  <si>
    <t>pay_420002907</t>
  </si>
  <si>
    <t>pay_420002928</t>
  </si>
  <si>
    <t>pay_420002939</t>
  </si>
  <si>
    <t>pay_420002957</t>
  </si>
  <si>
    <t>pay_420003007</t>
  </si>
  <si>
    <t>pay_420003024</t>
  </si>
  <si>
    <t>pay_420003028</t>
  </si>
  <si>
    <t>pay_420003046</t>
  </si>
  <si>
    <t>pay_420003064</t>
  </si>
  <si>
    <t>pay_420003066</t>
  </si>
  <si>
    <t>pay_420003069</t>
  </si>
  <si>
    <t>pay_420003094</t>
  </si>
  <si>
    <t>pay_420003133</t>
  </si>
  <si>
    <t>pay_420003155</t>
  </si>
  <si>
    <t>pay_420003210</t>
  </si>
  <si>
    <t>pay_420003238</t>
  </si>
  <si>
    <t>pay_420003279</t>
  </si>
  <si>
    <t>pay_420003298</t>
  </si>
  <si>
    <t>pay_420003331</t>
  </si>
  <si>
    <t>pay_420003373</t>
  </si>
  <si>
    <t>pay_420003382</t>
  </si>
  <si>
    <t>pay_420003427</t>
  </si>
  <si>
    <t>pay_420003460</t>
  </si>
  <si>
    <t>pay_420003496</t>
  </si>
  <si>
    <t>pay_420003506</t>
  </si>
  <si>
    <t>pay_420003511</t>
  </si>
  <si>
    <t>pay_420003627</t>
  </si>
  <si>
    <t>pay_420003648</t>
  </si>
  <si>
    <t>pay_420003707</t>
  </si>
  <si>
    <t>pay_420003718</t>
  </si>
  <si>
    <t>pay_420003724</t>
  </si>
  <si>
    <t>pay_420003747</t>
  </si>
  <si>
    <t>pay_420003775</t>
  </si>
  <si>
    <t>pay_420003800</t>
  </si>
  <si>
    <t>pay_420003823</t>
  </si>
  <si>
    <t>pay_420003834</t>
  </si>
  <si>
    <t>pay_420003842</t>
  </si>
  <si>
    <t>pay_420003858</t>
  </si>
  <si>
    <t>pay_420003906</t>
  </si>
  <si>
    <t>pay_420003932</t>
  </si>
  <si>
    <t>pay_420003977</t>
  </si>
  <si>
    <t>pay_420003995</t>
  </si>
  <si>
    <t>pay_420004020</t>
  </si>
  <si>
    <t>pay_420004033</t>
  </si>
  <si>
    <t>pay_420004058</t>
  </si>
  <si>
    <t>pay_420004097</t>
  </si>
  <si>
    <t>pay_420004155</t>
  </si>
  <si>
    <t>pay_420004193</t>
  </si>
  <si>
    <t>pay_420004230</t>
  </si>
  <si>
    <t>pay_420004240</t>
  </si>
  <si>
    <t>pay_420004243</t>
  </si>
  <si>
    <t>pay_420004362</t>
  </si>
  <si>
    <t>pay_420004366</t>
  </si>
  <si>
    <t>pay_420004454</t>
  </si>
  <si>
    <t>pay_420004477</t>
  </si>
  <si>
    <t>pay_420004517</t>
  </si>
  <si>
    <t>pay_420004530</t>
  </si>
  <si>
    <t>pay_420004545</t>
  </si>
  <si>
    <t>pay_420004562</t>
  </si>
  <si>
    <t>pay_420004564</t>
  </si>
  <si>
    <t>pay_420004580</t>
  </si>
  <si>
    <t>pay_420004627</t>
  </si>
  <si>
    <t>pay_420004638</t>
  </si>
  <si>
    <t>pay_420004734</t>
  </si>
  <si>
    <t>pay_420004756</t>
  </si>
  <si>
    <t>pay_420004802</t>
  </si>
  <si>
    <t>pay_420004859</t>
  </si>
  <si>
    <t>pay_420004879</t>
  </si>
  <si>
    <t>pay_420004885</t>
  </si>
  <si>
    <t>pay_420004943</t>
  </si>
  <si>
    <t>pay_420004985</t>
  </si>
  <si>
    <t>pay_420005140</t>
  </si>
  <si>
    <t>pay_420005189</t>
  </si>
  <si>
    <t>pay_420005236</t>
  </si>
  <si>
    <t>pay_420005243</t>
  </si>
  <si>
    <t>pay_420005353</t>
  </si>
  <si>
    <t>pay_420005379</t>
  </si>
  <si>
    <t>pay_420005386</t>
  </si>
  <si>
    <t>pay_420005390</t>
  </si>
  <si>
    <t>pay_420005400</t>
  </si>
  <si>
    <t>pay_420005407</t>
  </si>
  <si>
    <t>pay_420005472</t>
  </si>
  <si>
    <t>pay_420005531</t>
  </si>
  <si>
    <t>pay_420005557</t>
  </si>
  <si>
    <t>pay_420005561</t>
  </si>
  <si>
    <t>pay_420005613</t>
  </si>
  <si>
    <t>pay_420005642</t>
  </si>
  <si>
    <t>pay_420005674</t>
  </si>
  <si>
    <t>pay_420005710</t>
  </si>
  <si>
    <t>pay_420000005</t>
  </si>
  <si>
    <t>pay_420000051</t>
  </si>
  <si>
    <t>pay_420000061</t>
  </si>
  <si>
    <t>pay_420000215</t>
  </si>
  <si>
    <t>pay_420000235</t>
  </si>
  <si>
    <t>pay_420000288</t>
  </si>
  <si>
    <t>pay_420000373</t>
  </si>
  <si>
    <t>pay_420000384</t>
  </si>
  <si>
    <t>pay_420000397</t>
  </si>
  <si>
    <t>pay_420000485</t>
  </si>
  <si>
    <t>pay_420000545</t>
  </si>
  <si>
    <t>pay_420000547</t>
  </si>
  <si>
    <t>pay_420000574</t>
  </si>
  <si>
    <t>pay_420000715</t>
  </si>
  <si>
    <t>pay_420000739</t>
  </si>
  <si>
    <t>pay_420000749</t>
  </si>
  <si>
    <t>pay_420000759</t>
  </si>
  <si>
    <t>pay_420000788</t>
  </si>
  <si>
    <t>pay_420000789</t>
  </si>
  <si>
    <t>pay_420000910</t>
  </si>
  <si>
    <t>pay_420000937</t>
  </si>
  <si>
    <t>pay_420000981</t>
  </si>
  <si>
    <t>pay_420001017</t>
  </si>
  <si>
    <t>pay_420001032</t>
  </si>
  <si>
    <t>pay_420001044</t>
  </si>
  <si>
    <t>pay_420001108</t>
  </si>
  <si>
    <t>pay_420001155</t>
  </si>
  <si>
    <t>pay_420001166</t>
  </si>
  <si>
    <t>pay_420001251</t>
  </si>
  <si>
    <t>pay_420001276</t>
  </si>
  <si>
    <t>pay_420001443</t>
  </si>
  <si>
    <t>pay_420001444</t>
  </si>
  <si>
    <t>pay_420001447</t>
  </si>
  <si>
    <t>pay_420001479</t>
  </si>
  <si>
    <t>pay_420001556</t>
  </si>
  <si>
    <t>pay_420001613</t>
  </si>
  <si>
    <t>pay_420001642</t>
  </si>
  <si>
    <t>pay_420001645</t>
  </si>
  <si>
    <t>pay_420001726</t>
  </si>
  <si>
    <t>pay_420001731</t>
  </si>
  <si>
    <t>pay_420001778</t>
  </si>
  <si>
    <t>pay_420001788</t>
  </si>
  <si>
    <t>pay_420001801</t>
  </si>
  <si>
    <t>pay_420001873</t>
  </si>
  <si>
    <t>pay_420001876</t>
  </si>
  <si>
    <t>pay_420001881</t>
  </si>
  <si>
    <t>pay_420001902</t>
  </si>
  <si>
    <t>pay_420001931</t>
  </si>
  <si>
    <t>pay_420001949</t>
  </si>
  <si>
    <t>pay_420001977</t>
  </si>
  <si>
    <t>pay_420001978</t>
  </si>
  <si>
    <t>pay_420002010</t>
  </si>
  <si>
    <t>pay_420002022</t>
  </si>
  <si>
    <t>pay_420002024</t>
  </si>
  <si>
    <t>pay_420002052</t>
  </si>
  <si>
    <t>pay_420002088</t>
  </si>
  <si>
    <t>pay_420002105</t>
  </si>
  <si>
    <t>pay_420002107</t>
  </si>
  <si>
    <t>pay_420002108</t>
  </si>
  <si>
    <t>pay_420002138</t>
  </si>
  <si>
    <t>pay_420002147</t>
  </si>
  <si>
    <t>pay_420002150</t>
  </si>
  <si>
    <t>pay_420002154</t>
  </si>
  <si>
    <t>pay_420002158</t>
  </si>
  <si>
    <t>pay_420002169</t>
  </si>
  <si>
    <t>pay_420002172</t>
  </si>
  <si>
    <t>pay_420002194</t>
  </si>
  <si>
    <t>pay_420002209</t>
  </si>
  <si>
    <t>pay_420002222</t>
  </si>
  <si>
    <t>pay_420002354</t>
  </si>
  <si>
    <t>pay_420002387</t>
  </si>
  <si>
    <t>pay_420002416</t>
  </si>
  <si>
    <t>pay_420002434</t>
  </si>
  <si>
    <t>pay_420002440</t>
  </si>
  <si>
    <t>pay_420002506</t>
  </si>
  <si>
    <t>pay_420002542</t>
  </si>
  <si>
    <t>pay_420002578</t>
  </si>
  <si>
    <t>pay_420002585</t>
  </si>
  <si>
    <t>pay_420002596</t>
  </si>
  <si>
    <t>pay_420002601</t>
  </si>
  <si>
    <t>pay_420002612</t>
  </si>
  <si>
    <t>pay_420002622</t>
  </si>
  <si>
    <t>pay_420002624</t>
  </si>
  <si>
    <t>pay_420002689</t>
  </si>
  <si>
    <t>pay_420002700</t>
  </si>
  <si>
    <t>pay_420002705</t>
  </si>
  <si>
    <t>pay_420002731</t>
  </si>
  <si>
    <t>pay_420002764</t>
  </si>
  <si>
    <t>pay_420002774</t>
  </si>
  <si>
    <t>pay_420002821</t>
  </si>
  <si>
    <t>pay_420002854</t>
  </si>
  <si>
    <t>pay_420002863</t>
  </si>
  <si>
    <t>pay_420002865</t>
  </si>
  <si>
    <t>pay_420002955</t>
  </si>
  <si>
    <t>pay_420002992</t>
  </si>
  <si>
    <t>pay_420003016</t>
  </si>
  <si>
    <t>pay_420003059</t>
  </si>
  <si>
    <t>pay_420003099</t>
  </si>
  <si>
    <t>pay_420003119</t>
  </si>
  <si>
    <t>pay_420003136</t>
  </si>
  <si>
    <t>pay_420003141</t>
  </si>
  <si>
    <t>pay_420003143</t>
  </si>
  <si>
    <t>pay_420003183</t>
  </si>
  <si>
    <t>pay_420003257</t>
  </si>
  <si>
    <t>pay_420003289</t>
  </si>
  <si>
    <t>pay_420003337</t>
  </si>
  <si>
    <t>pay_420003393</t>
  </si>
  <si>
    <t>pay_420003430</t>
  </si>
  <si>
    <t>pay_420003440</t>
  </si>
  <si>
    <t>pay_420003486</t>
  </si>
  <si>
    <t>pay_420003519</t>
  </si>
  <si>
    <t>pay_420003545</t>
  </si>
  <si>
    <t>pay_420003610</t>
  </si>
  <si>
    <t>pay_420003619</t>
  </si>
  <si>
    <t>pay_420003672</t>
  </si>
  <si>
    <t>pay_420003752</t>
  </si>
  <si>
    <t>pay_420003807</t>
  </si>
  <si>
    <t>pay_420003814</t>
  </si>
  <si>
    <t>pay_420003818</t>
  </si>
  <si>
    <t>pay_420003838</t>
  </si>
  <si>
    <t>pay_420003844</t>
  </si>
  <si>
    <t>pay_420003908</t>
  </si>
  <si>
    <t>pay_420003933</t>
  </si>
  <si>
    <t>pay_420003947</t>
  </si>
  <si>
    <t>pay_420003948</t>
  </si>
  <si>
    <t>pay_420003979</t>
  </si>
  <si>
    <t>pay_420004038</t>
  </si>
  <si>
    <t>pay_420004039</t>
  </si>
  <si>
    <t>pay_420004092</t>
  </si>
  <si>
    <t>pay_420004098</t>
  </si>
  <si>
    <t>pay_420004106</t>
  </si>
  <si>
    <t>pay_420004112</t>
  </si>
  <si>
    <t>pay_420004142</t>
  </si>
  <si>
    <t>pay_420004156</t>
  </si>
  <si>
    <t>pay_420004166</t>
  </si>
  <si>
    <t>pay_420004172</t>
  </si>
  <si>
    <t>pay_420004178</t>
  </si>
  <si>
    <t>pay_420004186</t>
  </si>
  <si>
    <t>pay_420004234</t>
  </si>
  <si>
    <t>pay_420004235</t>
  </si>
  <si>
    <t>pay_420004251</t>
  </si>
  <si>
    <t>pay_420004263</t>
  </si>
  <si>
    <t>pay_420004317</t>
  </si>
  <si>
    <t>pay_420004350</t>
  </si>
  <si>
    <t>pay_420004376</t>
  </si>
  <si>
    <t>pay_420004399</t>
  </si>
  <si>
    <t>pay_420004433</t>
  </si>
  <si>
    <t>pay_420004443</t>
  </si>
  <si>
    <t>pay_420004460</t>
  </si>
  <si>
    <t>pay_420004493</t>
  </si>
  <si>
    <t>pay_420004527</t>
  </si>
  <si>
    <t>pay_420004532</t>
  </si>
  <si>
    <t>pay_420004534</t>
  </si>
  <si>
    <t>pay_420004544</t>
  </si>
  <si>
    <t>pay_420004560</t>
  </si>
  <si>
    <t>pay_420004575</t>
  </si>
  <si>
    <t>pay_420004623</t>
  </si>
  <si>
    <t>pay_420004640</t>
  </si>
  <si>
    <t>pay_420004648</t>
  </si>
  <si>
    <t>pay_420004651</t>
  </si>
  <si>
    <t>pay_420004658</t>
  </si>
  <si>
    <t>pay_420004667</t>
  </si>
  <si>
    <t>pay_420004681</t>
  </si>
  <si>
    <t>pay_420004694</t>
  </si>
  <si>
    <t>pay_420004695</t>
  </si>
  <si>
    <t>pay_420004704</t>
  </si>
  <si>
    <t>pay_420004708</t>
  </si>
  <si>
    <t>pay_420004724</t>
  </si>
  <si>
    <t>pay_420004804</t>
  </si>
  <si>
    <t>pay_420004818</t>
  </si>
  <si>
    <t>pay_420004829</t>
  </si>
  <si>
    <t>pay_420004844</t>
  </si>
  <si>
    <t>pay_420004855</t>
  </si>
  <si>
    <t>pay_420004892</t>
  </si>
  <si>
    <t>pay_420004917</t>
  </si>
  <si>
    <t>pay_420005037</t>
  </si>
  <si>
    <t>pay_420005044</t>
  </si>
  <si>
    <t>pay_420005069</t>
  </si>
  <si>
    <t>pay_420005072</t>
  </si>
  <si>
    <t>pay_420005090</t>
  </si>
  <si>
    <t>pay_420005120</t>
  </si>
  <si>
    <t>pay_420005149</t>
  </si>
  <si>
    <t>pay_420005186</t>
  </si>
  <si>
    <t>pay_420005211</t>
  </si>
  <si>
    <t>pay_420005275</t>
  </si>
  <si>
    <t>pay_420005277</t>
  </si>
  <si>
    <t>pay_420005278</t>
  </si>
  <si>
    <t>pay_420005315</t>
  </si>
  <si>
    <t>pay_420005329</t>
  </si>
  <si>
    <t>pay_420005345</t>
  </si>
  <si>
    <t>pay_420005425</t>
  </si>
  <si>
    <t>pay_420005435</t>
  </si>
  <si>
    <t>pay_420005449</t>
  </si>
  <si>
    <t>pay_420005494</t>
  </si>
  <si>
    <t>pay_420005508</t>
  </si>
  <si>
    <t>pay_420005528</t>
  </si>
  <si>
    <t>pay_420005536</t>
  </si>
  <si>
    <t>pay_420005588</t>
  </si>
  <si>
    <t>pay_420005619</t>
  </si>
  <si>
    <t>pay_420005631</t>
  </si>
  <si>
    <t>pay_420005634</t>
  </si>
  <si>
    <t>pay_420005691</t>
  </si>
  <si>
    <t>pay_420005692</t>
  </si>
  <si>
    <t>pay_420005700</t>
  </si>
  <si>
    <t>pay_420005729</t>
  </si>
  <si>
    <t>pay_420000063</t>
  </si>
  <si>
    <t>pay_420000088</t>
  </si>
  <si>
    <t>pay_420000094</t>
  </si>
  <si>
    <t>pay_420000102</t>
  </si>
  <si>
    <t>pay_420000145</t>
  </si>
  <si>
    <t>pay_420000195</t>
  </si>
  <si>
    <t>pay_420000223</t>
  </si>
  <si>
    <t>pay_420000247</t>
  </si>
  <si>
    <t>pay_420000341</t>
  </si>
  <si>
    <t>pay_420000349</t>
  </si>
  <si>
    <t>pay_420000406</t>
  </si>
  <si>
    <t>pay_420000421</t>
  </si>
  <si>
    <t>pay_420000429</t>
  </si>
  <si>
    <t>pay_420000442</t>
  </si>
  <si>
    <t>pay_420000458</t>
  </si>
  <si>
    <t>pay_420000468</t>
  </si>
  <si>
    <t>pay_420000481</t>
  </si>
  <si>
    <t>pay_420000509</t>
  </si>
  <si>
    <t>pay_420000554</t>
  </si>
  <si>
    <t>pay_420000573</t>
  </si>
  <si>
    <t>pay_420000606</t>
  </si>
  <si>
    <t>pay_420000613</t>
  </si>
  <si>
    <t>pay_420000654</t>
  </si>
  <si>
    <t>pay_420000676</t>
  </si>
  <si>
    <t>pay_420000690</t>
  </si>
  <si>
    <t>pay_420000756</t>
  </si>
  <si>
    <t>pay_420000773</t>
  </si>
  <si>
    <t>pay_420000891</t>
  </si>
  <si>
    <t>pay_420000927</t>
  </si>
  <si>
    <t>pay_420000945</t>
  </si>
  <si>
    <t>pay_420000972</t>
  </si>
  <si>
    <t>pay_420000993</t>
  </si>
  <si>
    <t>pay_420001089</t>
  </si>
  <si>
    <t>pay_420001115</t>
  </si>
  <si>
    <t>pay_420001153</t>
  </si>
  <si>
    <t>pay_420001179</t>
  </si>
  <si>
    <t>pay_420001208</t>
  </si>
  <si>
    <t>pay_420001241</t>
  </si>
  <si>
    <t>pay_420001366</t>
  </si>
  <si>
    <t>pay_420001421</t>
  </si>
  <si>
    <t>pay_420001446</t>
  </si>
  <si>
    <t>pay_420001453</t>
  </si>
  <si>
    <t>pay_420001483</t>
  </si>
  <si>
    <t>pay_420001545</t>
  </si>
  <si>
    <t>pay_420001553</t>
  </si>
  <si>
    <t>pay_420001730</t>
  </si>
  <si>
    <t>pay_420001792</t>
  </si>
  <si>
    <t>pay_420001806</t>
  </si>
  <si>
    <t>pay_420001822</t>
  </si>
  <si>
    <t>pay_420001826</t>
  </si>
  <si>
    <t>pay_420001966</t>
  </si>
  <si>
    <t>pay_420001993</t>
  </si>
  <si>
    <t>pay_420002019</t>
  </si>
  <si>
    <t>pay_420002036</t>
  </si>
  <si>
    <t>pay_420002055</t>
  </si>
  <si>
    <t>pay_420002116</t>
  </si>
  <si>
    <t>pay_420002153</t>
  </si>
  <si>
    <t>pay_420002162</t>
  </si>
  <si>
    <t>pay_420002295</t>
  </si>
  <si>
    <t>pay_420002302</t>
  </si>
  <si>
    <t>pay_420002320</t>
  </si>
  <si>
    <t>pay_420002461</t>
  </si>
  <si>
    <t>pay_420002568</t>
  </si>
  <si>
    <t>pay_420002569</t>
  </si>
  <si>
    <t>pay_420002573</t>
  </si>
  <si>
    <t>pay_420002660</t>
  </si>
  <si>
    <t>pay_420002674</t>
  </si>
  <si>
    <t>pay_420002747</t>
  </si>
  <si>
    <t>pay_420002755</t>
  </si>
  <si>
    <t>pay_420002835</t>
  </si>
  <si>
    <t>pay_420002845</t>
  </si>
  <si>
    <t>pay_420002875</t>
  </si>
  <si>
    <t>pay_420002893</t>
  </si>
  <si>
    <t>pay_420002914</t>
  </si>
  <si>
    <t>pay_420002952</t>
  </si>
  <si>
    <t>pay_420002959</t>
  </si>
  <si>
    <t>pay_420002979</t>
  </si>
  <si>
    <t>pay_420003030</t>
  </si>
  <si>
    <t>pay_420003109</t>
  </si>
  <si>
    <t>pay_420003125</t>
  </si>
  <si>
    <t>pay_420003153</t>
  </si>
  <si>
    <t>pay_420003184</t>
  </si>
  <si>
    <t>pay_420003265</t>
  </si>
  <si>
    <t>pay_420003280</t>
  </si>
  <si>
    <t>pay_420003312</t>
  </si>
  <si>
    <t>pay_420003369</t>
  </si>
  <si>
    <t>pay_420003372</t>
  </si>
  <si>
    <t>pay_420003381</t>
  </si>
  <si>
    <t>pay_420003392</t>
  </si>
  <si>
    <t>pay_420003404</t>
  </si>
  <si>
    <t>pay_420003437</t>
  </si>
  <si>
    <t>pay_420003450</t>
  </si>
  <si>
    <t>pay_420003453</t>
  </si>
  <si>
    <t>pay_420003500</t>
  </si>
  <si>
    <t>pay_420003661</t>
  </si>
  <si>
    <t>pay_420003677</t>
  </si>
  <si>
    <t>pay_420003703</t>
  </si>
  <si>
    <t>pay_420003765</t>
  </si>
  <si>
    <t>pay_420003772</t>
  </si>
  <si>
    <t>pay_420003773</t>
  </si>
  <si>
    <t>pay_420003854</t>
  </si>
  <si>
    <t>pay_420003886</t>
  </si>
  <si>
    <t>pay_420003891</t>
  </si>
  <si>
    <t>pay_420003892</t>
  </si>
  <si>
    <t>pay_420003942</t>
  </si>
  <si>
    <t>pay_420003945</t>
  </si>
  <si>
    <t>pay_420003953</t>
  </si>
  <si>
    <t>pay_420003960</t>
  </si>
  <si>
    <t>pay_420003972</t>
  </si>
  <si>
    <t>pay_420004016</t>
  </si>
  <si>
    <t>pay_420004037</t>
  </si>
  <si>
    <t>pay_420004071</t>
  </si>
  <si>
    <t>pay_420004125</t>
  </si>
  <si>
    <t>pay_420004137</t>
  </si>
  <si>
    <t>pay_420004164</t>
  </si>
  <si>
    <t>pay_420004171</t>
  </si>
  <si>
    <t>pay_420004222</t>
  </si>
  <si>
    <t>pay_420004269</t>
  </si>
  <si>
    <t>pay_420004286</t>
  </si>
  <si>
    <t>pay_420004323</t>
  </si>
  <si>
    <t>pay_420004325</t>
  </si>
  <si>
    <t>pay_420004330</t>
  </si>
  <si>
    <t>pay_420004419</t>
  </si>
  <si>
    <t>pay_420004424</t>
  </si>
  <si>
    <t>pay_420004439</t>
  </si>
  <si>
    <t>pay_420004465</t>
  </si>
  <si>
    <t>pay_420004482</t>
  </si>
  <si>
    <t>pay_420004495</t>
  </si>
  <si>
    <t>pay_420004513</t>
  </si>
  <si>
    <t>pay_420004522</t>
  </si>
  <si>
    <t>pay_420004538</t>
  </si>
  <si>
    <t>pay_420004583</t>
  </si>
  <si>
    <t>pay_420004596</t>
  </si>
  <si>
    <t>pay_420004619</t>
  </si>
  <si>
    <t>pay_420004634</t>
  </si>
  <si>
    <t>pay_420004699</t>
  </si>
  <si>
    <t>pay_420004706</t>
  </si>
  <si>
    <t>pay_420004730</t>
  </si>
  <si>
    <t>pay_420004748</t>
  </si>
  <si>
    <t>pay_420004762</t>
  </si>
  <si>
    <t>pay_420004768</t>
  </si>
  <si>
    <t>pay_420004780</t>
  </si>
  <si>
    <t>pay_420004817</t>
  </si>
  <si>
    <t>pay_420004832</t>
  </si>
  <si>
    <t>pay_420004841</t>
  </si>
  <si>
    <t>pay_420004849</t>
  </si>
  <si>
    <t>pay_420004873</t>
  </si>
  <si>
    <t>pay_420004923</t>
  </si>
  <si>
    <t>pay_420004927</t>
  </si>
  <si>
    <t>pay_420004941</t>
  </si>
  <si>
    <t>pay_420005025</t>
  </si>
  <si>
    <t>pay_420005067</t>
  </si>
  <si>
    <t>pay_420005119</t>
  </si>
  <si>
    <t>pay_420005148</t>
  </si>
  <si>
    <t>pay_420005156</t>
  </si>
  <si>
    <t>pay_420005181</t>
  </si>
  <si>
    <t>pay_420005193</t>
  </si>
  <si>
    <t>pay_420005201</t>
  </si>
  <si>
    <t>pay_420005216</t>
  </si>
  <si>
    <t>pay_420005228</t>
  </si>
  <si>
    <t>pay_420005273</t>
  </si>
  <si>
    <t>pay_420005289</t>
  </si>
  <si>
    <t>pay_420005336</t>
  </si>
  <si>
    <t>pay_420005339</t>
  </si>
  <si>
    <t>pay_420005370</t>
  </si>
  <si>
    <t>pay_420005428</t>
  </si>
  <si>
    <t>pay_420005440</t>
  </si>
  <si>
    <t>pay_420005468</t>
  </si>
  <si>
    <t>pay_420005498</t>
  </si>
  <si>
    <t>pay_420005504</t>
  </si>
  <si>
    <t>pay_420005546</t>
  </si>
  <si>
    <t>pay_420005573</t>
  </si>
  <si>
    <t>pay_420005681</t>
  </si>
  <si>
    <t>pay_420005741</t>
  </si>
  <si>
    <t>pay_420000006</t>
  </si>
  <si>
    <t>pay_420000013</t>
  </si>
  <si>
    <t>pay_420000044</t>
  </si>
  <si>
    <t>pay_420000055</t>
  </si>
  <si>
    <t>pay_420000103</t>
  </si>
  <si>
    <t>pay_420000136</t>
  </si>
  <si>
    <t>pay_420000137</t>
  </si>
  <si>
    <t>pay_420000164</t>
  </si>
  <si>
    <t>pay_420000190</t>
  </si>
  <si>
    <t>pay_420000242</t>
  </si>
  <si>
    <t>pay_420000346</t>
  </si>
  <si>
    <t>pay_420000359</t>
  </si>
  <si>
    <t>pay_420000404</t>
  </si>
  <si>
    <t>pay_420000428</t>
  </si>
  <si>
    <t>pay_420000523</t>
  </si>
  <si>
    <t>pay_420000532</t>
  </si>
  <si>
    <t>pay_420000614</t>
  </si>
  <si>
    <t>pay_420000630</t>
  </si>
  <si>
    <t>pay_420000637</t>
  </si>
  <si>
    <t>pay_420000658</t>
  </si>
  <si>
    <t>pay_420000711</t>
  </si>
  <si>
    <t>pay_420000795</t>
  </si>
  <si>
    <t>pay_420000819</t>
  </si>
  <si>
    <t>pay_420000824</t>
  </si>
  <si>
    <t>pay_420000883</t>
  </si>
  <si>
    <t>pay_420000908</t>
  </si>
  <si>
    <t>pay_420000920</t>
  </si>
  <si>
    <t>pay_420000971</t>
  </si>
  <si>
    <t>pay_420000980</t>
  </si>
  <si>
    <t>pay_420000996</t>
  </si>
  <si>
    <t>pay_420001036</t>
  </si>
  <si>
    <t>pay_420001051</t>
  </si>
  <si>
    <t>pay_420001071</t>
  </si>
  <si>
    <t>pay_420001076</t>
  </si>
  <si>
    <t>pay_420001172</t>
  </si>
  <si>
    <t>pay_420001201</t>
  </si>
  <si>
    <t>pay_420001215</t>
  </si>
  <si>
    <t>pay_420001288</t>
  </si>
  <si>
    <t>pay_420001289</t>
  </si>
  <si>
    <t>pay_420001300</t>
  </si>
  <si>
    <t>pay_420001347</t>
  </si>
  <si>
    <t>pay_420001361</t>
  </si>
  <si>
    <t>pay_420001377</t>
  </si>
  <si>
    <t>pay_420001379</t>
  </si>
  <si>
    <t>pay_420001383</t>
  </si>
  <si>
    <t>pay_420001397</t>
  </si>
  <si>
    <t>pay_420001407</t>
  </si>
  <si>
    <t>pay_420001413</t>
  </si>
  <si>
    <t>pay_420001422</t>
  </si>
  <si>
    <t>pay_420001490</t>
  </si>
  <si>
    <t>pay_420001491</t>
  </si>
  <si>
    <t>pay_420001511</t>
  </si>
  <si>
    <t>pay_420001527</t>
  </si>
  <si>
    <t>pay_420001562</t>
  </si>
  <si>
    <t>pay_420001657</t>
  </si>
  <si>
    <t>pay_420001700</t>
  </si>
  <si>
    <t>pay_420001735</t>
  </si>
  <si>
    <t>pay_420001746</t>
  </si>
  <si>
    <t>pay_420001846</t>
  </si>
  <si>
    <t>pay_420001866</t>
  </si>
  <si>
    <t>pay_420001948</t>
  </si>
  <si>
    <t>pay_420001990</t>
  </si>
  <si>
    <t>pay_420002067</t>
  </si>
  <si>
    <t>pay_420002087</t>
  </si>
  <si>
    <t>pay_420002098</t>
  </si>
  <si>
    <t>pay_420002100</t>
  </si>
  <si>
    <t>pay_420002128</t>
  </si>
  <si>
    <t>pay_420002145</t>
  </si>
  <si>
    <t>pay_420002175</t>
  </si>
  <si>
    <t>pay_420002183</t>
  </si>
  <si>
    <t>pay_420002239</t>
  </si>
  <si>
    <t>pay_420002243</t>
  </si>
  <si>
    <t>pay_420002252</t>
  </si>
  <si>
    <t>pay_420002261</t>
  </si>
  <si>
    <t>pay_420002280</t>
  </si>
  <si>
    <t>pay_420002294</t>
  </si>
  <si>
    <t>pay_420002298</t>
  </si>
  <si>
    <t>pay_420002300</t>
  </si>
  <si>
    <t>pay_420002307</t>
  </si>
  <si>
    <t>pay_420002357</t>
  </si>
  <si>
    <t>pay_420002436</t>
  </si>
  <si>
    <t>pay_420002441</t>
  </si>
  <si>
    <t>pay_420002474</t>
  </si>
  <si>
    <t>pay_420002540</t>
  </si>
  <si>
    <t>pay_420002577</t>
  </si>
  <si>
    <t>pay_420002580</t>
  </si>
  <si>
    <t>pay_420002599</t>
  </si>
  <si>
    <t>pay_420002613</t>
  </si>
  <si>
    <t>pay_420002633</t>
  </si>
  <si>
    <t>pay_420002676</t>
  </si>
  <si>
    <t>pay_420002716</t>
  </si>
  <si>
    <t>pay_420002725</t>
  </si>
  <si>
    <t>pay_420002788</t>
  </si>
  <si>
    <t>pay_420002804</t>
  </si>
  <si>
    <t>pay_420002816</t>
  </si>
  <si>
    <t>pay_420002828</t>
  </si>
  <si>
    <t>pay_420002833</t>
  </si>
  <si>
    <t>pay_420002839</t>
  </si>
  <si>
    <t>pay_420002842</t>
  </si>
  <si>
    <t>pay_420002870</t>
  </si>
  <si>
    <t>pay_420002895</t>
  </si>
  <si>
    <t>pay_420002921</t>
  </si>
  <si>
    <t>pay_420002951</t>
  </si>
  <si>
    <t>pay_420002982</t>
  </si>
  <si>
    <t>pay_420003022</t>
  </si>
  <si>
    <t>pay_420003034</t>
  </si>
  <si>
    <t>pay_420003058</t>
  </si>
  <si>
    <t>pay_420003076</t>
  </si>
  <si>
    <t>pay_420003131</t>
  </si>
  <si>
    <t>pay_420003135</t>
  </si>
  <si>
    <t>pay_420003176</t>
  </si>
  <si>
    <t>pay_420003178</t>
  </si>
  <si>
    <t>pay_420003223</t>
  </si>
  <si>
    <t>pay_420003226</t>
  </si>
  <si>
    <t>pay_420003229</t>
  </si>
  <si>
    <t>pay_420003237</t>
  </si>
  <si>
    <t>pay_420003267</t>
  </si>
  <si>
    <t>pay_420003286</t>
  </si>
  <si>
    <t>pay_420003317</t>
  </si>
  <si>
    <t>pay_420003320</t>
  </si>
  <si>
    <t>pay_420003339</t>
  </si>
  <si>
    <t>pay_420003340</t>
  </si>
  <si>
    <t>pay_420003394</t>
  </si>
  <si>
    <t>pay_420003413</t>
  </si>
  <si>
    <t>pay_420003417</t>
  </si>
  <si>
    <t>pay_420003418</t>
  </si>
  <si>
    <t>pay_420003428</t>
  </si>
  <si>
    <t>pay_420003499</t>
  </si>
  <si>
    <t>pay_420003523</t>
  </si>
  <si>
    <t>pay_420003541</t>
  </si>
  <si>
    <t>pay_420003565</t>
  </si>
  <si>
    <t>pay_420003584</t>
  </si>
  <si>
    <t>pay_420003589</t>
  </si>
  <si>
    <t>pay_420003642</t>
  </si>
  <si>
    <t>pay_420003645</t>
  </si>
  <si>
    <t>pay_420003647</t>
  </si>
  <si>
    <t>pay_420003690</t>
  </si>
  <si>
    <t>pay_420003699</t>
  </si>
  <si>
    <t>pay_420003723</t>
  </si>
  <si>
    <t>pay_420003726</t>
  </si>
  <si>
    <t>pay_420003738</t>
  </si>
  <si>
    <t>pay_420003774</t>
  </si>
  <si>
    <t>pay_420003776</t>
  </si>
  <si>
    <t>pay_420003796</t>
  </si>
  <si>
    <t>pay_420003821</t>
  </si>
  <si>
    <t>pay_420003861</t>
  </si>
  <si>
    <t>pay_420003865</t>
  </si>
  <si>
    <t>pay_420003875</t>
  </si>
  <si>
    <t>pay_420003909</t>
  </si>
  <si>
    <t>pay_420003919</t>
  </si>
  <si>
    <t>pay_420003922</t>
  </si>
  <si>
    <t>pay_420003926</t>
  </si>
  <si>
    <t>pay_420003963</t>
  </si>
  <si>
    <t>pay_420003971</t>
  </si>
  <si>
    <t>pay_420004022</t>
  </si>
  <si>
    <t>pay_420004060</t>
  </si>
  <si>
    <t>pay_420004100</t>
  </si>
  <si>
    <t>pay_420004104</t>
  </si>
  <si>
    <t>pay_420004180</t>
  </si>
  <si>
    <t>pay_420004198</t>
  </si>
  <si>
    <t>pay_420004219</t>
  </si>
  <si>
    <t>pay_420004244</t>
  </si>
  <si>
    <t>pay_420004281</t>
  </si>
  <si>
    <t>pay_420004332</t>
  </si>
  <si>
    <t>pay_420004355</t>
  </si>
  <si>
    <t>pay_420004382</t>
  </si>
  <si>
    <t>pay_420004417</t>
  </si>
  <si>
    <t>pay_420004479</t>
  </si>
  <si>
    <t>pay_420004507</t>
  </si>
  <si>
    <t>pay_420004510</t>
  </si>
  <si>
    <t>pay_420004518</t>
  </si>
  <si>
    <t>pay_420004539</t>
  </si>
  <si>
    <t>pay_420004568</t>
  </si>
  <si>
    <t>pay_420004572</t>
  </si>
  <si>
    <t>pay_420004593</t>
  </si>
  <si>
    <t>pay_420004598</t>
  </si>
  <si>
    <t>pay_420004631</t>
  </si>
  <si>
    <t>pay_420004646</t>
  </si>
  <si>
    <t>pay_420004690</t>
  </si>
  <si>
    <t>pay_420004718</t>
  </si>
  <si>
    <t>pay_420004739</t>
  </si>
  <si>
    <t>pay_420004754</t>
  </si>
  <si>
    <t>pay_420004821</t>
  </si>
  <si>
    <t>pay_420004868</t>
  </si>
  <si>
    <t>pay_420004872</t>
  </si>
  <si>
    <t>pay_420004883</t>
  </si>
  <si>
    <t>pay_420005031</t>
  </si>
  <si>
    <t>pay_420005047</t>
  </si>
  <si>
    <t>pay_420005052</t>
  </si>
  <si>
    <t>pay_420005087</t>
  </si>
  <si>
    <t>pay_420005116</t>
  </si>
  <si>
    <t>pay_420005142</t>
  </si>
  <si>
    <t>pay_420005164</t>
  </si>
  <si>
    <t>pay_420005185</t>
  </si>
  <si>
    <t>pay_420005261</t>
  </si>
  <si>
    <t>pay_420005276</t>
  </si>
  <si>
    <t>pay_420005316</t>
  </si>
  <si>
    <t>pay_420005374</t>
  </si>
  <si>
    <t>pay_420005406</t>
  </si>
  <si>
    <t>pay_420005438</t>
  </si>
  <si>
    <t>pay_420005481</t>
  </si>
  <si>
    <t>pay_420005482</t>
  </si>
  <si>
    <t>pay_420005577</t>
  </si>
  <si>
    <t>pay_420005583</t>
  </si>
  <si>
    <t>pay_420005621</t>
  </si>
  <si>
    <t>pay_420005632</t>
  </si>
  <si>
    <t>pay_420005672</t>
  </si>
  <si>
    <t>pay_420005688</t>
  </si>
  <si>
    <t>pay_420005703</t>
  </si>
  <si>
    <t>pay_420005707</t>
  </si>
  <si>
    <t>pay_420005724</t>
  </si>
  <si>
    <t>pay_420005726</t>
  </si>
  <si>
    <t>pay_420000033</t>
  </si>
  <si>
    <t>pay_420000080</t>
  </si>
  <si>
    <t>pay_420000130</t>
  </si>
  <si>
    <t>pay_420000143</t>
  </si>
  <si>
    <t>pay_420000179</t>
  </si>
  <si>
    <t>pay_420000199</t>
  </si>
  <si>
    <t>pay_420000224</t>
  </si>
  <si>
    <t>pay_420000245</t>
  </si>
  <si>
    <t>pay_420000261</t>
  </si>
  <si>
    <t>pay_420000272</t>
  </si>
  <si>
    <t>pay_420000274</t>
  </si>
  <si>
    <t>pay_420000379</t>
  </si>
  <si>
    <t>pay_420000462</t>
  </si>
  <si>
    <t>pay_420000463</t>
  </si>
  <si>
    <t>pay_420000506</t>
  </si>
  <si>
    <t>pay_420000507</t>
  </si>
  <si>
    <t>pay_420000557</t>
  </si>
  <si>
    <t>pay_420000571</t>
  </si>
  <si>
    <t>pay_420000638</t>
  </si>
  <si>
    <t>pay_420000651</t>
  </si>
  <si>
    <t>pay_420000661</t>
  </si>
  <si>
    <t>pay_420000673</t>
  </si>
  <si>
    <t>pay_420000677</t>
  </si>
  <si>
    <t>pay_420000683</t>
  </si>
  <si>
    <t>pay_420000719</t>
  </si>
  <si>
    <t>pay_420000726</t>
  </si>
  <si>
    <t>pay_420000738</t>
  </si>
  <si>
    <t>pay_420000784</t>
  </si>
  <si>
    <t>pay_420000885</t>
  </si>
  <si>
    <t>pay_420000897</t>
  </si>
  <si>
    <t>pay_420000913</t>
  </si>
  <si>
    <t>pay_420000925</t>
  </si>
  <si>
    <t>pay_420001063</t>
  </si>
  <si>
    <t>pay_420001099</t>
  </si>
  <si>
    <t>pay_420001109</t>
  </si>
  <si>
    <t>pay_420001129</t>
  </si>
  <si>
    <t>pay_420001134</t>
  </si>
  <si>
    <t>pay_420001154</t>
  </si>
  <si>
    <t>pay_420001161</t>
  </si>
  <si>
    <t>pay_420001169</t>
  </si>
  <si>
    <t>pay_420001196</t>
  </si>
  <si>
    <t>pay_420001228</t>
  </si>
  <si>
    <t>pay_420001245</t>
  </si>
  <si>
    <t>pay_420001247</t>
  </si>
  <si>
    <t>pay_420001322</t>
  </si>
  <si>
    <t>pay_420001464</t>
  </si>
  <si>
    <t>pay_420001475</t>
  </si>
  <si>
    <t>pay_420001501</t>
  </si>
  <si>
    <t>pay_420001504</t>
  </si>
  <si>
    <t>pay_420001537</t>
  </si>
  <si>
    <t>pay_420001573</t>
  </si>
  <si>
    <t>pay_420001604</t>
  </si>
  <si>
    <t>pay_420001614</t>
  </si>
  <si>
    <t>pay_420001653</t>
  </si>
  <si>
    <t>pay_420001685</t>
  </si>
  <si>
    <t>pay_420001715</t>
  </si>
  <si>
    <t>pay_420001754</t>
  </si>
  <si>
    <t>pay_420001757</t>
  </si>
  <si>
    <t>pay_420001761</t>
  </si>
  <si>
    <t>pay_420001782</t>
  </si>
  <si>
    <t>pay_420001787</t>
  </si>
  <si>
    <t>pay_420001810</t>
  </si>
  <si>
    <t>pay_420001820</t>
  </si>
  <si>
    <t>pay_420001831</t>
  </si>
  <si>
    <t>pay_420001833</t>
  </si>
  <si>
    <t>pay_420001837</t>
  </si>
  <si>
    <t>pay_420001850</t>
  </si>
  <si>
    <t>pay_420001859</t>
  </si>
  <si>
    <t>pay_420001863</t>
  </si>
  <si>
    <t>pay_420001872</t>
  </si>
  <si>
    <t>pay_420001965</t>
  </si>
  <si>
    <t>pay_420001969</t>
  </si>
  <si>
    <t>pay_420002004</t>
  </si>
  <si>
    <t>pay_420002102</t>
  </si>
  <si>
    <t>pay_420002117</t>
  </si>
  <si>
    <t>pay_420002121</t>
  </si>
  <si>
    <t>pay_420002152</t>
  </si>
  <si>
    <t>pay_420002226</t>
  </si>
  <si>
    <t>pay_420002282</t>
  </si>
  <si>
    <t>pay_420002299</t>
  </si>
  <si>
    <t>pay_420002324</t>
  </si>
  <si>
    <t>pay_420002398</t>
  </si>
  <si>
    <t>pay_420002405</t>
  </si>
  <si>
    <t>pay_420002431</t>
  </si>
  <si>
    <t>pay_420002447</t>
  </si>
  <si>
    <t>pay_420002470</t>
  </si>
  <si>
    <t>pay_420002475</t>
  </si>
  <si>
    <t>pay_420002525</t>
  </si>
  <si>
    <t>pay_420002551</t>
  </si>
  <si>
    <t>pay_420002789</t>
  </si>
  <si>
    <t>pay_420002825</t>
  </si>
  <si>
    <t>pay_420002858</t>
  </si>
  <si>
    <t>pay_420002900</t>
  </si>
  <si>
    <t>pay_420002916</t>
  </si>
  <si>
    <t>pay_420002929</t>
  </si>
  <si>
    <t>pay_420002935</t>
  </si>
  <si>
    <t>pay_420002940</t>
  </si>
  <si>
    <t>pay_420002981</t>
  </si>
  <si>
    <t>pay_420002985</t>
  </si>
  <si>
    <t>pay_420003001</t>
  </si>
  <si>
    <t>pay_420003005</t>
  </si>
  <si>
    <t>pay_420003074</t>
  </si>
  <si>
    <t>pay_420003091</t>
  </si>
  <si>
    <t>pay_420003102</t>
  </si>
  <si>
    <t>pay_420003207</t>
  </si>
  <si>
    <t>pay_420003236</t>
  </si>
  <si>
    <t>pay_420003272</t>
  </si>
  <si>
    <t>pay_420003276</t>
  </si>
  <si>
    <t>pay_420003318</t>
  </si>
  <si>
    <t>pay_420003350</t>
  </si>
  <si>
    <t>pay_420003356</t>
  </si>
  <si>
    <t>pay_420003422</t>
  </si>
  <si>
    <t>pay_420003425</t>
  </si>
  <si>
    <t>pay_420003438</t>
  </si>
  <si>
    <t>pay_420003439</t>
  </si>
  <si>
    <t>pay_420003461</t>
  </si>
  <si>
    <t>pay_420003465</t>
  </si>
  <si>
    <t>pay_420003522</t>
  </si>
  <si>
    <t>pay_420003526</t>
  </si>
  <si>
    <t>pay_420003560</t>
  </si>
  <si>
    <t>pay_420003566</t>
  </si>
  <si>
    <t>pay_420003625</t>
  </si>
  <si>
    <t>pay_420003730</t>
  </si>
  <si>
    <t>pay_420003731</t>
  </si>
  <si>
    <t>pay_420003733</t>
  </si>
  <si>
    <t>pay_420003781</t>
  </si>
  <si>
    <t>pay_420003790</t>
  </si>
  <si>
    <t>pay_420003791</t>
  </si>
  <si>
    <t>pay_420003812</t>
  </si>
  <si>
    <t>pay_420003866</t>
  </si>
  <si>
    <t>pay_420003897</t>
  </si>
  <si>
    <t>pay_420003924</t>
  </si>
  <si>
    <t>pay_420003949</t>
  </si>
  <si>
    <t>pay_420003969</t>
  </si>
  <si>
    <t>pay_420003976</t>
  </si>
  <si>
    <t>pay_420003998</t>
  </si>
  <si>
    <t>pay_420004026</t>
  </si>
  <si>
    <t>pay_420004048</t>
  </si>
  <si>
    <t>pay_420004121</t>
  </si>
  <si>
    <t>pay_420004159</t>
  </si>
  <si>
    <t>pay_420004162</t>
  </si>
  <si>
    <t>pay_420004187</t>
  </si>
  <si>
    <t>pay_420004215</t>
  </si>
  <si>
    <t>pay_420004264</t>
  </si>
  <si>
    <t>pay_420004301</t>
  </si>
  <si>
    <t>pay_420004303</t>
  </si>
  <si>
    <t>pay_420004429</t>
  </si>
  <si>
    <t>pay_420004438</t>
  </si>
  <si>
    <t>pay_420004519</t>
  </si>
  <si>
    <t>pay_420004557</t>
  </si>
  <si>
    <t>pay_420004698</t>
  </si>
  <si>
    <t>pay_420004732</t>
  </si>
  <si>
    <t>pay_420004767</t>
  </si>
  <si>
    <t>pay_420004786</t>
  </si>
  <si>
    <t>pay_420004807</t>
  </si>
  <si>
    <t>pay_420004828</t>
  </si>
  <si>
    <t>pay_420004854</t>
  </si>
  <si>
    <t>pay_420004861</t>
  </si>
  <si>
    <t>pay_420004898</t>
  </si>
  <si>
    <t>pay_420004907</t>
  </si>
  <si>
    <t>pay_420004939</t>
  </si>
  <si>
    <t>pay_420004969</t>
  </si>
  <si>
    <t>pay_420004970</t>
  </si>
  <si>
    <t>pay_420004990</t>
  </si>
  <si>
    <t>pay_420004999</t>
  </si>
  <si>
    <t>pay_420005026</t>
  </si>
  <si>
    <t>pay_420005064</t>
  </si>
  <si>
    <t>pay_420005085</t>
  </si>
  <si>
    <t>pay_420005099</t>
  </si>
  <si>
    <t>pay_420005122</t>
  </si>
  <si>
    <t>pay_420005160</t>
  </si>
  <si>
    <t>pay_420005208</t>
  </si>
  <si>
    <t>pay_420005252</t>
  </si>
  <si>
    <t>pay_420005279</t>
  </si>
  <si>
    <t>pay_420005291</t>
  </si>
  <si>
    <t>pay_420005320</t>
  </si>
  <si>
    <t>pay_420005327</t>
  </si>
  <si>
    <t>pay_420005362</t>
  </si>
  <si>
    <t>pay_420005371</t>
  </si>
  <si>
    <t>pay_420005419</t>
  </si>
  <si>
    <t>pay_420005423</t>
  </si>
  <si>
    <t>pay_420005451</t>
  </si>
  <si>
    <t>pay_420005459</t>
  </si>
  <si>
    <t>pay_420005530</t>
  </si>
  <si>
    <t>pay_420005534</t>
  </si>
  <si>
    <t>pay_420005541</t>
  </si>
  <si>
    <t>pay_420005563</t>
  </si>
  <si>
    <t>pay_420005590</t>
  </si>
  <si>
    <t>pay_420005628</t>
  </si>
  <si>
    <t>pay_420005661</t>
  </si>
  <si>
    <t>pay_420005687</t>
  </si>
  <si>
    <t>pay_420005693</t>
  </si>
  <si>
    <t>pay_420005708</t>
  </si>
  <si>
    <t>pay_420005722</t>
  </si>
  <si>
    <t>pay_420000010</t>
  </si>
  <si>
    <t>pay_420000029</t>
  </si>
  <si>
    <t>pay_420000039</t>
  </si>
  <si>
    <t>pay_420000045</t>
  </si>
  <si>
    <t>pay_420000069</t>
  </si>
  <si>
    <t>pay_420000114</t>
  </si>
  <si>
    <t>pay_420000118</t>
  </si>
  <si>
    <t>pay_420000125</t>
  </si>
  <si>
    <t>pay_420000172</t>
  </si>
  <si>
    <t>pay_420000177</t>
  </si>
  <si>
    <t>pay_420000198</t>
  </si>
  <si>
    <t>pay_420000262</t>
  </si>
  <si>
    <t>pay_420000273</t>
  </si>
  <si>
    <t>pay_420000282</t>
  </si>
  <si>
    <t>pay_420000309</t>
  </si>
  <si>
    <t>pay_420000313</t>
  </si>
  <si>
    <t>pay_420000318</t>
  </si>
  <si>
    <t>pay_420000322</t>
  </si>
  <si>
    <t>pay_420000325</t>
  </si>
  <si>
    <t>pay_420000347</t>
  </si>
  <si>
    <t>pay_420000386</t>
  </si>
  <si>
    <t>pay_420000431</t>
  </si>
  <si>
    <t>pay_420000448</t>
  </si>
  <si>
    <t>pay_420000579</t>
  </si>
  <si>
    <t>pay_420000646</t>
  </si>
  <si>
    <t>pay_420000665</t>
  </si>
  <si>
    <t>pay_420000734</t>
  </si>
  <si>
    <t>pay_420000743</t>
  </si>
  <si>
    <t>pay_420000836</t>
  </si>
  <si>
    <t>pay_420000855</t>
  </si>
  <si>
    <t>pay_420000955</t>
  </si>
  <si>
    <t>pay_420000966</t>
  </si>
  <si>
    <t>pay_420000976</t>
  </si>
  <si>
    <t>pay_420000982</t>
  </si>
  <si>
    <t>pay_420001009</t>
  </si>
  <si>
    <t>pay_420001028</t>
  </si>
  <si>
    <t>pay_420001112</t>
  </si>
  <si>
    <t>pay_420001116</t>
  </si>
  <si>
    <t>pay_420001124</t>
  </si>
  <si>
    <t>pay_420001126</t>
  </si>
  <si>
    <t>pay_420001135</t>
  </si>
  <si>
    <t>pay_420001225</t>
  </si>
  <si>
    <t>pay_420001253</t>
  </si>
  <si>
    <t>pay_420001264</t>
  </si>
  <si>
    <t>pay_420001273</t>
  </si>
  <si>
    <t>pay_420001278</t>
  </si>
  <si>
    <t>pay_420001303</t>
  </si>
  <si>
    <t>pay_420001327</t>
  </si>
  <si>
    <t>pay_420001373</t>
  </si>
  <si>
    <t>pay_420001434</t>
  </si>
  <si>
    <t>pay_420001470</t>
  </si>
  <si>
    <t>pay_420001489</t>
  </si>
  <si>
    <t>pay_420001494</t>
  </si>
  <si>
    <t>pay_420001516</t>
  </si>
  <si>
    <t>pay_420001523</t>
  </si>
  <si>
    <t>pay_420001575</t>
  </si>
  <si>
    <t>pay_420001637</t>
  </si>
  <si>
    <t>pay_420001641</t>
  </si>
  <si>
    <t>pay_420001670</t>
  </si>
  <si>
    <t>pay_420001683</t>
  </si>
  <si>
    <t>pay_420001691</t>
  </si>
  <si>
    <t>pay_420001869</t>
  </si>
  <si>
    <t>pay_420001870</t>
  </si>
  <si>
    <t>pay_420001885</t>
  </si>
  <si>
    <t>pay_420001889</t>
  </si>
  <si>
    <t>pay_420001899</t>
  </si>
  <si>
    <t>pay_420001950</t>
  </si>
  <si>
    <t>pay_420001957</t>
  </si>
  <si>
    <t>pay_420001972</t>
  </si>
  <si>
    <t>pay_420001982</t>
  </si>
  <si>
    <t>pay_420002000</t>
  </si>
  <si>
    <t>pay_420002040</t>
  </si>
  <si>
    <t>pay_420002061</t>
  </si>
  <si>
    <t>pay_420002159</t>
  </si>
  <si>
    <t>pay_420002264</t>
  </si>
  <si>
    <t>pay_420002323</t>
  </si>
  <si>
    <t>pay_420002353</t>
  </si>
  <si>
    <t>pay_420002376</t>
  </si>
  <si>
    <t>pay_420002404</t>
  </si>
  <si>
    <t>pay_420002424</t>
  </si>
  <si>
    <t>pay_420002472</t>
  </si>
  <si>
    <t>pay_420002485</t>
  </si>
  <si>
    <t>pay_420002500</t>
  </si>
  <si>
    <t>pay_420002502</t>
  </si>
  <si>
    <t>pay_420002531</t>
  </si>
  <si>
    <t>pay_420002543</t>
  </si>
  <si>
    <t>pay_420002563</t>
  </si>
  <si>
    <t>pay_420002595</t>
  </si>
  <si>
    <t>pay_420002642</t>
  </si>
  <si>
    <t>pay_420002646</t>
  </si>
  <si>
    <t>pay_420002656</t>
  </si>
  <si>
    <t>pay_420002738</t>
  </si>
  <si>
    <t>pay_420002739</t>
  </si>
  <si>
    <t>pay_420002793</t>
  </si>
  <si>
    <t>pay_420002831</t>
  </si>
  <si>
    <t>pay_420002874</t>
  </si>
  <si>
    <t>pay_420002975</t>
  </si>
  <si>
    <t>pay_420003104</t>
  </si>
  <si>
    <t>pay_420003121</t>
  </si>
  <si>
    <t>pay_420003123</t>
  </si>
  <si>
    <t>pay_420003134</t>
  </si>
  <si>
    <t>pay_420003156</t>
  </si>
  <si>
    <t>pay_420003240</t>
  </si>
  <si>
    <t>pay_420003243</t>
  </si>
  <si>
    <t>pay_420003250</t>
  </si>
  <si>
    <t>pay_420003262</t>
  </si>
  <si>
    <t>pay_420003263</t>
  </si>
  <si>
    <t>pay_420003288</t>
  </si>
  <si>
    <t>pay_420003307</t>
  </si>
  <si>
    <t>pay_420003332</t>
  </si>
  <si>
    <t>pay_420003333</t>
  </si>
  <si>
    <t>pay_420003341</t>
  </si>
  <si>
    <t>pay_420003421</t>
  </si>
  <si>
    <t>pay_420003454</t>
  </si>
  <si>
    <t>pay_420003469</t>
  </si>
  <si>
    <t>pay_420003474</t>
  </si>
  <si>
    <t>pay_420003475</t>
  </si>
  <si>
    <t>pay_420003477</t>
  </si>
  <si>
    <t>pay_420003485</t>
  </si>
  <si>
    <t>pay_420003590</t>
  </si>
  <si>
    <t>pay_420003599</t>
  </si>
  <si>
    <t>pay_420003675</t>
  </si>
  <si>
    <t>pay_420003689</t>
  </si>
  <si>
    <t>pay_420003701</t>
  </si>
  <si>
    <t>pay_420003768</t>
  </si>
  <si>
    <t>pay_420003777</t>
  </si>
  <si>
    <t>pay_420003783</t>
  </si>
  <si>
    <t>pay_420003836</t>
  </si>
  <si>
    <t>pay_420003987</t>
  </si>
  <si>
    <t>pay_420004000</t>
  </si>
  <si>
    <t>pay_420004009</t>
  </si>
  <si>
    <t>pay_420004034</t>
  </si>
  <si>
    <t>pay_420004132</t>
  </si>
  <si>
    <t>pay_420004192</t>
  </si>
  <si>
    <t>pay_420004197</t>
  </si>
  <si>
    <t>pay_420004203</t>
  </si>
  <si>
    <t>pay_420004236</t>
  </si>
  <si>
    <t>pay_420004278</t>
  </si>
  <si>
    <t>pay_420004292</t>
  </si>
  <si>
    <t>pay_420004334</t>
  </si>
  <si>
    <t>pay_420004339</t>
  </si>
  <si>
    <t>pay_420004340</t>
  </si>
  <si>
    <t>pay_420004343</t>
  </si>
  <si>
    <t>pay_420004381</t>
  </si>
  <si>
    <t>pay_420004396</t>
  </si>
  <si>
    <t>pay_420004473</t>
  </si>
  <si>
    <t>pay_420004475</t>
  </si>
  <si>
    <t>pay_420004478</t>
  </si>
  <si>
    <t>pay_420004480</t>
  </si>
  <si>
    <t>pay_420004502</t>
  </si>
  <si>
    <t>pay_420004556</t>
  </si>
  <si>
    <t>pay_420004570</t>
  </si>
  <si>
    <t>pay_420004591</t>
  </si>
  <si>
    <t>pay_420004642</t>
  </si>
  <si>
    <t>pay_420004643</t>
  </si>
  <si>
    <t>pay_420004714</t>
  </si>
  <si>
    <t>pay_420004723</t>
  </si>
  <si>
    <t>pay_420004761</t>
  </si>
  <si>
    <t>pay_420004766</t>
  </si>
  <si>
    <t>pay_420004782</t>
  </si>
  <si>
    <t>pay_420004795</t>
  </si>
  <si>
    <t>pay_420004833</t>
  </si>
  <si>
    <t>pay_420004894</t>
  </si>
  <si>
    <t>pay_420004909</t>
  </si>
  <si>
    <t>pay_420004910</t>
  </si>
  <si>
    <t>pay_420004913</t>
  </si>
  <si>
    <t>pay_420004952</t>
  </si>
  <si>
    <t>pay_420004959</t>
  </si>
  <si>
    <t>pay_420004971</t>
  </si>
  <si>
    <t>pay_420005138</t>
  </si>
  <si>
    <t>pay_420005143</t>
  </si>
  <si>
    <t>pay_420005158</t>
  </si>
  <si>
    <t>pay_420005168</t>
  </si>
  <si>
    <t>pay_420005240</t>
  </si>
  <si>
    <t>pay_420005241</t>
  </si>
  <si>
    <t>pay_420005264</t>
  </si>
  <si>
    <t>pay_420005312</t>
  </si>
  <si>
    <t>pay_420005375</t>
  </si>
  <si>
    <t>pay_420005445</t>
  </si>
  <si>
    <t>pay_420005450</t>
  </si>
  <si>
    <t>pay_420005454</t>
  </si>
  <si>
    <t>pay_420005491</t>
  </si>
  <si>
    <t>pay_420005496</t>
  </si>
  <si>
    <t>pay_420005497</t>
  </si>
  <si>
    <t>pay_420005538</t>
  </si>
  <si>
    <t>pay_420005629</t>
  </si>
  <si>
    <t>pay_420005644</t>
  </si>
  <si>
    <t>pay_420005686</t>
  </si>
  <si>
    <t>pay_420005696</t>
  </si>
  <si>
    <t>pay_420005706</t>
  </si>
  <si>
    <t>pay_420000074</t>
  </si>
  <si>
    <t>pay_420000163</t>
  </si>
  <si>
    <t>pay_420000174</t>
  </si>
  <si>
    <t>pay_420000277</t>
  </si>
  <si>
    <t>pay_420000388</t>
  </si>
  <si>
    <t>pay_420000436</t>
  </si>
  <si>
    <t>pay_420000466</t>
  </si>
  <si>
    <t>pay_420000502</t>
  </si>
  <si>
    <t>pay_420000510</t>
  </si>
  <si>
    <t>pay_420000511</t>
  </si>
  <si>
    <t>pay_420000572</t>
  </si>
  <si>
    <t>pay_420000633</t>
  </si>
  <si>
    <t>pay_420000641</t>
  </si>
  <si>
    <t>pay_420000655</t>
  </si>
  <si>
    <t>pay_420000706</t>
  </si>
  <si>
    <t>pay_420000707</t>
  </si>
  <si>
    <t>pay_420000750</t>
  </si>
  <si>
    <t>pay_420000831</t>
  </si>
  <si>
    <t>pay_420000868</t>
  </si>
  <si>
    <t>pay_420000878</t>
  </si>
  <si>
    <t>pay_420000911</t>
  </si>
  <si>
    <t>pay_420000933</t>
  </si>
  <si>
    <t>pay_420000948</t>
  </si>
  <si>
    <t>pay_420000962</t>
  </si>
  <si>
    <t>pay_420000963</t>
  </si>
  <si>
    <t>pay_420001007</t>
  </si>
  <si>
    <t>pay_420001054</t>
  </si>
  <si>
    <t>pay_420001065</t>
  </si>
  <si>
    <t>pay_420001072</t>
  </si>
  <si>
    <t>pay_420001082</t>
  </si>
  <si>
    <t>pay_420001101</t>
  </si>
  <si>
    <t>pay_420001117</t>
  </si>
  <si>
    <t>pay_420001142</t>
  </si>
  <si>
    <t>pay_420001145</t>
  </si>
  <si>
    <t>pay_420001202</t>
  </si>
  <si>
    <t>pay_420001216</t>
  </si>
  <si>
    <t>pay_420001218</t>
  </si>
  <si>
    <t>pay_420001238</t>
  </si>
  <si>
    <t>pay_420001261</t>
  </si>
  <si>
    <t>pay_420001274</t>
  </si>
  <si>
    <t>pay_420001292</t>
  </si>
  <si>
    <t>pay_420001328</t>
  </si>
  <si>
    <t>pay_420001389</t>
  </si>
  <si>
    <t>pay_420001454</t>
  </si>
  <si>
    <t>pay_420001456</t>
  </si>
  <si>
    <t>pay_420001536</t>
  </si>
  <si>
    <t>pay_420001603</t>
  </si>
  <si>
    <t>pay_420001605</t>
  </si>
  <si>
    <t>pay_420001658</t>
  </si>
  <si>
    <t>pay_420001723</t>
  </si>
  <si>
    <t>pay_420001745</t>
  </si>
  <si>
    <t>pay_420001783</t>
  </si>
  <si>
    <t>pay_420001812</t>
  </si>
  <si>
    <t>pay_420001854</t>
  </si>
  <si>
    <t>pay_420001893</t>
  </si>
  <si>
    <t>pay_420001906</t>
  </si>
  <si>
    <t>pay_420001928</t>
  </si>
  <si>
    <t>pay_420001942</t>
  </si>
  <si>
    <t>pay_420001973</t>
  </si>
  <si>
    <t>pay_420001974</t>
  </si>
  <si>
    <t>pay_420002111</t>
  </si>
  <si>
    <t>pay_420002151</t>
  </si>
  <si>
    <t>pay_420002178</t>
  </si>
  <si>
    <t>pay_420002185</t>
  </si>
  <si>
    <t>pay_420002236</t>
  </si>
  <si>
    <t>pay_420002241</t>
  </si>
  <si>
    <t>pay_420002253</t>
  </si>
  <si>
    <t>pay_420002301</t>
  </si>
  <si>
    <t>pay_420002348</t>
  </si>
  <si>
    <t>pay_420002362</t>
  </si>
  <si>
    <t>pay_420002372</t>
  </si>
  <si>
    <t>pay_420002407</t>
  </si>
  <si>
    <t>pay_420002420</t>
  </si>
  <si>
    <t>pay_420002455</t>
  </si>
  <si>
    <t>pay_420002493</t>
  </si>
  <si>
    <t>pay_420002587</t>
  </si>
  <si>
    <t>pay_420002608</t>
  </si>
  <si>
    <t>pay_420002652</t>
  </si>
  <si>
    <t>pay_420002666</t>
  </si>
  <si>
    <t>pay_420002679</t>
  </si>
  <si>
    <t>pay_420002713</t>
  </si>
  <si>
    <t>pay_420002753</t>
  </si>
  <si>
    <t>pay_420002760</t>
  </si>
  <si>
    <t>pay_420002761</t>
  </si>
  <si>
    <t>pay_420002796</t>
  </si>
  <si>
    <t>pay_420002803</t>
  </si>
  <si>
    <t>pay_420002809</t>
  </si>
  <si>
    <t>pay_420002864</t>
  </si>
  <si>
    <t>pay_420002872</t>
  </si>
  <si>
    <t>pay_420002925</t>
  </si>
  <si>
    <t>pay_420002969</t>
  </si>
  <si>
    <t>pay_420002999</t>
  </si>
  <si>
    <t>pay_420003021</t>
  </si>
  <si>
    <t>pay_420003051</t>
  </si>
  <si>
    <t>pay_420003071</t>
  </si>
  <si>
    <t>pay_420003185</t>
  </si>
  <si>
    <t>pay_420003195</t>
  </si>
  <si>
    <t>pay_420003248</t>
  </si>
  <si>
    <t>pay_420003305</t>
  </si>
  <si>
    <t>pay_420003329</t>
  </si>
  <si>
    <t>pay_420003348</t>
  </si>
  <si>
    <t>pay_420003353</t>
  </si>
  <si>
    <t>pay_420003388</t>
  </si>
  <si>
    <t>pay_420003405</t>
  </si>
  <si>
    <t>pay_420003423</t>
  </si>
  <si>
    <t>pay_420003432</t>
  </si>
  <si>
    <t>pay_420003455</t>
  </si>
  <si>
    <t>pay_420003483</t>
  </si>
  <si>
    <t>pay_420003540</t>
  </si>
  <si>
    <t>pay_420003778</t>
  </si>
  <si>
    <t>pay_420003787</t>
  </si>
  <si>
    <t>pay_420003857</t>
  </si>
  <si>
    <t>pay_420003867</t>
  </si>
  <si>
    <t>pay_420003869</t>
  </si>
  <si>
    <t>pay_420003888</t>
  </si>
  <si>
    <t>pay_420004015</t>
  </si>
  <si>
    <t>pay_420004027</t>
  </si>
  <si>
    <t>pay_420004046</t>
  </si>
  <si>
    <t>pay_420004064</t>
  </si>
  <si>
    <t>pay_420004087</t>
  </si>
  <si>
    <t>pay_420004144</t>
  </si>
  <si>
    <t>pay_420004183</t>
  </si>
  <si>
    <t>pay_420004199</t>
  </si>
  <si>
    <t>pay_420004261</t>
  </si>
  <si>
    <t>pay_420004279</t>
  </si>
  <si>
    <t>pay_420004310</t>
  </si>
  <si>
    <t>pay_420004320</t>
  </si>
  <si>
    <t>pay_420004335</t>
  </si>
  <si>
    <t>pay_420004341</t>
  </si>
  <si>
    <t>pay_420004437</t>
  </si>
  <si>
    <t>pay_420004469</t>
  </si>
  <si>
    <t>pay_420004592</t>
  </si>
  <si>
    <t>pay_420004605</t>
  </si>
  <si>
    <t>pay_420004656</t>
  </si>
  <si>
    <t>pay_420004664</t>
  </si>
  <si>
    <t>pay_420004689</t>
  </si>
  <si>
    <t>pay_420004729</t>
  </si>
  <si>
    <t>pay_420004808</t>
  </si>
  <si>
    <t>pay_420004831</t>
  </si>
  <si>
    <t>pay_420004987</t>
  </si>
  <si>
    <t>pay_420005019</t>
  </si>
  <si>
    <t>pay_420005041</t>
  </si>
  <si>
    <t>pay_420005048</t>
  </si>
  <si>
    <t>pay_420005091</t>
  </si>
  <si>
    <t>pay_420005126</t>
  </si>
  <si>
    <t>pay_420005134</t>
  </si>
  <si>
    <t>pay_420005157</t>
  </si>
  <si>
    <t>pay_420005161</t>
  </si>
  <si>
    <t>pay_420005179</t>
  </si>
  <si>
    <t>pay_420005239</t>
  </si>
  <si>
    <t>pay_420005271</t>
  </si>
  <si>
    <t>pay_420005281</t>
  </si>
  <si>
    <t>pay_420005302</t>
  </si>
  <si>
    <t>pay_420005361</t>
  </si>
  <si>
    <t>pay_420005399</t>
  </si>
  <si>
    <t>pay_420005432</t>
  </si>
  <si>
    <t>pay_420005458</t>
  </si>
  <si>
    <t>pay_420005486</t>
  </si>
  <si>
    <t>pay_420005499</t>
  </si>
  <si>
    <t>pay_420005502</t>
  </si>
  <si>
    <t>pay_420005539</t>
  </si>
  <si>
    <t>pay_420005606</t>
  </si>
  <si>
    <t>pay_420005611</t>
  </si>
  <si>
    <t>pay_420005635</t>
  </si>
  <si>
    <t>pay_420005638</t>
  </si>
  <si>
    <t>pay_420005704</t>
  </si>
  <si>
    <t>pay_420000022</t>
  </si>
  <si>
    <t>pay_420000070</t>
  </si>
  <si>
    <t>pay_420000083</t>
  </si>
  <si>
    <t>pay_420000124</t>
  </si>
  <si>
    <t>pay_420000133</t>
  </si>
  <si>
    <t>pay_420000141</t>
  </si>
  <si>
    <t>pay_420000157</t>
  </si>
  <si>
    <t>pay_420000194</t>
  </si>
  <si>
    <t>pay_420000206</t>
  </si>
  <si>
    <t>pay_420000211</t>
  </si>
  <si>
    <t>pay_420000217</t>
  </si>
  <si>
    <t>pay_420000265</t>
  </si>
  <si>
    <t>pay_420000335</t>
  </si>
  <si>
    <t>pay_420000353</t>
  </si>
  <si>
    <t>pay_420000412</t>
  </si>
  <si>
    <t>pay_420000426</t>
  </si>
  <si>
    <t>pay_420000478</t>
  </si>
  <si>
    <t>pay_420000519</t>
  </si>
  <si>
    <t>pay_420000546</t>
  </si>
  <si>
    <t>pay_420000561</t>
  </si>
  <si>
    <t>pay_420000566</t>
  </si>
  <si>
    <t>pay_420000587</t>
  </si>
  <si>
    <t>pay_420000598</t>
  </si>
  <si>
    <t>pay_420000621</t>
  </si>
  <si>
    <t>pay_420000681</t>
  </si>
  <si>
    <t>pay_420000702</t>
  </si>
  <si>
    <t>pay_420000907</t>
  </si>
  <si>
    <t>pay_420000970</t>
  </si>
  <si>
    <t>pay_420001008</t>
  </si>
  <si>
    <t>pay_420001014</t>
  </si>
  <si>
    <t>pay_420001141</t>
  </si>
  <si>
    <t>pay_420001220</t>
  </si>
  <si>
    <t>pay_420001236</t>
  </si>
  <si>
    <t>pay_420001242</t>
  </si>
  <si>
    <t>pay_420001260</t>
  </si>
  <si>
    <t>pay_420001279</t>
  </si>
  <si>
    <t>pay_420001281</t>
  </si>
  <si>
    <t>pay_420001295</t>
  </si>
  <si>
    <t>pay_420001296</t>
  </si>
  <si>
    <t>pay_420001324</t>
  </si>
  <si>
    <t>pay_420001365</t>
  </si>
  <si>
    <t>pay_420001417</t>
  </si>
  <si>
    <t>pay_420001423</t>
  </si>
  <si>
    <t>pay_420001431</t>
  </si>
  <si>
    <t>pay_420001471</t>
  </si>
  <si>
    <t>pay_420001472</t>
  </si>
  <si>
    <t>pay_420001493</t>
  </si>
  <si>
    <t>pay_420001566</t>
  </si>
  <si>
    <t>pay_420001600</t>
  </si>
  <si>
    <t>pay_420001607</t>
  </si>
  <si>
    <t>pay_420001612</t>
  </si>
  <si>
    <t>pay_420001622</t>
  </si>
  <si>
    <t>pay_420001627</t>
  </si>
  <si>
    <t>pay_420001651</t>
  </si>
  <si>
    <t>pay_420001727</t>
  </si>
  <si>
    <t>pay_420001737</t>
  </si>
  <si>
    <t>pay_420001747</t>
  </si>
  <si>
    <t>pay_420001753</t>
  </si>
  <si>
    <t>pay_420001768</t>
  </si>
  <si>
    <t>pay_420001790</t>
  </si>
  <si>
    <t>pay_420001809</t>
  </si>
  <si>
    <t>pay_420001830</t>
  </si>
  <si>
    <t>pay_420001857</t>
  </si>
  <si>
    <t>pay_420001868</t>
  </si>
  <si>
    <t>pay_420001907</t>
  </si>
  <si>
    <t>pay_420001910</t>
  </si>
  <si>
    <t>pay_420001914</t>
  </si>
  <si>
    <t>pay_420001919</t>
  </si>
  <si>
    <t>pay_420001923</t>
  </si>
  <si>
    <t>pay_420001926</t>
  </si>
  <si>
    <t>pay_420002001</t>
  </si>
  <si>
    <t>pay_420002005</t>
  </si>
  <si>
    <t>pay_420002089</t>
  </si>
  <si>
    <t>pay_420002149</t>
  </si>
  <si>
    <t>pay_420002179</t>
  </si>
  <si>
    <t>pay_420002180</t>
  </si>
  <si>
    <t>pay_420002213</t>
  </si>
  <si>
    <t>pay_420002247</t>
  </si>
  <si>
    <t>pay_420002277</t>
  </si>
  <si>
    <t>pay_420002291</t>
  </si>
  <si>
    <t>pay_420002336</t>
  </si>
  <si>
    <t>pay_420002349</t>
  </si>
  <si>
    <t>pay_420002352</t>
  </si>
  <si>
    <t>pay_420002368</t>
  </si>
  <si>
    <t>pay_420002443</t>
  </si>
  <si>
    <t>pay_420002481</t>
  </si>
  <si>
    <t>pay_420002497</t>
  </si>
  <si>
    <t>pay_420002583</t>
  </si>
  <si>
    <t>pay_420002590</t>
  </si>
  <si>
    <t>pay_420002628</t>
  </si>
  <si>
    <t>pay_420002684</t>
  </si>
  <si>
    <t>pay_420002735</t>
  </si>
  <si>
    <t>pay_420002768</t>
  </si>
  <si>
    <t>pay_420002879</t>
  </si>
  <si>
    <t>pay_420002897</t>
  </si>
  <si>
    <t>pay_420002949</t>
  </si>
  <si>
    <t>pay_420002984</t>
  </si>
  <si>
    <t>pay_420003037</t>
  </si>
  <si>
    <t>pay_420003114</t>
  </si>
  <si>
    <t>pay_420003174</t>
  </si>
  <si>
    <t>pay_420003190</t>
  </si>
  <si>
    <t>pay_420003234</t>
  </si>
  <si>
    <t>pay_420003249</t>
  </si>
  <si>
    <t>pay_420003256</t>
  </si>
  <si>
    <t>pay_420003281</t>
  </si>
  <si>
    <t>pay_420003290</t>
  </si>
  <si>
    <t>pay_420003328</t>
  </si>
  <si>
    <t>pay_420003402</t>
  </si>
  <si>
    <t>pay_420003451</t>
  </si>
  <si>
    <t>pay_420003458</t>
  </si>
  <si>
    <t>pay_420003481</t>
  </si>
  <si>
    <t>pay_420003510</t>
  </si>
  <si>
    <t>pay_420003542</t>
  </si>
  <si>
    <t>pay_420003548</t>
  </si>
  <si>
    <t>pay_420003564</t>
  </si>
  <si>
    <t>pay_420003622</t>
  </si>
  <si>
    <t>pay_420003651</t>
  </si>
  <si>
    <t>pay_420003667</t>
  </si>
  <si>
    <t>pay_420003669</t>
  </si>
  <si>
    <t>pay_420003686</t>
  </si>
  <si>
    <t>pay_420003711</t>
  </si>
  <si>
    <t>pay_420003734</t>
  </si>
  <si>
    <t>pay_420003859</t>
  </si>
  <si>
    <t>pay_420003988</t>
  </si>
  <si>
    <t>pay_420004001</t>
  </si>
  <si>
    <t>pay_420004094</t>
  </si>
  <si>
    <t>pay_420004147</t>
  </si>
  <si>
    <t>pay_420004231</t>
  </si>
  <si>
    <t>pay_420004258</t>
  </si>
  <si>
    <t>pay_420004283</t>
  </si>
  <si>
    <t>pay_420004284</t>
  </si>
  <si>
    <t>pay_420004299</t>
  </si>
  <si>
    <t>pay_420004316</t>
  </si>
  <si>
    <t>pay_420004351</t>
  </si>
  <si>
    <t>pay_420004408</t>
  </si>
  <si>
    <t>pay_420004423</t>
  </si>
  <si>
    <t>pay_420004458</t>
  </si>
  <si>
    <t>pay_420004497</t>
  </si>
  <si>
    <t>pay_420004531</t>
  </si>
  <si>
    <t>pay_420004533</t>
  </si>
  <si>
    <t>pay_420004650</t>
  </si>
  <si>
    <t>pay_420004686</t>
  </si>
  <si>
    <t>pay_420004764</t>
  </si>
  <si>
    <t>pay_420004803</t>
  </si>
  <si>
    <t>pay_420004840</t>
  </si>
  <si>
    <t>pay_420004925</t>
  </si>
  <si>
    <t>pay_420004938</t>
  </si>
  <si>
    <t>pay_420004964</t>
  </si>
  <si>
    <t>pay_420004991</t>
  </si>
  <si>
    <t>pay_420005065</t>
  </si>
  <si>
    <t>pay_420005066</t>
  </si>
  <si>
    <t>pay_420005114</t>
  </si>
  <si>
    <t>pay_420005133</t>
  </si>
  <si>
    <t>pay_420005137</t>
  </si>
  <si>
    <t>pay_420005147</t>
  </si>
  <si>
    <t>pay_420005150</t>
  </si>
  <si>
    <t>pay_420005171</t>
  </si>
  <si>
    <t>pay_420005198</t>
  </si>
  <si>
    <t>pay_420005221</t>
  </si>
  <si>
    <t>pay_420005299</t>
  </si>
  <si>
    <t>pay_420005332</t>
  </si>
  <si>
    <t>pay_420005335</t>
  </si>
  <si>
    <t>pay_420005430</t>
  </si>
  <si>
    <t>pay_420005442</t>
  </si>
  <si>
    <t>pay_420005520</t>
  </si>
  <si>
    <t>pay_420005582</t>
  </si>
  <si>
    <t>pay_420005657</t>
  </si>
  <si>
    <t>pay_420000003</t>
  </si>
  <si>
    <t>pay_420000007</t>
  </si>
  <si>
    <t>pay_420000015</t>
  </si>
  <si>
    <t>pay_420000100</t>
  </si>
  <si>
    <t>pay_420000119</t>
  </si>
  <si>
    <t>pay_420000127</t>
  </si>
  <si>
    <t>pay_420000139</t>
  </si>
  <si>
    <t>pay_420000169</t>
  </si>
  <si>
    <t>pay_420000196</t>
  </si>
  <si>
    <t>pay_420000201</t>
  </si>
  <si>
    <t>pay_420000210</t>
  </si>
  <si>
    <t>pay_420000214</t>
  </si>
  <si>
    <t>pay_420000375</t>
  </si>
  <si>
    <t>pay_420000410</t>
  </si>
  <si>
    <t>pay_420000415</t>
  </si>
  <si>
    <t>pay_420000435</t>
  </si>
  <si>
    <t>pay_420000444</t>
  </si>
  <si>
    <t>pay_420000540</t>
  </si>
  <si>
    <t>pay_420000569</t>
  </si>
  <si>
    <t>pay_420000591</t>
  </si>
  <si>
    <t>pay_420000631</t>
  </si>
  <si>
    <t>pay_420000671</t>
  </si>
  <si>
    <t>pay_420000675</t>
  </si>
  <si>
    <t>pay_420000696</t>
  </si>
  <si>
    <t>pay_420000721</t>
  </si>
  <si>
    <t>pay_420000794</t>
  </si>
  <si>
    <t>pay_420000802</t>
  </si>
  <si>
    <t>pay_420000806</t>
  </si>
  <si>
    <t>pay_420000808</t>
  </si>
  <si>
    <t>pay_420000817</t>
  </si>
  <si>
    <t>pay_420000846</t>
  </si>
  <si>
    <t>pay_420000862</t>
  </si>
  <si>
    <t>pay_420000872</t>
  </si>
  <si>
    <t>pay_420000886</t>
  </si>
  <si>
    <t>pay_420000995</t>
  </si>
  <si>
    <t>pay_420001025</t>
  </si>
  <si>
    <t>pay_420001068</t>
  </si>
  <si>
    <t>pay_420001084</t>
  </si>
  <si>
    <t>pay_420001120</t>
  </si>
  <si>
    <t>pay_420001205</t>
  </si>
  <si>
    <t>pay_420001213</t>
  </si>
  <si>
    <t>pay_420001233</t>
  </si>
  <si>
    <t>pay_420001286</t>
  </si>
  <si>
    <t>pay_420001316</t>
  </si>
  <si>
    <t>pay_420001321</t>
  </si>
  <si>
    <t>pay_420001326</t>
  </si>
  <si>
    <t>pay_420001346</t>
  </si>
  <si>
    <t>pay_420001370</t>
  </si>
  <si>
    <t>pay_420001390</t>
  </si>
  <si>
    <t>pay_420001392</t>
  </si>
  <si>
    <t>pay_420001458</t>
  </si>
  <si>
    <t>pay_420001547</t>
  </si>
  <si>
    <t>pay_420001673</t>
  </si>
  <si>
    <t>pay_420001767</t>
  </si>
  <si>
    <t>pay_420001784</t>
  </si>
  <si>
    <t>pay_420001804</t>
  </si>
  <si>
    <t>pay_420001874</t>
  </si>
  <si>
    <t>pay_420001882</t>
  </si>
  <si>
    <t>pay_420001886</t>
  </si>
  <si>
    <t>pay_420001901</t>
  </si>
  <si>
    <t>pay_420002038</t>
  </si>
  <si>
    <t>pay_420002053</t>
  </si>
  <si>
    <t>pay_420002070</t>
  </si>
  <si>
    <t>pay_420002094</t>
  </si>
  <si>
    <t>pay_420002155</t>
  </si>
  <si>
    <t>pay_420002167</t>
  </si>
  <si>
    <t>pay_420002202</t>
  </si>
  <si>
    <t>pay_420002255</t>
  </si>
  <si>
    <t>pay_420002262</t>
  </si>
  <si>
    <t>pay_420002287</t>
  </si>
  <si>
    <t>pay_420002314</t>
  </si>
  <si>
    <t>pay_420002318</t>
  </si>
  <si>
    <t>pay_420002413</t>
  </si>
  <si>
    <t>pay_420002428</t>
  </si>
  <si>
    <t>pay_420002448</t>
  </si>
  <si>
    <t>pay_420002477</t>
  </si>
  <si>
    <t>pay_420002537</t>
  </si>
  <si>
    <t>pay_420002548</t>
  </si>
  <si>
    <t>pay_420002558</t>
  </si>
  <si>
    <t>pay_420002562</t>
  </si>
  <si>
    <t>pay_420002575</t>
  </si>
  <si>
    <t>pay_420002579</t>
  </si>
  <si>
    <t>pay_420002697</t>
  </si>
  <si>
    <t>pay_420002721</t>
  </si>
  <si>
    <t>pay_420002724</t>
  </si>
  <si>
    <t>pay_420002767</t>
  </si>
  <si>
    <t>pay_420002776</t>
  </si>
  <si>
    <t>pay_420002869</t>
  </si>
  <si>
    <t>pay_420002881</t>
  </si>
  <si>
    <t>pay_420003006</t>
  </si>
  <si>
    <t>pay_420003010</t>
  </si>
  <si>
    <t>pay_420003025</t>
  </si>
  <si>
    <t>pay_420003122</t>
  </si>
  <si>
    <t>pay_420003129</t>
  </si>
  <si>
    <t>pay_420003139</t>
  </si>
  <si>
    <t>pay_420003148</t>
  </si>
  <si>
    <t>pay_420003232</t>
  </si>
  <si>
    <t>pay_420003251</t>
  </si>
  <si>
    <t>pay_420003336</t>
  </si>
  <si>
    <t>pay_420003436</t>
  </si>
  <si>
    <t>pay_420003449</t>
  </si>
  <si>
    <t>pay_420003635</t>
  </si>
  <si>
    <t>pay_420003637</t>
  </si>
  <si>
    <t>pay_420003654</t>
  </si>
  <si>
    <t>pay_420003663</t>
  </si>
  <si>
    <t>pay_420003750</t>
  </si>
  <si>
    <t>pay_420003764</t>
  </si>
  <si>
    <t>pay_420003806</t>
  </si>
  <si>
    <t>pay_420003830</t>
  </si>
  <si>
    <t>pay_420003840</t>
  </si>
  <si>
    <t>pay_420003871</t>
  </si>
  <si>
    <t>pay_420003964</t>
  </si>
  <si>
    <t>pay_420003973</t>
  </si>
  <si>
    <t>pay_420004012</t>
  </si>
  <si>
    <t>pay_420004043</t>
  </si>
  <si>
    <t>pay_420004055</t>
  </si>
  <si>
    <t>pay_420004077</t>
  </si>
  <si>
    <t>pay_420004080</t>
  </si>
  <si>
    <t>pay_420004096</t>
  </si>
  <si>
    <t>pay_420004113</t>
  </si>
  <si>
    <t>pay_420004133</t>
  </si>
  <si>
    <t>pay_420004191</t>
  </si>
  <si>
    <t>pay_420004208</t>
  </si>
  <si>
    <t>pay_420004216</t>
  </si>
  <si>
    <t>pay_420004225</t>
  </si>
  <si>
    <t>pay_420004229</t>
  </si>
  <si>
    <t>pay_420004260</t>
  </si>
  <si>
    <t>pay_420004276</t>
  </si>
  <si>
    <t>pay_420004394</t>
  </si>
  <si>
    <t>pay_420004425</t>
  </si>
  <si>
    <t>pay_420004434</t>
  </si>
  <si>
    <t>pay_420004435</t>
  </si>
  <si>
    <t>pay_420004471</t>
  </si>
  <si>
    <t>pay_420004516</t>
  </si>
  <si>
    <t>pay_420004528</t>
  </si>
  <si>
    <t>pay_420004603</t>
  </si>
  <si>
    <t>pay_420004620</t>
  </si>
  <si>
    <t>pay_420004625</t>
  </si>
  <si>
    <t>pay_420004660</t>
  </si>
  <si>
    <t>pay_420004731</t>
  </si>
  <si>
    <t>pay_420004738</t>
  </si>
  <si>
    <t>pay_420004797</t>
  </si>
  <si>
    <t>pay_420004826</t>
  </si>
  <si>
    <t>pay_420004858</t>
  </si>
  <si>
    <t>pay_420004890</t>
  </si>
  <si>
    <t>pay_420004916</t>
  </si>
  <si>
    <t>pay_420004931</t>
  </si>
  <si>
    <t>pay_420004955</t>
  </si>
  <si>
    <t>pay_420004977</t>
  </si>
  <si>
    <t>pay_420004998</t>
  </si>
  <si>
    <t>pay_420005003</t>
  </si>
  <si>
    <t>pay_420005020</t>
  </si>
  <si>
    <t>pay_420005042</t>
  </si>
  <si>
    <t>pay_420005051</t>
  </si>
  <si>
    <t>pay_420005074</t>
  </si>
  <si>
    <t>pay_420005102</t>
  </si>
  <si>
    <t>pay_420005107</t>
  </si>
  <si>
    <t>pay_420005173</t>
  </si>
  <si>
    <t>pay_420005199</t>
  </si>
  <si>
    <t>pay_420005224</t>
  </si>
  <si>
    <t>pay_420005232</t>
  </si>
  <si>
    <t>pay_420005233</t>
  </si>
  <si>
    <t>pay_420005366</t>
  </si>
  <si>
    <t>pay_420005401</t>
  </si>
  <si>
    <t>pay_420005446</t>
  </si>
  <si>
    <t>pay_420005470</t>
  </si>
  <si>
    <t>pay_420005485</t>
  </si>
  <si>
    <t>pay_420005685</t>
  </si>
  <si>
    <t>pay_420005697</t>
  </si>
  <si>
    <t>pay_420005702</t>
  </si>
  <si>
    <t>pay_420005720</t>
  </si>
  <si>
    <t>pay_420000035</t>
  </si>
  <si>
    <t>pay_420000043</t>
  </si>
  <si>
    <t>pay_420000067</t>
  </si>
  <si>
    <t>pay_420000252</t>
  </si>
  <si>
    <t>pay_420000291</t>
  </si>
  <si>
    <t>pay_420000305</t>
  </si>
  <si>
    <t>pay_420000317</t>
  </si>
  <si>
    <t>pay_420000327</t>
  </si>
  <si>
    <t>pay_420000340</t>
  </si>
  <si>
    <t>pay_420000407</t>
  </si>
  <si>
    <t>pay_420000409</t>
  </si>
  <si>
    <t>pay_420000422</t>
  </si>
  <si>
    <t>pay_420000425</t>
  </si>
  <si>
    <t>pay_420000443</t>
  </si>
  <si>
    <t>pay_420000456</t>
  </si>
  <si>
    <t>pay_420000484</t>
  </si>
  <si>
    <t>pay_420000491</t>
  </si>
  <si>
    <t>pay_420000521</t>
  </si>
  <si>
    <t>pay_420000657</t>
  </si>
  <si>
    <t>pay_420000662</t>
  </si>
  <si>
    <t>pay_420000663</t>
  </si>
  <si>
    <t>pay_420000664</t>
  </si>
  <si>
    <t>pay_420000678</t>
  </si>
  <si>
    <t>pay_420000704</t>
  </si>
  <si>
    <t>pay_420000710</t>
  </si>
  <si>
    <t>pay_420000725</t>
  </si>
  <si>
    <t>pay_420000771</t>
  </si>
  <si>
    <t>pay_420000785</t>
  </si>
  <si>
    <t>pay_420000828</t>
  </si>
  <si>
    <t>pay_420000880</t>
  </si>
  <si>
    <t>pay_420000892</t>
  </si>
  <si>
    <t>pay_420000924</t>
  </si>
  <si>
    <t>pay_420000938</t>
  </si>
  <si>
    <t>pay_420000969</t>
  </si>
  <si>
    <t>pay_420000985</t>
  </si>
  <si>
    <t>pay_420001013</t>
  </si>
  <si>
    <t>pay_420001021</t>
  </si>
  <si>
    <t>pay_420001024</t>
  </si>
  <si>
    <t>pay_420001047</t>
  </si>
  <si>
    <t>pay_420001055</t>
  </si>
  <si>
    <t>pay_420001061</t>
  </si>
  <si>
    <t>pay_420001081</t>
  </si>
  <si>
    <t>pay_420001132</t>
  </si>
  <si>
    <t>pay_420001192</t>
  </si>
  <si>
    <t>pay_420001203</t>
  </si>
  <si>
    <t>pay_420001204</t>
  </si>
  <si>
    <t>pay_420001221</t>
  </si>
  <si>
    <t>pay_420001237</t>
  </si>
  <si>
    <t>pay_420001382</t>
  </si>
  <si>
    <t>pay_420001404</t>
  </si>
  <si>
    <t>pay_420001512</t>
  </si>
  <si>
    <t>pay_420001581</t>
  </si>
  <si>
    <t>pay_420001588</t>
  </si>
  <si>
    <t>pay_420001625</t>
  </si>
  <si>
    <t>pay_420001632</t>
  </si>
  <si>
    <t>pay_420001652</t>
  </si>
  <si>
    <t>pay_420001666</t>
  </si>
  <si>
    <t>pay_420001706</t>
  </si>
  <si>
    <t>pay_420001719</t>
  </si>
  <si>
    <t>pay_420001795</t>
  </si>
  <si>
    <t>pay_420001824</t>
  </si>
  <si>
    <t>pay_420001835</t>
  </si>
  <si>
    <t>pay_420001865</t>
  </si>
  <si>
    <t>pay_420002016</t>
  </si>
  <si>
    <t>pay_420002028</t>
  </si>
  <si>
    <t>pay_420002030</t>
  </si>
  <si>
    <t>pay_420002034</t>
  </si>
  <si>
    <t>pay_420002057</t>
  </si>
  <si>
    <t>pay_420002092</t>
  </si>
  <si>
    <t>pay_420002103</t>
  </si>
  <si>
    <t>pay_420002131</t>
  </si>
  <si>
    <t>pay_420002146</t>
  </si>
  <si>
    <t>pay_420002157</t>
  </si>
  <si>
    <t>pay_420002205</t>
  </si>
  <si>
    <t>pay_420002215</t>
  </si>
  <si>
    <t>pay_420002221</t>
  </si>
  <si>
    <t>pay_420002229</t>
  </si>
  <si>
    <t>pay_420002331</t>
  </si>
  <si>
    <t>pay_420002375</t>
  </si>
  <si>
    <t>pay_420002445</t>
  </si>
  <si>
    <t>pay_420002482</t>
  </si>
  <si>
    <t>pay_420002512</t>
  </si>
  <si>
    <t>pay_420002514</t>
  </si>
  <si>
    <t>pay_420002518</t>
  </si>
  <si>
    <t>pay_420002556</t>
  </si>
  <si>
    <t>pay_420002557</t>
  </si>
  <si>
    <t>pay_420002559</t>
  </si>
  <si>
    <t>pay_420002602</t>
  </si>
  <si>
    <t>pay_420002639</t>
  </si>
  <si>
    <t>pay_420002681</t>
  </si>
  <si>
    <t>pay_420002687</t>
  </si>
  <si>
    <t>pay_420002733</t>
  </si>
  <si>
    <t>pay_420002794</t>
  </si>
  <si>
    <t>pay_420002798</t>
  </si>
  <si>
    <t>pay_420002801</t>
  </si>
  <si>
    <t>pay_420002817</t>
  </si>
  <si>
    <t>pay_420002861</t>
  </si>
  <si>
    <t>pay_420002902</t>
  </si>
  <si>
    <t>pay_420002911</t>
  </si>
  <si>
    <t>pay_420002973</t>
  </si>
  <si>
    <t>pay_420002980</t>
  </si>
  <si>
    <t>pay_420002993</t>
  </si>
  <si>
    <t>pay_420002994</t>
  </si>
  <si>
    <t>pay_420003004</t>
  </si>
  <si>
    <t>pay_420003098</t>
  </si>
  <si>
    <t>pay_420003168</t>
  </si>
  <si>
    <t>pay_420003188</t>
  </si>
  <si>
    <t>pay_420003203</t>
  </si>
  <si>
    <t>pay_420003206</t>
  </si>
  <si>
    <t>pay_420003225</t>
  </si>
  <si>
    <t>pay_420003235</t>
  </si>
  <si>
    <t>pay_420003244</t>
  </si>
  <si>
    <t>pay_420003245</t>
  </si>
  <si>
    <t>pay_420003299</t>
  </si>
  <si>
    <t>pay_420003346</t>
  </si>
  <si>
    <t>pay_420003358</t>
  </si>
  <si>
    <t>pay_420003371</t>
  </si>
  <si>
    <t>pay_420003377</t>
  </si>
  <si>
    <t>pay_420003390</t>
  </si>
  <si>
    <t>pay_420003416</t>
  </si>
  <si>
    <t>pay_420003443</t>
  </si>
  <si>
    <t>pay_420003508</t>
  </si>
  <si>
    <t>pay_420003593</t>
  </si>
  <si>
    <t>pay_420003597</t>
  </si>
  <si>
    <t>pay_420003612</t>
  </si>
  <si>
    <t>pay_420003615</t>
  </si>
  <si>
    <t>pay_420003630</t>
  </si>
  <si>
    <t>pay_420003638</t>
  </si>
  <si>
    <t>pay_420003673</t>
  </si>
  <si>
    <t>pay_420003678</t>
  </si>
  <si>
    <t>pay_420003687</t>
  </si>
  <si>
    <t>pay_420003705</t>
  </si>
  <si>
    <t>pay_420003780</t>
  </si>
  <si>
    <t>pay_420003782</t>
  </si>
  <si>
    <t>pay_420003820</t>
  </si>
  <si>
    <t>pay_420003833</t>
  </si>
  <si>
    <t>pay_420003860</t>
  </si>
  <si>
    <t>pay_420003896</t>
  </si>
  <si>
    <t>pay_420003931</t>
  </si>
  <si>
    <t>pay_420003962</t>
  </si>
  <si>
    <t>pay_420003983</t>
  </si>
  <si>
    <t>pay_420004008</t>
  </si>
  <si>
    <t>pay_420004073</t>
  </si>
  <si>
    <t>pay_420004102</t>
  </si>
  <si>
    <t>pay_420004167</t>
  </si>
  <si>
    <t>pay_420004168</t>
  </si>
  <si>
    <t>pay_420004213</t>
  </si>
  <si>
    <t>pay_420004224</t>
  </si>
  <si>
    <t>pay_420004237</t>
  </si>
  <si>
    <t>pay_420004282</t>
  </si>
  <si>
    <t>pay_420004298</t>
  </si>
  <si>
    <t>pay_420004306</t>
  </si>
  <si>
    <t>pay_420004380</t>
  </si>
  <si>
    <t>pay_420004388</t>
  </si>
  <si>
    <t>pay_420004411</t>
  </si>
  <si>
    <t>pay_420004418</t>
  </si>
  <si>
    <t>pay_420004449</t>
  </si>
  <si>
    <t>pay_420004506</t>
  </si>
  <si>
    <t>pay_420004590</t>
  </si>
  <si>
    <t>pay_420004614</t>
  </si>
  <si>
    <t>pay_420004659</t>
  </si>
  <si>
    <t>pay_420004668</t>
  </si>
  <si>
    <t>pay_420004726</t>
  </si>
  <si>
    <t>pay_420004727</t>
  </si>
  <si>
    <t>pay_420004769</t>
  </si>
  <si>
    <t>pay_420004819</t>
  </si>
  <si>
    <t>pay_420004820</t>
  </si>
  <si>
    <t>pay_420004930</t>
  </si>
  <si>
    <t>pay_420004942</t>
  </si>
  <si>
    <t>pay_420004992</t>
  </si>
  <si>
    <t>pay_420005111</t>
  </si>
  <si>
    <t>pay_420005196</t>
  </si>
  <si>
    <t>pay_420005225</t>
  </si>
  <si>
    <t>pay_420005227</t>
  </si>
  <si>
    <t>pay_420005231</t>
  </si>
  <si>
    <t>pay_420005268</t>
  </si>
  <si>
    <t>pay_420005310</t>
  </si>
  <si>
    <t>pay_420005359</t>
  </si>
  <si>
    <t>pay_420005365</t>
  </si>
  <si>
    <t>pay_420005393</t>
  </si>
  <si>
    <t>pay_420005431</t>
  </si>
  <si>
    <t>pay_420005433</t>
  </si>
  <si>
    <t>pay_420005437</t>
  </si>
  <si>
    <t>pay_420005477</t>
  </si>
  <si>
    <t>pay_420005552</t>
  </si>
  <si>
    <t>pay_420005597</t>
  </si>
  <si>
    <t>pay_420005640</t>
  </si>
  <si>
    <t>pay_420005664</t>
  </si>
  <si>
    <t>pay_420005730</t>
  </si>
  <si>
    <t>pay_420000011</t>
  </si>
  <si>
    <t>pay_420000068</t>
  </si>
  <si>
    <t>pay_420000097</t>
  </si>
  <si>
    <t>pay_420000155</t>
  </si>
  <si>
    <t>pay_420000191</t>
  </si>
  <si>
    <t>pay_420000212</t>
  </si>
  <si>
    <t>pay_420000231</t>
  </si>
  <si>
    <t>pay_420000251</t>
  </si>
  <si>
    <t>pay_420000297</t>
  </si>
  <si>
    <t>pay_420000368</t>
  </si>
  <si>
    <t>pay_420000376</t>
  </si>
  <si>
    <t>pay_420000380</t>
  </si>
  <si>
    <t>pay_420000385</t>
  </si>
  <si>
    <t>pay_420000390</t>
  </si>
  <si>
    <t>pay_420000420</t>
  </si>
  <si>
    <t>pay_420000594</t>
  </si>
  <si>
    <t>pay_420000596</t>
  </si>
  <si>
    <t>pay_420000632</t>
  </si>
  <si>
    <t>pay_420000642</t>
  </si>
  <si>
    <t>pay_420000674</t>
  </si>
  <si>
    <t>pay_420000679</t>
  </si>
  <si>
    <t>pay_420000757</t>
  </si>
  <si>
    <t>pay_420000762</t>
  </si>
  <si>
    <t>pay_420000790</t>
  </si>
  <si>
    <t>pay_420000822</t>
  </si>
  <si>
    <t>pay_420000832</t>
  </si>
  <si>
    <t>pay_420000841</t>
  </si>
  <si>
    <t>pay_420000871</t>
  </si>
  <si>
    <t>pay_420000921</t>
  </si>
  <si>
    <t>pay_420000944</t>
  </si>
  <si>
    <t>pay_420001023</t>
  </si>
  <si>
    <t>pay_420001049</t>
  </si>
  <si>
    <t>pay_420001075</t>
  </si>
  <si>
    <t>pay_420001125</t>
  </si>
  <si>
    <t>pay_420001187</t>
  </si>
  <si>
    <t>pay_420001212</t>
  </si>
  <si>
    <t>pay_420001284</t>
  </si>
  <si>
    <t>pay_420001348</t>
  </si>
  <si>
    <t>pay_420001355</t>
  </si>
  <si>
    <t>pay_420001376</t>
  </si>
  <si>
    <t>pay_420001441</t>
  </si>
  <si>
    <t>pay_420001484</t>
  </si>
  <si>
    <t>pay_420001522</t>
  </si>
  <si>
    <t>pay_420001525</t>
  </si>
  <si>
    <t>pay_420001538</t>
  </si>
  <si>
    <t>pay_420001569</t>
  </si>
  <si>
    <t>pay_420001570</t>
  </si>
  <si>
    <t>pay_420001576</t>
  </si>
  <si>
    <t>pay_420001580</t>
  </si>
  <si>
    <t>pay_420001634</t>
  </si>
  <si>
    <t>pay_420001654</t>
  </si>
  <si>
    <t>pay_420001661</t>
  </si>
  <si>
    <t>pay_420001663</t>
  </si>
  <si>
    <t>pay_420001674</t>
  </si>
  <si>
    <t>pay_420001724</t>
  </si>
  <si>
    <t>pay_420001756</t>
  </si>
  <si>
    <t>pay_420001763</t>
  </si>
  <si>
    <t>pay_420001789</t>
  </si>
  <si>
    <t>pay_420001848</t>
  </si>
  <si>
    <t>pay_420001855</t>
  </si>
  <si>
    <t>pay_420001877</t>
  </si>
  <si>
    <t>pay_420001887</t>
  </si>
  <si>
    <t>pay_420001932</t>
  </si>
  <si>
    <t>pay_420002076</t>
  </si>
  <si>
    <t>pay_420002104</t>
  </si>
  <si>
    <t>pay_420002129</t>
  </si>
  <si>
    <t>pay_420002211</t>
  </si>
  <si>
    <t>pay_420002230</t>
  </si>
  <si>
    <t>pay_420002251</t>
  </si>
  <si>
    <t>pay_420002254</t>
  </si>
  <si>
    <t>pay_420002278</t>
  </si>
  <si>
    <t>pay_420002279</t>
  </si>
  <si>
    <t>pay_420002312</t>
  </si>
  <si>
    <t>pay_420002381</t>
  </si>
  <si>
    <t>pay_420002386</t>
  </si>
  <si>
    <t>pay_420002397</t>
  </si>
  <si>
    <t>pay_420002463</t>
  </si>
  <si>
    <t>pay_420002603</t>
  </si>
  <si>
    <t>pay_420002607</t>
  </si>
  <si>
    <t>pay_420002649</t>
  </si>
  <si>
    <t>pay_420002701</t>
  </si>
  <si>
    <t>pay_420002784</t>
  </si>
  <si>
    <t>pay_420002807</t>
  </si>
  <si>
    <t>pay_420002891</t>
  </si>
  <si>
    <t>pay_420002924</t>
  </si>
  <si>
    <t>pay_420003023</t>
  </si>
  <si>
    <t>pay_420003039</t>
  </si>
  <si>
    <t>pay_420003054</t>
  </si>
  <si>
    <t>pay_420003072</t>
  </si>
  <si>
    <t>pay_420003113</t>
  </si>
  <si>
    <t>pay_420003147</t>
  </si>
  <si>
    <t>pay_420003180</t>
  </si>
  <si>
    <t>pay_420003214</t>
  </si>
  <si>
    <t>pay_420003227</t>
  </si>
  <si>
    <t>pay_420003254</t>
  </si>
  <si>
    <t>pay_420003285</t>
  </si>
  <si>
    <t>pay_420003294</t>
  </si>
  <si>
    <t>pay_420003357</t>
  </si>
  <si>
    <t>pay_420003398</t>
  </si>
  <si>
    <t>pay_420003479</t>
  </si>
  <si>
    <t>pay_420003491</t>
  </si>
  <si>
    <t>pay_420003498</t>
  </si>
  <si>
    <t>pay_420003520</t>
  </si>
  <si>
    <t>pay_420003547</t>
  </si>
  <si>
    <t>pay_420003602</t>
  </si>
  <si>
    <t>pay_420003606</t>
  </si>
  <si>
    <t>pay_420003650</t>
  </si>
  <si>
    <t>pay_420003655</t>
  </si>
  <si>
    <t>pay_420003679</t>
  </si>
  <si>
    <t>pay_420003695</t>
  </si>
  <si>
    <t>pay_420003712</t>
  </si>
  <si>
    <t>pay_420003717</t>
  </si>
  <si>
    <t>pay_420003794</t>
  </si>
  <si>
    <t>pay_420003805</t>
  </si>
  <si>
    <t>pay_420003813</t>
  </si>
  <si>
    <t>pay_420003817</t>
  </si>
  <si>
    <t>pay_420003850</t>
  </si>
  <si>
    <t>pay_420003851</t>
  </si>
  <si>
    <t>pay_420003856</t>
  </si>
  <si>
    <t>pay_420003876</t>
  </si>
  <si>
    <t>pay_420003898</t>
  </si>
  <si>
    <t>pay_420003911</t>
  </si>
  <si>
    <t>pay_420003928</t>
  </si>
  <si>
    <t>pay_420003968</t>
  </si>
  <si>
    <t>pay_420003986</t>
  </si>
  <si>
    <t>pay_420004004</t>
  </si>
  <si>
    <t>pay_420004061</t>
  </si>
  <si>
    <t>pay_420004115</t>
  </si>
  <si>
    <t>pay_420004143</t>
  </si>
  <si>
    <t>pay_420004153</t>
  </si>
  <si>
    <t>pay_420004154</t>
  </si>
  <si>
    <t>pay_420004200</t>
  </si>
  <si>
    <t>pay_420004247</t>
  </si>
  <si>
    <t>pay_420004314</t>
  </si>
  <si>
    <t>pay_420004321</t>
  </si>
  <si>
    <t>pay_420004347</t>
  </si>
  <si>
    <t>pay_420004375</t>
  </si>
  <si>
    <t>pay_420004420</t>
  </si>
  <si>
    <t>pay_420004430</t>
  </si>
  <si>
    <t>pay_420004463</t>
  </si>
  <si>
    <t>pay_420004470</t>
  </si>
  <si>
    <t>pay_420004476</t>
  </si>
  <si>
    <t>pay_420004496</t>
  </si>
  <si>
    <t>pay_420004505</t>
  </si>
  <si>
    <t>pay_420004515</t>
  </si>
  <si>
    <t>pay_420004571</t>
  </si>
  <si>
    <t>pay_420004594</t>
  </si>
  <si>
    <t>pay_420004613</t>
  </si>
  <si>
    <t>pay_420004671</t>
  </si>
  <si>
    <t>pay_420004674</t>
  </si>
  <si>
    <t>pay_420004680</t>
  </si>
  <si>
    <t>pay_420004752</t>
  </si>
  <si>
    <t>pay_420004763</t>
  </si>
  <si>
    <t>pay_420004773</t>
  </si>
  <si>
    <t>pay_420004781</t>
  </si>
  <si>
    <t>pay_420004789</t>
  </si>
  <si>
    <t>pay_420004798</t>
  </si>
  <si>
    <t>pay_420004822</t>
  </si>
  <si>
    <t>pay_420004838</t>
  </si>
  <si>
    <t>pay_420004848</t>
  </si>
  <si>
    <t>pay_420004857</t>
  </si>
  <si>
    <t>pay_420004901</t>
  </si>
  <si>
    <t>pay_420004962</t>
  </si>
  <si>
    <t>pay_420004965</t>
  </si>
  <si>
    <t>pay_420004976</t>
  </si>
  <si>
    <t>pay_420004994</t>
  </si>
  <si>
    <t>pay_420005010</t>
  </si>
  <si>
    <t>pay_420005027</t>
  </si>
  <si>
    <t>pay_420005035</t>
  </si>
  <si>
    <t>pay_420005046</t>
  </si>
  <si>
    <t>pay_420005083</t>
  </si>
  <si>
    <t>pay_420005113</t>
  </si>
  <si>
    <t>pay_420005123</t>
  </si>
  <si>
    <t>pay_420005146</t>
  </si>
  <si>
    <t>pay_420005183</t>
  </si>
  <si>
    <t>pay_420005266</t>
  </si>
  <si>
    <t>pay_420005272</t>
  </si>
  <si>
    <t>pay_420005314</t>
  </si>
  <si>
    <t>pay_420005324</t>
  </si>
  <si>
    <t>pay_420005325</t>
  </si>
  <si>
    <t>pay_420005346</t>
  </si>
  <si>
    <t>pay_420005348</t>
  </si>
  <si>
    <t>pay_420005396</t>
  </si>
  <si>
    <t>pay_420005397</t>
  </si>
  <si>
    <t>pay_420005405</t>
  </si>
  <si>
    <t>pay_420005456</t>
  </si>
  <si>
    <t>pay_420005506</t>
  </si>
  <si>
    <t>pay_420005594</t>
  </si>
  <si>
    <t>pay_420005601</t>
  </si>
  <si>
    <t>pay_420005608</t>
  </si>
  <si>
    <t>pay_420005618</t>
  </si>
  <si>
    <t>pay_420005676</t>
  </si>
  <si>
    <t>pay_420005690</t>
  </si>
  <si>
    <t>pay_420000001</t>
  </si>
  <si>
    <t>pay_420000014</t>
  </si>
  <si>
    <t>pay_420000017</t>
  </si>
  <si>
    <t>pay_420000018</t>
  </si>
  <si>
    <t>pay_420000024</t>
  </si>
  <si>
    <t>pay_420000122</t>
  </si>
  <si>
    <t>pay_420000129</t>
  </si>
  <si>
    <t>pay_420000154</t>
  </si>
  <si>
    <t>pay_420000167</t>
  </si>
  <si>
    <t>pay_420000176</t>
  </si>
  <si>
    <t>pay_420000204</t>
  </si>
  <si>
    <t>pay_420000208</t>
  </si>
  <si>
    <t>pay_420000225</t>
  </si>
  <si>
    <t>pay_420000248</t>
  </si>
  <si>
    <t>pay_420000260</t>
  </si>
  <si>
    <t>pay_420000269</t>
  </si>
  <si>
    <t>pay_420000306</t>
  </si>
  <si>
    <t>pay_420000336</t>
  </si>
  <si>
    <t>pay_420000358</t>
  </si>
  <si>
    <t>pay_420000362</t>
  </si>
  <si>
    <t>pay_420000401</t>
  </si>
  <si>
    <t>pay_420000405</t>
  </si>
  <si>
    <t>pay_420000438</t>
  </si>
  <si>
    <t>pay_420000499</t>
  </si>
  <si>
    <t>pay_420000535</t>
  </si>
  <si>
    <t>pay_420000555</t>
  </si>
  <si>
    <t>pay_420000560</t>
  </si>
  <si>
    <t>pay_420000568</t>
  </si>
  <si>
    <t>pay_420000576</t>
  </si>
  <si>
    <t>pay_420000635</t>
  </si>
  <si>
    <t>pay_420000695</t>
  </si>
  <si>
    <t>pay_420000717</t>
  </si>
  <si>
    <t>pay_420000772</t>
  </si>
  <si>
    <t>pay_420000842</t>
  </si>
  <si>
    <t>pay_420000853</t>
  </si>
  <si>
    <t>pay_420000866</t>
  </si>
  <si>
    <t>pay_420000873</t>
  </si>
  <si>
    <t>pay_420000915</t>
  </si>
  <si>
    <t>pay_420000917</t>
  </si>
  <si>
    <t>pay_420000946</t>
  </si>
  <si>
    <t>pay_420000979</t>
  </si>
  <si>
    <t>pay_420001074</t>
  </si>
  <si>
    <t>pay_420001086</t>
  </si>
  <si>
    <t>pay_420001098</t>
  </si>
  <si>
    <t>pay_420001137</t>
  </si>
  <si>
    <t>pay_420001160</t>
  </si>
  <si>
    <t>pay_420001191</t>
  </si>
  <si>
    <t>pay_420001199</t>
  </si>
  <si>
    <t>pay_420001211</t>
  </si>
  <si>
    <t>pay_420001293</t>
  </si>
  <si>
    <t>pay_420001310</t>
  </si>
  <si>
    <t>pay_420001342</t>
  </si>
  <si>
    <t>pay_420001368</t>
  </si>
  <si>
    <t>pay_420001386</t>
  </si>
  <si>
    <t>pay_420001408</t>
  </si>
  <si>
    <t>pay_420001448</t>
  </si>
  <si>
    <t>pay_420001451</t>
  </si>
  <si>
    <t>pay_420001506</t>
  </si>
  <si>
    <t>pay_420001531</t>
  </si>
  <si>
    <t>pay_420001558</t>
  </si>
  <si>
    <t>pay_420001561</t>
  </si>
  <si>
    <t>pay_420001564</t>
  </si>
  <si>
    <t>pay_420001577</t>
  </si>
  <si>
    <t>pay_420001585</t>
  </si>
  <si>
    <t>pay_420001611</t>
  </si>
  <si>
    <t>pay_420001650</t>
  </si>
  <si>
    <t>pay_420001664</t>
  </si>
  <si>
    <t>pay_420001675</t>
  </si>
  <si>
    <t>pay_420001689</t>
  </si>
  <si>
    <t>pay_420001759</t>
  </si>
  <si>
    <t>pay_420001769</t>
  </si>
  <si>
    <t>pay_420001793</t>
  </si>
  <si>
    <t>pay_420001797</t>
  </si>
  <si>
    <t>pay_420001828</t>
  </si>
  <si>
    <t>pay_420001861</t>
  </si>
  <si>
    <t>pay_420001904</t>
  </si>
  <si>
    <t>pay_420001967</t>
  </si>
  <si>
    <t>pay_420001979</t>
  </si>
  <si>
    <t>pay_420001996</t>
  </si>
  <si>
    <t>pay_420002023</t>
  </si>
  <si>
    <t>pay_420002068</t>
  </si>
  <si>
    <t>pay_420002079</t>
  </si>
  <si>
    <t>pay_420002114</t>
  </si>
  <si>
    <t>pay_420002237</t>
  </si>
  <si>
    <t>pay_420002250</t>
  </si>
  <si>
    <t>pay_420002284</t>
  </si>
  <si>
    <t>pay_420002432</t>
  </si>
  <si>
    <t>pay_420002478</t>
  </si>
  <si>
    <t>pay_420002492</t>
  </si>
  <si>
    <t>pay_420002509</t>
  </si>
  <si>
    <t>pay_420002517</t>
  </si>
  <si>
    <t>pay_420002600</t>
  </si>
  <si>
    <t>pay_420002611</t>
  </si>
  <si>
    <t>pay_420002620</t>
  </si>
  <si>
    <t>pay_420002631</t>
  </si>
  <si>
    <t>pay_420002678</t>
  </si>
  <si>
    <t>pay_420002693</t>
  </si>
  <si>
    <t>pay_420002868</t>
  </si>
  <si>
    <t>pay_420002887</t>
  </si>
  <si>
    <t>pay_420002896</t>
  </si>
  <si>
    <t>pay_420002953</t>
  </si>
  <si>
    <t>pay_420002976</t>
  </si>
  <si>
    <t>pay_420002986</t>
  </si>
  <si>
    <t>pay_420003000</t>
  </si>
  <si>
    <t>pay_420003065</t>
  </si>
  <si>
    <t>pay_420003093</t>
  </si>
  <si>
    <t>pay_420003101</t>
  </si>
  <si>
    <t>pay_420003128</t>
  </si>
  <si>
    <t>pay_420003189</t>
  </si>
  <si>
    <t>pay_420003204</t>
  </si>
  <si>
    <t>pay_420003205</t>
  </si>
  <si>
    <t>pay_420003313</t>
  </si>
  <si>
    <t>pay_420003321</t>
  </si>
  <si>
    <t>pay_420003407</t>
  </si>
  <si>
    <t>pay_420003457</t>
  </si>
  <si>
    <t>pay_420003478</t>
  </si>
  <si>
    <t>pay_420003484</t>
  </si>
  <si>
    <t>pay_420003493</t>
  </si>
  <si>
    <t>pay_420003524</t>
  </si>
  <si>
    <t>pay_420003596</t>
  </si>
  <si>
    <t>pay_420003692</t>
  </si>
  <si>
    <t>pay_420003693</t>
  </si>
  <si>
    <t>pay_420003704</t>
  </si>
  <si>
    <t>pay_420003706</t>
  </si>
  <si>
    <t>pay_420003715</t>
  </si>
  <si>
    <t>pay_420003753</t>
  </si>
  <si>
    <t>pay_420003803</t>
  </si>
  <si>
    <t>pay_420003828</t>
  </si>
  <si>
    <t>pay_420003835</t>
  </si>
  <si>
    <t>pay_420003846</t>
  </si>
  <si>
    <t>pay_420003855</t>
  </si>
  <si>
    <t>pay_420004014</t>
  </si>
  <si>
    <t>pay_420004025</t>
  </si>
  <si>
    <t>pay_420004057</t>
  </si>
  <si>
    <t>pay_420004120</t>
  </si>
  <si>
    <t>pay_420004158</t>
  </si>
  <si>
    <t>pay_420004250</t>
  </si>
  <si>
    <t>pay_420004293</t>
  </si>
  <si>
    <t>pay_420004371</t>
  </si>
  <si>
    <t>pay_420004543</t>
  </si>
  <si>
    <t>pay_420004607</t>
  </si>
  <si>
    <t>pay_420004632</t>
  </si>
  <si>
    <t>pay_420004717</t>
  </si>
  <si>
    <t>pay_420004737</t>
  </si>
  <si>
    <t>pay_420004755</t>
  </si>
  <si>
    <t>pay_420004843</t>
  </si>
  <si>
    <t>pay_420004895</t>
  </si>
  <si>
    <t>pay_420004918</t>
  </si>
  <si>
    <t>pay_420004932</t>
  </si>
  <si>
    <t>pay_420004957</t>
  </si>
  <si>
    <t>pay_420004982</t>
  </si>
  <si>
    <t>pay_420005011</t>
  </si>
  <si>
    <t>pay_420005073</t>
  </si>
  <si>
    <t>pay_420005141</t>
  </si>
  <si>
    <t>pay_420005180</t>
  </si>
  <si>
    <t>pay_420005204</t>
  </si>
  <si>
    <t>pay_420005255</t>
  </si>
  <si>
    <t>pay_420005322</t>
  </si>
  <si>
    <t>pay_420005323</t>
  </si>
  <si>
    <t>pay_420005368</t>
  </si>
  <si>
    <t>pay_420005457</t>
  </si>
  <si>
    <t>pay_420005469</t>
  </si>
  <si>
    <t>pay_420005522</t>
  </si>
  <si>
    <t>pay_420005527</t>
  </si>
  <si>
    <t>pay_420005537</t>
  </si>
  <si>
    <t>pay_420005543</t>
  </si>
  <si>
    <t>pay_420005570</t>
  </si>
  <si>
    <t>pay_420005615</t>
  </si>
  <si>
    <t>pay_420005620</t>
  </si>
  <si>
    <t>pay_420005647</t>
  </si>
  <si>
    <t>pay_420005651</t>
  </si>
  <si>
    <t>pay_420005662</t>
  </si>
  <si>
    <t>pay_420005712</t>
  </si>
  <si>
    <t>pay_420000071</t>
  </si>
  <si>
    <t>pay_420000135</t>
  </si>
  <si>
    <t>pay_420000153</t>
  </si>
  <si>
    <t>pay_420000165</t>
  </si>
  <si>
    <t>pay_420000182</t>
  </si>
  <si>
    <t>pay_420000213</t>
  </si>
  <si>
    <t>pay_420000246</t>
  </si>
  <si>
    <t>pay_420000319</t>
  </si>
  <si>
    <t>pay_420000326</t>
  </si>
  <si>
    <t>pay_420000331</t>
  </si>
  <si>
    <t>pay_420000361</t>
  </si>
  <si>
    <t>pay_420000364</t>
  </si>
  <si>
    <t>pay_420000366</t>
  </si>
  <si>
    <t>pay_420000517</t>
  </si>
  <si>
    <t>pay_420000543</t>
  </si>
  <si>
    <t>pay_420000588</t>
  </si>
  <si>
    <t>pay_420000602</t>
  </si>
  <si>
    <t>pay_420000694</t>
  </si>
  <si>
    <t>pay_420000697</t>
  </si>
  <si>
    <t>pay_420000791</t>
  </si>
  <si>
    <t>pay_420000797</t>
  </si>
  <si>
    <t>pay_420000899</t>
  </si>
  <si>
    <t>pay_420000902</t>
  </si>
  <si>
    <t>pay_420000906</t>
  </si>
  <si>
    <t>pay_420000912</t>
  </si>
  <si>
    <t>pay_420000986</t>
  </si>
  <si>
    <t>pay_420000989</t>
  </si>
  <si>
    <t>pay_420001035</t>
  </si>
  <si>
    <t>pay_420001052</t>
  </si>
  <si>
    <t>pay_420001064</t>
  </si>
  <si>
    <t>pay_420001077</t>
  </si>
  <si>
    <t>pay_420001094</t>
  </si>
  <si>
    <t>pay_420001104</t>
  </si>
  <si>
    <t>pay_420001171</t>
  </si>
  <si>
    <t>pay_420001217</t>
  </si>
  <si>
    <t>pay_420001298</t>
  </si>
  <si>
    <t>pay_420001308</t>
  </si>
  <si>
    <t>pay_420001350</t>
  </si>
  <si>
    <t>pay_420001358</t>
  </si>
  <si>
    <t>pay_420001398</t>
  </si>
  <si>
    <t>pay_420001473</t>
  </si>
  <si>
    <t>pay_420001482</t>
  </si>
  <si>
    <t>pay_420001513</t>
  </si>
  <si>
    <t>pay_420001568</t>
  </si>
  <si>
    <t>pay_420001601</t>
  </si>
  <si>
    <t>pay_420001679</t>
  </si>
  <si>
    <t>pay_420001758</t>
  </si>
  <si>
    <t>pay_420001798</t>
  </si>
  <si>
    <t>pay_420001875</t>
  </si>
  <si>
    <t>pay_420001896</t>
  </si>
  <si>
    <t>pay_420001983</t>
  </si>
  <si>
    <t>pay_420002002</t>
  </si>
  <si>
    <t>pay_420002042</t>
  </si>
  <si>
    <t>pay_420002080</t>
  </si>
  <si>
    <t>pay_420002109</t>
  </si>
  <si>
    <t>pay_420002118</t>
  </si>
  <si>
    <t>pay_420002171</t>
  </si>
  <si>
    <t>pay_420002207</t>
  </si>
  <si>
    <t>pay_420002216</t>
  </si>
  <si>
    <t>pay_420002240</t>
  </si>
  <si>
    <t>pay_420002273</t>
  </si>
  <si>
    <t>pay_420002311</t>
  </si>
  <si>
    <t>pay_420002330</t>
  </si>
  <si>
    <t>pay_420002334</t>
  </si>
  <si>
    <t>pay_420002377</t>
  </si>
  <si>
    <t>pay_420002429</t>
  </si>
  <si>
    <t>pay_420002439</t>
  </si>
  <si>
    <t>pay_420002468</t>
  </si>
  <si>
    <t>pay_420002483</t>
  </si>
  <si>
    <t>pay_420002547</t>
  </si>
  <si>
    <t>pay_420002657</t>
  </si>
  <si>
    <t>pay_420002777</t>
  </si>
  <si>
    <t>pay_420002857</t>
  </si>
  <si>
    <t>pay_420002866</t>
  </si>
  <si>
    <t>pay_420002878</t>
  </si>
  <si>
    <t>pay_420002908</t>
  </si>
  <si>
    <t>pay_420002927</t>
  </si>
  <si>
    <t>pay_420002970</t>
  </si>
  <si>
    <t>pay_420003013</t>
  </si>
  <si>
    <t>pay_420003029</t>
  </si>
  <si>
    <t>pay_420003050</t>
  </si>
  <si>
    <t>pay_420003086</t>
  </si>
  <si>
    <t>pay_420003092</t>
  </si>
  <si>
    <t>pay_420003115</t>
  </si>
  <si>
    <t>pay_420003163</t>
  </si>
  <si>
    <t>pay_420003287</t>
  </si>
  <si>
    <t>pay_420003361</t>
  </si>
  <si>
    <t>pay_420003363</t>
  </si>
  <si>
    <t>pay_420003487</t>
  </si>
  <si>
    <t>pay_420003525</t>
  </si>
  <si>
    <t>pay_420003549</t>
  </si>
  <si>
    <t>pay_420003558</t>
  </si>
  <si>
    <t>pay_420003583</t>
  </si>
  <si>
    <t>pay_420003640</t>
  </si>
  <si>
    <t>pay_420003713</t>
  </si>
  <si>
    <t>pay_420003732</t>
  </si>
  <si>
    <t>pay_420003771</t>
  </si>
  <si>
    <t>pay_420003793</t>
  </si>
  <si>
    <t>pay_420003795</t>
  </si>
  <si>
    <t>pay_420003863</t>
  </si>
  <si>
    <t>pay_420003884</t>
  </si>
  <si>
    <t>pay_420003966</t>
  </si>
  <si>
    <t>pay_420003996</t>
  </si>
  <si>
    <t>pay_420004003</t>
  </si>
  <si>
    <t>pay_420004024</t>
  </si>
  <si>
    <t>pay_420004082</t>
  </si>
  <si>
    <t>pay_420004084</t>
  </si>
  <si>
    <t>pay_420004152</t>
  </si>
  <si>
    <t>pay_420004179</t>
  </si>
  <si>
    <t>pay_420004210</t>
  </si>
  <si>
    <t>pay_420004270</t>
  </si>
  <si>
    <t>pay_420004280</t>
  </si>
  <si>
    <t>pay_420004329</t>
  </si>
  <si>
    <t>pay_420004352</t>
  </si>
  <si>
    <t>pay_420004379</t>
  </si>
  <si>
    <t>pay_420004397</t>
  </si>
  <si>
    <t>pay_420004422</t>
  </si>
  <si>
    <t>pay_420004436</t>
  </si>
  <si>
    <t>pay_420004501</t>
  </si>
  <si>
    <t>pay_420004549</t>
  </si>
  <si>
    <t>pay_420004589</t>
  </si>
  <si>
    <t>pay_420004597</t>
  </si>
  <si>
    <t>pay_420004606</t>
  </si>
  <si>
    <t>pay_420004616</t>
  </si>
  <si>
    <t>pay_420004654</t>
  </si>
  <si>
    <t>pay_420004655</t>
  </si>
  <si>
    <t>pay_420004670</t>
  </si>
  <si>
    <t>pay_420004691</t>
  </si>
  <si>
    <t>pay_420004744</t>
  </si>
  <si>
    <t>pay_420004776</t>
  </si>
  <si>
    <t>pay_420004791</t>
  </si>
  <si>
    <t>pay_420004836</t>
  </si>
  <si>
    <t>pay_420004874</t>
  </si>
  <si>
    <t>pay_420004877</t>
  </si>
  <si>
    <t>pay_420004986</t>
  </si>
  <si>
    <t>pay_420004989</t>
  </si>
  <si>
    <t>pay_420005001</t>
  </si>
  <si>
    <t>pay_420005018</t>
  </si>
  <si>
    <t>pay_420005084</t>
  </si>
  <si>
    <t>pay_420005131</t>
  </si>
  <si>
    <t>pay_420005136</t>
  </si>
  <si>
    <t>pay_420005162</t>
  </si>
  <si>
    <t>pay_420005178</t>
  </si>
  <si>
    <t>pay_420005184</t>
  </si>
  <si>
    <t>pay_420005203</t>
  </si>
  <si>
    <t>pay_420005251</t>
  </si>
  <si>
    <t>pay_420005307</t>
  </si>
  <si>
    <t>pay_420005313</t>
  </si>
  <si>
    <t>pay_420005328</t>
  </si>
  <si>
    <t>pay_420005360</t>
  </si>
  <si>
    <t>pay_420005392</t>
  </si>
  <si>
    <t>pay_420005421</t>
  </si>
  <si>
    <t>pay_420005517</t>
  </si>
  <si>
    <t>pay_420005532</t>
  </si>
  <si>
    <t>pay_420005535</t>
  </si>
  <si>
    <t>pay_420005610</t>
  </si>
  <si>
    <t>pay_420005666</t>
  </si>
  <si>
    <t>pay_420005668</t>
  </si>
  <si>
    <t>pay_420005673</t>
  </si>
  <si>
    <t>pay_420000002</t>
  </si>
  <si>
    <t>pay_420000020</t>
  </si>
  <si>
    <t>pay_420000027</t>
  </si>
  <si>
    <t>pay_420000053</t>
  </si>
  <si>
    <t>pay_420000085</t>
  </si>
  <si>
    <t>pay_420000092</t>
  </si>
  <si>
    <t>pay_420000093</t>
  </si>
  <si>
    <t>pay_420000096</t>
  </si>
  <si>
    <t>pay_420000144</t>
  </si>
  <si>
    <t>pay_420000166</t>
  </si>
  <si>
    <t>pay_420000244</t>
  </si>
  <si>
    <t>pay_420000298</t>
  </si>
  <si>
    <t>pay_420000314</t>
  </si>
  <si>
    <t>pay_420000338</t>
  </si>
  <si>
    <t>pay_420000345</t>
  </si>
  <si>
    <t>pay_420000371</t>
  </si>
  <si>
    <t>pay_420000393</t>
  </si>
  <si>
    <t>pay_420000394</t>
  </si>
  <si>
    <t>pay_420000434</t>
  </si>
  <si>
    <t>pay_420000490</t>
  </si>
  <si>
    <t>pay_420000492</t>
  </si>
  <si>
    <t>pay_420000548</t>
  </si>
  <si>
    <t>pay_420000575</t>
  </si>
  <si>
    <t>pay_420000609</t>
  </si>
  <si>
    <t>pay_420000611</t>
  </si>
  <si>
    <t>pay_420000769</t>
  </si>
  <si>
    <t>pay_420000854</t>
  </si>
  <si>
    <t>pay_420000875</t>
  </si>
  <si>
    <t>pay_420000895</t>
  </si>
  <si>
    <t>pay_420000905</t>
  </si>
  <si>
    <t>pay_420000939</t>
  </si>
  <si>
    <t>pay_420000965</t>
  </si>
  <si>
    <t>pay_420001022</t>
  </si>
  <si>
    <t>pay_420001088</t>
  </si>
  <si>
    <t>pay_420001095</t>
  </si>
  <si>
    <t>pay_420001102</t>
  </si>
  <si>
    <t>pay_420001148</t>
  </si>
  <si>
    <t>pay_420001177</t>
  </si>
  <si>
    <t>pay_420001290</t>
  </si>
  <si>
    <t>pay_420001333</t>
  </si>
  <si>
    <t>pay_420001344</t>
  </si>
  <si>
    <t>pay_420001396</t>
  </si>
  <si>
    <t>pay_420001414</t>
  </si>
  <si>
    <t>pay_420001460</t>
  </si>
  <si>
    <t>pay_420001503</t>
  </si>
  <si>
    <t>pay_420001524</t>
  </si>
  <si>
    <t>pay_420001530</t>
  </si>
  <si>
    <t>pay_420001592</t>
  </si>
  <si>
    <t>pay_420001596</t>
  </si>
  <si>
    <t>pay_420001615</t>
  </si>
  <si>
    <t>pay_420001711</t>
  </si>
  <si>
    <t>pay_420001717</t>
  </si>
  <si>
    <t>pay_420001748</t>
  </si>
  <si>
    <t>pay_420001894</t>
  </si>
  <si>
    <t>pay_420001912</t>
  </si>
  <si>
    <t>pay_420001933</t>
  </si>
  <si>
    <t>pay_420002041</t>
  </si>
  <si>
    <t>pay_420002065</t>
  </si>
  <si>
    <t>pay_420002077</t>
  </si>
  <si>
    <t>pay_420002200</t>
  </si>
  <si>
    <t>pay_420002246</t>
  </si>
  <si>
    <t>pay_420002281</t>
  </si>
  <si>
    <t>pay_420002288</t>
  </si>
  <si>
    <t>pay_420002350</t>
  </si>
  <si>
    <t>pay_420002363</t>
  </si>
  <si>
    <t>pay_420002383</t>
  </si>
  <si>
    <t>pay_420002401</t>
  </si>
  <si>
    <t>pay_420002403</t>
  </si>
  <si>
    <t>pay_420002414</t>
  </si>
  <si>
    <t>pay_420002421</t>
  </si>
  <si>
    <t>pay_420002438</t>
  </si>
  <si>
    <t>pay_420002462</t>
  </si>
  <si>
    <t>pay_420002561</t>
  </si>
  <si>
    <t>pay_420002625</t>
  </si>
  <si>
    <t>pay_420002632</t>
  </si>
  <si>
    <t>pay_420002650</t>
  </si>
  <si>
    <t>pay_420002673</t>
  </si>
  <si>
    <t>pay_420002712</t>
  </si>
  <si>
    <t>pay_420002715</t>
  </si>
  <si>
    <t>pay_420002726</t>
  </si>
  <si>
    <t>pay_420002762</t>
  </si>
  <si>
    <t>pay_420002782</t>
  </si>
  <si>
    <t>pay_420002877</t>
  </si>
  <si>
    <t>pay_420002885</t>
  </si>
  <si>
    <t>pay_420002919</t>
  </si>
  <si>
    <t>pay_420002958</t>
  </si>
  <si>
    <t>pay_420003040</t>
  </si>
  <si>
    <t>pay_420003078</t>
  </si>
  <si>
    <t>pay_420003080</t>
  </si>
  <si>
    <t>pay_420003140</t>
  </si>
  <si>
    <t>pay_420003150</t>
  </si>
  <si>
    <t>pay_420003175</t>
  </si>
  <si>
    <t>pay_420003259</t>
  </si>
  <si>
    <t>pay_420003325</t>
  </si>
  <si>
    <t>pay_420003351</t>
  </si>
  <si>
    <t>pay_420003352</t>
  </si>
  <si>
    <t>pay_420003370</t>
  </si>
  <si>
    <t>pay_420003396</t>
  </si>
  <si>
    <t>pay_420003400</t>
  </si>
  <si>
    <t>pay_420003401</t>
  </si>
  <si>
    <t>pay_420003410</t>
  </si>
  <si>
    <t>pay_420003501</t>
  </si>
  <si>
    <t>pay_420003550</t>
  </si>
  <si>
    <t>pay_420003582</t>
  </si>
  <si>
    <t>pay_420003603</t>
  </si>
  <si>
    <t>pay_420003631</t>
  </si>
  <si>
    <t>pay_420003632</t>
  </si>
  <si>
    <t>pay_420003634</t>
  </si>
  <si>
    <t>pay_420003665</t>
  </si>
  <si>
    <t>pay_420003670</t>
  </si>
  <si>
    <t>pay_420003702</t>
  </si>
  <si>
    <t>pay_420003744</t>
  </si>
  <si>
    <t>pay_420003868</t>
  </si>
  <si>
    <t>pay_420003890</t>
  </si>
  <si>
    <t>pay_420003917</t>
  </si>
  <si>
    <t>pay_420003925</t>
  </si>
  <si>
    <t>pay_420003930</t>
  </si>
  <si>
    <t>pay_420003965</t>
  </si>
  <si>
    <t>pay_420004029</t>
  </si>
  <si>
    <t>pay_420004049</t>
  </si>
  <si>
    <t>pay_420004128</t>
  </si>
  <si>
    <t>pay_420004130</t>
  </si>
  <si>
    <t>pay_420004163</t>
  </si>
  <si>
    <t>pay_420004174</t>
  </si>
  <si>
    <t>pay_420004265</t>
  </si>
  <si>
    <t>pay_420004383</t>
  </si>
  <si>
    <t>pay_420004508</t>
  </si>
  <si>
    <t>pay_420004535</t>
  </si>
  <si>
    <t>pay_420004576</t>
  </si>
  <si>
    <t>pay_420004584</t>
  </si>
  <si>
    <t>pay_420004586</t>
  </si>
  <si>
    <t>pay_420004624</t>
  </si>
  <si>
    <t>pay_420004639</t>
  </si>
  <si>
    <t>pay_420004662</t>
  </si>
  <si>
    <t>pay_420004665</t>
  </si>
  <si>
    <t>pay_420004784</t>
  </si>
  <si>
    <t>pay_420004799</t>
  </si>
  <si>
    <t>pay_420004800</t>
  </si>
  <si>
    <t>pay_420004801</t>
  </si>
  <si>
    <t>pay_420004839</t>
  </si>
  <si>
    <t>pay_420004875</t>
  </si>
  <si>
    <t>pay_420004920</t>
  </si>
  <si>
    <t>pay_420004922</t>
  </si>
  <si>
    <t>pay_420004954</t>
  </si>
  <si>
    <t>pay_420005033</t>
  </si>
  <si>
    <t>pay_420005071</t>
  </si>
  <si>
    <t>pay_420005154</t>
  </si>
  <si>
    <t>pay_420005194</t>
  </si>
  <si>
    <t>pay_420005226</t>
  </si>
  <si>
    <t>pay_420005242</t>
  </si>
  <si>
    <t>pay_420005285</t>
  </si>
  <si>
    <t>pay_420005303</t>
  </si>
  <si>
    <t>pay_420005341</t>
  </si>
  <si>
    <t>pay_420005373</t>
  </si>
  <si>
    <t>pay_420005398</t>
  </si>
  <si>
    <t>pay_420005452</t>
  </si>
  <si>
    <t>pay_420005492</t>
  </si>
  <si>
    <t>pay_420005559</t>
  </si>
  <si>
    <t>pay_420005581</t>
  </si>
  <si>
    <t>pay_420005586</t>
  </si>
  <si>
    <t>pay_420005623</t>
  </si>
  <si>
    <t>pay_420005633</t>
  </si>
  <si>
    <t>pay_420005652</t>
  </si>
  <si>
    <t>pay_420005713</t>
  </si>
  <si>
    <t>pay_420005742</t>
  </si>
  <si>
    <t>pay_420000049</t>
  </si>
  <si>
    <t>pay_420000066</t>
  </si>
  <si>
    <t>pay_420000105</t>
  </si>
  <si>
    <t>pay_420000152</t>
  </si>
  <si>
    <t>pay_420000158</t>
  </si>
  <si>
    <t>pay_420000178</t>
  </si>
  <si>
    <t>pay_420000221</t>
  </si>
  <si>
    <t>pay_420000232</t>
  </si>
  <si>
    <t>pay_420000237</t>
  </si>
  <si>
    <t>pay_420000330</t>
  </si>
  <si>
    <t>pay_420000334</t>
  </si>
  <si>
    <t>pay_420000367</t>
  </si>
  <si>
    <t>pay_420000398</t>
  </si>
  <si>
    <t>pay_420000417</t>
  </si>
  <si>
    <t>pay_420000452</t>
  </si>
  <si>
    <t>pay_420000501</t>
  </si>
  <si>
    <t>pay_420000527</t>
  </si>
  <si>
    <t>pay_420000562</t>
  </si>
  <si>
    <t>pay_420000618</t>
  </si>
  <si>
    <t>pay_420000643</t>
  </si>
  <si>
    <t>pay_420000653</t>
  </si>
  <si>
    <t>pay_420000667</t>
  </si>
  <si>
    <t>pay_420000680</t>
  </si>
  <si>
    <t>pay_420000684</t>
  </si>
  <si>
    <t>pay_420000689</t>
  </si>
  <si>
    <t>pay_420000698</t>
  </si>
  <si>
    <t>pay_420000703</t>
  </si>
  <si>
    <t>pay_420000720</t>
  </si>
  <si>
    <t>pay_420000737</t>
  </si>
  <si>
    <t>pay_420000752</t>
  </si>
  <si>
    <t>pay_420000767</t>
  </si>
  <si>
    <t>pay_420000779</t>
  </si>
  <si>
    <t>pay_420000847</t>
  </si>
  <si>
    <t>pay_420000967</t>
  </si>
  <si>
    <t>pay_420001026</t>
  </si>
  <si>
    <t>pay_420001103</t>
  </si>
  <si>
    <t>pay_420001159</t>
  </si>
  <si>
    <t>pay_420001226</t>
  </si>
  <si>
    <t>pay_420001244</t>
  </si>
  <si>
    <t>pay_420001287</t>
  </si>
  <si>
    <t>pay_420001331</t>
  </si>
  <si>
    <t>pay_420001332</t>
  </si>
  <si>
    <t>pay_420001339</t>
  </si>
  <si>
    <t>pay_420001341</t>
  </si>
  <si>
    <t>pay_420001406</t>
  </si>
  <si>
    <t>pay_420001432</t>
  </si>
  <si>
    <t>pay_420001442</t>
  </si>
  <si>
    <t>pay_420001452</t>
  </si>
  <si>
    <t>pay_420001468</t>
  </si>
  <si>
    <t>pay_420001487</t>
  </si>
  <si>
    <t>pay_420001496</t>
  </si>
  <si>
    <t>pay_420001548</t>
  </si>
  <si>
    <t>pay_420001563</t>
  </si>
  <si>
    <t>pay_420001572</t>
  </si>
  <si>
    <t>pay_420001602</t>
  </si>
  <si>
    <t>pay_420001672</t>
  </si>
  <si>
    <t>pay_420001702</t>
  </si>
  <si>
    <t>pay_420001712</t>
  </si>
  <si>
    <t>pay_420001780</t>
  </si>
  <si>
    <t>pay_420001781</t>
  </si>
  <si>
    <t>pay_420001805</t>
  </si>
  <si>
    <t>pay_420001823</t>
  </si>
  <si>
    <t>pay_420001836</t>
  </si>
  <si>
    <t>pay_420001892</t>
  </si>
  <si>
    <t>pay_420002011</t>
  </si>
  <si>
    <t>pay_420002048</t>
  </si>
  <si>
    <t>pay_420002073</t>
  </si>
  <si>
    <t>pay_420002085</t>
  </si>
  <si>
    <t>pay_420002119</t>
  </si>
  <si>
    <t>pay_420002199</t>
  </si>
  <si>
    <t>pay_420002204</t>
  </si>
  <si>
    <t>pay_420002214</t>
  </si>
  <si>
    <t>pay_420002364</t>
  </si>
  <si>
    <t>pay_420002365</t>
  </si>
  <si>
    <t>pay_420002370</t>
  </si>
  <si>
    <t>pay_420002394</t>
  </si>
  <si>
    <t>pay_420002395</t>
  </si>
  <si>
    <t>pay_420002469</t>
  </si>
  <si>
    <t>pay_420002501</t>
  </si>
  <si>
    <t>pay_420002532</t>
  </si>
  <si>
    <t>pay_420002536</t>
  </si>
  <si>
    <t>pay_420002546</t>
  </si>
  <si>
    <t>pay_420002566</t>
  </si>
  <si>
    <t>pay_420002570</t>
  </si>
  <si>
    <t>pay_420002574</t>
  </si>
  <si>
    <t>pay_420002591</t>
  </si>
  <si>
    <t>pay_420002618</t>
  </si>
  <si>
    <t>pay_420002623</t>
  </si>
  <si>
    <t>pay_420002644</t>
  </si>
  <si>
    <t>pay_420002667</t>
  </si>
  <si>
    <t>pay_420002695</t>
  </si>
  <si>
    <t>pay_420002749</t>
  </si>
  <si>
    <t>pay_420002757</t>
  </si>
  <si>
    <t>pay_420002765</t>
  </si>
  <si>
    <t>pay_420002771</t>
  </si>
  <si>
    <t>pay_420002837</t>
  </si>
  <si>
    <t>pay_420002841</t>
  </si>
  <si>
    <t>pay_420002873</t>
  </si>
  <si>
    <t>pay_420002890</t>
  </si>
  <si>
    <t>pay_420002912</t>
  </si>
  <si>
    <t>pay_420002946</t>
  </si>
  <si>
    <t>pay_420002971</t>
  </si>
  <si>
    <t>pay_420003026</t>
  </si>
  <si>
    <t>pay_420003073</t>
  </si>
  <si>
    <t>pay_420003087</t>
  </si>
  <si>
    <t>pay_420003144</t>
  </si>
  <si>
    <t>pay_420003152</t>
  </si>
  <si>
    <t>pay_420003201</t>
  </si>
  <si>
    <t>pay_420003247</t>
  </si>
  <si>
    <t>pay_420003271</t>
  </si>
  <si>
    <t>pay_420003295</t>
  </si>
  <si>
    <t>pay_420003306</t>
  </si>
  <si>
    <t>pay_420003343</t>
  </si>
  <si>
    <t>pay_420003360</t>
  </si>
  <si>
    <t>pay_420003411</t>
  </si>
  <si>
    <t>pay_420003444</t>
  </si>
  <si>
    <t>pay_420003473</t>
  </si>
  <si>
    <t>pay_420003489</t>
  </si>
  <si>
    <t>pay_420003556</t>
  </si>
  <si>
    <t>pay_420003594</t>
  </si>
  <si>
    <t>pay_420003600</t>
  </si>
  <si>
    <t>pay_420003626</t>
  </si>
  <si>
    <t>pay_420003674</t>
  </si>
  <si>
    <t>pay_420003719</t>
  </si>
  <si>
    <t>pay_420003729</t>
  </si>
  <si>
    <t>pay_420003759</t>
  </si>
  <si>
    <t>pay_420003907</t>
  </si>
  <si>
    <t>pay_420003916</t>
  </si>
  <si>
    <t>pay_420003940</t>
  </si>
  <si>
    <t>pay_420003967</t>
  </si>
  <si>
    <t>pay_420003981</t>
  </si>
  <si>
    <t>pay_420003985</t>
  </si>
  <si>
    <t>pay_420004047</t>
  </si>
  <si>
    <t>pay_420004085</t>
  </si>
  <si>
    <t>pay_420004107</t>
  </si>
  <si>
    <t>pay_420004129</t>
  </si>
  <si>
    <t>pay_420004141</t>
  </si>
  <si>
    <t>pay_420004148</t>
  </si>
  <si>
    <t>pay_420004151</t>
  </si>
  <si>
    <t>pay_420004165</t>
  </si>
  <si>
    <t>pay_420004194</t>
  </si>
  <si>
    <t>pay_420004217</t>
  </si>
  <si>
    <t>pay_420004241</t>
  </si>
  <si>
    <t>pay_420004257</t>
  </si>
  <si>
    <t>pay_420004266</t>
  </si>
  <si>
    <t>pay_420004309</t>
  </si>
  <si>
    <t>pay_420004336</t>
  </si>
  <si>
    <t>pay_420004364</t>
  </si>
  <si>
    <t>pay_420004369</t>
  </si>
  <si>
    <t>pay_420004391</t>
  </si>
  <si>
    <t>pay_420004444</t>
  </si>
  <si>
    <t>pay_420004551</t>
  </si>
  <si>
    <t>pay_420004649</t>
  </si>
  <si>
    <t>pay_420004652</t>
  </si>
  <si>
    <t>pay_420004653</t>
  </si>
  <si>
    <t>pay_420004673</t>
  </si>
  <si>
    <t>pay_420004676</t>
  </si>
  <si>
    <t>pay_420004677</t>
  </si>
  <si>
    <t>pay_420004712</t>
  </si>
  <si>
    <t>pay_420004751</t>
  </si>
  <si>
    <t>pay_420004771</t>
  </si>
  <si>
    <t>pay_420004778</t>
  </si>
  <si>
    <t>pay_420004824</t>
  </si>
  <si>
    <t>pay_420004846</t>
  </si>
  <si>
    <t>pay_420004869</t>
  </si>
  <si>
    <t>pay_420004900</t>
  </si>
  <si>
    <t>pay_420004956</t>
  </si>
  <si>
    <t>pay_420004961</t>
  </si>
  <si>
    <t>pay_420004980</t>
  </si>
  <si>
    <t>pay_420004981</t>
  </si>
  <si>
    <t>pay_420005082</t>
  </si>
  <si>
    <t>pay_420005165</t>
  </si>
  <si>
    <t>pay_420005169</t>
  </si>
  <si>
    <t>pay_420005172</t>
  </si>
  <si>
    <t>pay_420005175</t>
  </si>
  <si>
    <t>pay_420005197</t>
  </si>
  <si>
    <t>pay_420005298</t>
  </si>
  <si>
    <t>pay_420005321</t>
  </si>
  <si>
    <t>pay_420005337</t>
  </si>
  <si>
    <t>pay_420005404</t>
  </si>
  <si>
    <t>pay_420005443</t>
  </si>
  <si>
    <t>pay_420005444</t>
  </si>
  <si>
    <t>pay_420005587</t>
  </si>
  <si>
    <t>pay_420005602</t>
  </si>
  <si>
    <t>pay_420005607</t>
  </si>
  <si>
    <t>pay_420005614</t>
  </si>
  <si>
    <t>pay_420005622</t>
  </si>
  <si>
    <t>pay_420005624</t>
  </si>
  <si>
    <t>pay_420005643</t>
  </si>
  <si>
    <t>pay_420005655</t>
  </si>
  <si>
    <t>pay_420005719</t>
  </si>
  <si>
    <t>pay_420000009</t>
  </si>
  <si>
    <t>pay_420000025</t>
  </si>
  <si>
    <t>pay_420000098</t>
  </si>
  <si>
    <t>pay_420000193</t>
  </si>
  <si>
    <t>pay_420000218</t>
  </si>
  <si>
    <t>pay_420000276</t>
  </si>
  <si>
    <t>pay_420000292</t>
  </si>
  <si>
    <t>pay_420000294</t>
  </si>
  <si>
    <t>pay_420000301</t>
  </si>
  <si>
    <t>pay_420000343</t>
  </si>
  <si>
    <t>pay_420000354</t>
  </si>
  <si>
    <t>pay_420000374</t>
  </si>
  <si>
    <t>pay_420000377</t>
  </si>
  <si>
    <t>pay_420000423</t>
  </si>
  <si>
    <t>pay_420000451</t>
  </si>
  <si>
    <t>pay_420000528</t>
  </si>
  <si>
    <t>pay_420000586</t>
  </si>
  <si>
    <t>pay_420000601</t>
  </si>
  <si>
    <t>pay_420000617</t>
  </si>
  <si>
    <t>pay_420000626</t>
  </si>
  <si>
    <t>pay_420000628</t>
  </si>
  <si>
    <t>pay_420000652</t>
  </si>
  <si>
    <t>pay_420000685</t>
  </si>
  <si>
    <t>pay_420000688</t>
  </si>
  <si>
    <t>pay_420000708</t>
  </si>
  <si>
    <t>pay_420000800</t>
  </si>
  <si>
    <t>pay_420000809</t>
  </si>
  <si>
    <t>pay_420000815</t>
  </si>
  <si>
    <t>pay_420000816</t>
  </si>
  <si>
    <t>pay_420000827</t>
  </si>
  <si>
    <t>pay_420000857</t>
  </si>
  <si>
    <t>pay_420000879</t>
  </si>
  <si>
    <t>pay_420000893</t>
  </si>
  <si>
    <t>pay_420000898</t>
  </si>
  <si>
    <t>pay_420000922</t>
  </si>
  <si>
    <t>pay_420000932</t>
  </si>
  <si>
    <t>pay_420000947</t>
  </si>
  <si>
    <t>pay_420000952</t>
  </si>
  <si>
    <t>pay_420000973</t>
  </si>
  <si>
    <t>pay_420001005</t>
  </si>
  <si>
    <t>pay_420001011</t>
  </si>
  <si>
    <t>pay_420001043</t>
  </si>
  <si>
    <t>pay_420001096</t>
  </si>
  <si>
    <t>pay_420001175</t>
  </si>
  <si>
    <t>pay_420001188</t>
  </si>
  <si>
    <t>pay_420001193</t>
  </si>
  <si>
    <t>pay_420001224</t>
  </si>
  <si>
    <t>pay_420001268</t>
  </si>
  <si>
    <t>pay_420001291</t>
  </si>
  <si>
    <t>pay_420001325</t>
  </si>
  <si>
    <t>pay_420001336</t>
  </si>
  <si>
    <t>pay_420001378</t>
  </si>
  <si>
    <t>pay_420001435</t>
  </si>
  <si>
    <t>pay_420001436</t>
  </si>
  <si>
    <t>pay_420001509</t>
  </si>
  <si>
    <t>pay_420001514</t>
  </si>
  <si>
    <t>pay_420001542</t>
  </si>
  <si>
    <t>pay_420001620</t>
  </si>
  <si>
    <t>pay_420001621</t>
  </si>
  <si>
    <t>pay_420001682</t>
  </si>
  <si>
    <t>pay_420001686</t>
  </si>
  <si>
    <t>pay_420001704</t>
  </si>
  <si>
    <t>pay_420001732</t>
  </si>
  <si>
    <t>pay_420001741</t>
  </si>
  <si>
    <t>pay_420001802</t>
  </si>
  <si>
    <t>pay_420001840</t>
  </si>
  <si>
    <t>pay_420001845</t>
  </si>
  <si>
    <t>pay_420001884</t>
  </si>
  <si>
    <t>pay_420001897</t>
  </si>
  <si>
    <t>pay_420001909</t>
  </si>
  <si>
    <t>pay_420001917</t>
  </si>
  <si>
    <t>pay_420001918</t>
  </si>
  <si>
    <t>pay_420001938</t>
  </si>
  <si>
    <t>pay_420001985</t>
  </si>
  <si>
    <t>pay_420001991</t>
  </si>
  <si>
    <t>pay_420002020</t>
  </si>
  <si>
    <t>pay_420002021</t>
  </si>
  <si>
    <t>pay_420002135</t>
  </si>
  <si>
    <t>pay_420002174</t>
  </si>
  <si>
    <t>pay_420002187</t>
  </si>
  <si>
    <t>pay_420002218</t>
  </si>
  <si>
    <t>pay_420002228</t>
  </si>
  <si>
    <t>pay_420002233</t>
  </si>
  <si>
    <t>pay_420002285</t>
  </si>
  <si>
    <t>pay_420002309</t>
  </si>
  <si>
    <t>pay_420002315</t>
  </si>
  <si>
    <t>pay_420002325</t>
  </si>
  <si>
    <t>pay_420002341</t>
  </si>
  <si>
    <t>pay_420002351</t>
  </si>
  <si>
    <t>pay_420002433</t>
  </si>
  <si>
    <t>pay_420002435</t>
  </si>
  <si>
    <t>pay_420002464</t>
  </si>
  <si>
    <t>pay_420002471</t>
  </si>
  <si>
    <t>pay_420002496</t>
  </si>
  <si>
    <t>pay_420002503</t>
  </si>
  <si>
    <t>pay_420002504</t>
  </si>
  <si>
    <t>pay_420002508</t>
  </si>
  <si>
    <t>pay_420002521</t>
  </si>
  <si>
    <t>pay_420002552</t>
  </si>
  <si>
    <t>pay_420002589</t>
  </si>
  <si>
    <t>pay_420002637</t>
  </si>
  <si>
    <t>pay_420002710</t>
  </si>
  <si>
    <t>pay_420002720</t>
  </si>
  <si>
    <t>pay_420002941</t>
  </si>
  <si>
    <t>pay_420002943</t>
  </si>
  <si>
    <t>pay_420002962</t>
  </si>
  <si>
    <t>pay_420002965</t>
  </si>
  <si>
    <t>pay_420002997</t>
  </si>
  <si>
    <t>pay_420003048</t>
  </si>
  <si>
    <t>pay_420003060</t>
  </si>
  <si>
    <t>pay_420003070</t>
  </si>
  <si>
    <t>pay_420003084</t>
  </si>
  <si>
    <t>pay_420003106</t>
  </si>
  <si>
    <t>pay_420003151</t>
  </si>
  <si>
    <t>pay_420003166</t>
  </si>
  <si>
    <t>pay_420003231</t>
  </si>
  <si>
    <t>pay_420003302</t>
  </si>
  <si>
    <t>pay_420003376</t>
  </si>
  <si>
    <t>pay_420003441</t>
  </si>
  <si>
    <t>pay_420003442</t>
  </si>
  <si>
    <t>pay_420003446</t>
  </si>
  <si>
    <t>pay_420003505</t>
  </si>
  <si>
    <t>pay_420003517</t>
  </si>
  <si>
    <t>pay_420003533</t>
  </si>
  <si>
    <t>pay_420003577</t>
  </si>
  <si>
    <t>pay_420003644</t>
  </si>
  <si>
    <t>pay_420003671</t>
  </si>
  <si>
    <t>pay_420003779</t>
  </si>
  <si>
    <t>pay_420003801</t>
  </si>
  <si>
    <t>pay_420003829</t>
  </si>
  <si>
    <t>pay_420003843</t>
  </si>
  <si>
    <t>pay_420003879</t>
  </si>
  <si>
    <t>pay_420003893</t>
  </si>
  <si>
    <t>pay_420003910</t>
  </si>
  <si>
    <t>pay_420003912</t>
  </si>
  <si>
    <t>pay_420003951</t>
  </si>
  <si>
    <t>pay_420003961</t>
  </si>
  <si>
    <t>pay_420003997</t>
  </si>
  <si>
    <t>pay_420004069</t>
  </si>
  <si>
    <t>pay_420004105</t>
  </si>
  <si>
    <t>pay_420004124</t>
  </si>
  <si>
    <t>pay_420004131</t>
  </si>
  <si>
    <t>pay_420004139</t>
  </si>
  <si>
    <t>pay_420004182</t>
  </si>
  <si>
    <t>pay_420004201</t>
  </si>
  <si>
    <t>pay_420004207</t>
  </si>
  <si>
    <t>pay_420004212</t>
  </si>
  <si>
    <t>pay_420004221</t>
  </si>
  <si>
    <t>pay_420004232</t>
  </si>
  <si>
    <t>pay_420004233</t>
  </si>
  <si>
    <t>pay_420004273</t>
  </si>
  <si>
    <t>pay_420004274</t>
  </si>
  <si>
    <t>pay_420004307</t>
  </si>
  <si>
    <t>pay_420004318</t>
  </si>
  <si>
    <t>pay_420004331</t>
  </si>
  <si>
    <t>pay_420004333</t>
  </si>
  <si>
    <t>pay_420004365</t>
  </si>
  <si>
    <t>pay_420004389</t>
  </si>
  <si>
    <t>pay_420004407</t>
  </si>
  <si>
    <t>pay_420004413</t>
  </si>
  <si>
    <t>pay_420004468</t>
  </si>
  <si>
    <t>pay_420004523</t>
  </si>
  <si>
    <t>pay_420004630</t>
  </si>
  <si>
    <t>pay_420004633</t>
  </si>
  <si>
    <t>pay_420004678</t>
  </si>
  <si>
    <t>pay_420004683</t>
  </si>
  <si>
    <t>pay_420004719</t>
  </si>
  <si>
    <t>pay_420004757</t>
  </si>
  <si>
    <t>pay_420004806</t>
  </si>
  <si>
    <t>pay_420004862</t>
  </si>
  <si>
    <t>pay_420004870</t>
  </si>
  <si>
    <t>pay_420004924</t>
  </si>
  <si>
    <t>pay_420004935</t>
  </si>
  <si>
    <t>pay_420004936</t>
  </si>
  <si>
    <t>pay_420004978</t>
  </si>
  <si>
    <t>pay_420004984</t>
  </si>
  <si>
    <t>pay_420004996</t>
  </si>
  <si>
    <t>pay_420005002</t>
  </si>
  <si>
    <t>pay_420005030</t>
  </si>
  <si>
    <t>pay_420005053</t>
  </si>
  <si>
    <t>pay_420005068</t>
  </si>
  <si>
    <t>pay_420005192</t>
  </si>
  <si>
    <t>pay_420005210</t>
  </si>
  <si>
    <t>pay_420005235</t>
  </si>
  <si>
    <t>pay_420005245</t>
  </si>
  <si>
    <t>pay_420005284</t>
  </si>
  <si>
    <t>pay_420005344</t>
  </si>
  <si>
    <t>pay_420005381</t>
  </si>
  <si>
    <t>pay_420005385</t>
  </si>
  <si>
    <t>pay_420005402</t>
  </si>
  <si>
    <t>pay_420005412</t>
  </si>
  <si>
    <t>pay_420005414</t>
  </si>
  <si>
    <t>pay_420005420</t>
  </si>
  <si>
    <t>pay_420005439</t>
  </si>
  <si>
    <t>pay_420005447</t>
  </si>
  <si>
    <t>pay_420005493</t>
  </si>
  <si>
    <t>pay_420005500</t>
  </si>
  <si>
    <t>pay_420005507</t>
  </si>
  <si>
    <t>pay_420005509</t>
  </si>
  <si>
    <t>pay_420005510</t>
  </si>
  <si>
    <t>pay_420005524</t>
  </si>
  <si>
    <t>pay_420005575</t>
  </si>
  <si>
    <t>pay_420005723</t>
  </si>
  <si>
    <t>pay_420005732</t>
  </si>
  <si>
    <t>pay_420000056</t>
  </si>
  <si>
    <t>pay_420000058</t>
  </si>
  <si>
    <t>pay_420000059</t>
  </si>
  <si>
    <t>pay_420000161</t>
  </si>
  <si>
    <t>pay_420000181</t>
  </si>
  <si>
    <t>pay_420000238</t>
  </si>
  <si>
    <t>pay_420000256</t>
  </si>
  <si>
    <t>pay_420000258</t>
  </si>
  <si>
    <t>pay_420000321</t>
  </si>
  <si>
    <t>pay_420000332</t>
  </si>
  <si>
    <t>pay_420000370</t>
  </si>
  <si>
    <t>pay_420000419</t>
  </si>
  <si>
    <t>pay_420000450</t>
  </si>
  <si>
    <t>pay_420000459</t>
  </si>
  <si>
    <t>pay_420000493</t>
  </si>
  <si>
    <t>pay_420000556</t>
  </si>
  <si>
    <t>pay_420000583</t>
  </si>
  <si>
    <t>pay_420000590</t>
  </si>
  <si>
    <t>pay_420000732</t>
  </si>
  <si>
    <t>pay_420000764</t>
  </si>
  <si>
    <t>pay_420000786</t>
  </si>
  <si>
    <t>pay_420000796</t>
  </si>
  <si>
    <t>pay_420000856</t>
  </si>
  <si>
    <t>pay_420000896</t>
  </si>
  <si>
    <t>pay_420000916</t>
  </si>
  <si>
    <t>pay_420000936</t>
  </si>
  <si>
    <t>pay_420000956</t>
  </si>
  <si>
    <t>pay_420001060</t>
  </si>
  <si>
    <t>pay_420001090</t>
  </si>
  <si>
    <t>pay_420001198</t>
  </si>
  <si>
    <t>pay_420001243</t>
  </si>
  <si>
    <t>pay_420001257</t>
  </si>
  <si>
    <t>pay_420001265</t>
  </si>
  <si>
    <t>pay_420001271</t>
  </si>
  <si>
    <t>pay_420001311</t>
  </si>
  <si>
    <t>pay_420001315</t>
  </si>
  <si>
    <t>pay_420001345</t>
  </si>
  <si>
    <t>pay_420001381</t>
  </si>
  <si>
    <t>pay_420001425</t>
  </si>
  <si>
    <t>pay_420001500</t>
  </si>
  <si>
    <t>pay_420001578</t>
  </si>
  <si>
    <t>pay_420001593</t>
  </si>
  <si>
    <t>pay_420001599</t>
  </si>
  <si>
    <t>pay_420001636</t>
  </si>
  <si>
    <t>pay_420001639</t>
  </si>
  <si>
    <t>pay_420001720</t>
  </si>
  <si>
    <t>pay_420001722</t>
  </si>
  <si>
    <t>pay_420001733</t>
  </si>
  <si>
    <t>pay_420001742</t>
  </si>
  <si>
    <t>pay_420001776</t>
  </si>
  <si>
    <t>pay_420001777</t>
  </si>
  <si>
    <t>pay_420001844</t>
  </si>
  <si>
    <t>pay_420001852</t>
  </si>
  <si>
    <t>pay_420001880</t>
  </si>
  <si>
    <t>pay_420001891</t>
  </si>
  <si>
    <t>pay_420001895</t>
  </si>
  <si>
    <t>pay_420001900</t>
  </si>
  <si>
    <t>pay_420001911</t>
  </si>
  <si>
    <t>pay_420001925</t>
  </si>
  <si>
    <t>pay_420001997</t>
  </si>
  <si>
    <t>pay_420002018</t>
  </si>
  <si>
    <t>pay_420002045</t>
  </si>
  <si>
    <t>pay_420002049</t>
  </si>
  <si>
    <t>pay_420002126</t>
  </si>
  <si>
    <t>pay_420002137</t>
  </si>
  <si>
    <t>pay_420002191</t>
  </si>
  <si>
    <t>pay_420002217</t>
  </si>
  <si>
    <t>pay_420002223</t>
  </si>
  <si>
    <t>pay_420002244</t>
  </si>
  <si>
    <t>pay_420002258</t>
  </si>
  <si>
    <t>pay_420002272</t>
  </si>
  <si>
    <t>pay_420002319</t>
  </si>
  <si>
    <t>pay_420002337</t>
  </si>
  <si>
    <t>pay_420002359</t>
  </si>
  <si>
    <t>pay_420002374</t>
  </si>
  <si>
    <t>pay_420002389</t>
  </si>
  <si>
    <t>pay_420002396</t>
  </si>
  <si>
    <t>pay_420002415</t>
  </si>
  <si>
    <t>pay_420002480</t>
  </si>
  <si>
    <t>pay_420002507</t>
  </si>
  <si>
    <t>pay_420002523</t>
  </si>
  <si>
    <t>pay_420002651</t>
  </si>
  <si>
    <t>pay_420002682</t>
  </si>
  <si>
    <t>pay_420002702</t>
  </si>
  <si>
    <t>pay_420002704</t>
  </si>
  <si>
    <t>pay_420002736</t>
  </si>
  <si>
    <t>pay_420002737</t>
  </si>
  <si>
    <t>pay_420002741</t>
  </si>
  <si>
    <t>pay_420002792</t>
  </si>
  <si>
    <t>pay_420002826</t>
  </si>
  <si>
    <t>pay_420002901</t>
  </si>
  <si>
    <t>pay_420002903</t>
  </si>
  <si>
    <t>pay_420002990</t>
  </si>
  <si>
    <t>pay_420003077</t>
  </si>
  <si>
    <t>pay_420003158</t>
  </si>
  <si>
    <t>pay_420003193</t>
  </si>
  <si>
    <t>pay_420003208</t>
  </si>
  <si>
    <t>pay_420003260</t>
  </si>
  <si>
    <t>pay_420003274</t>
  </si>
  <si>
    <t>pay_420003275</t>
  </si>
  <si>
    <t>pay_420003283</t>
  </si>
  <si>
    <t>pay_420003308</t>
  </si>
  <si>
    <t>pay_420003316</t>
  </si>
  <si>
    <t>pay_420003323</t>
  </si>
  <si>
    <t>pay_420003409</t>
  </si>
  <si>
    <t>pay_420003459</t>
  </si>
  <si>
    <t>pay_420003464</t>
  </si>
  <si>
    <t>pay_420003513</t>
  </si>
  <si>
    <t>pay_420003527</t>
  </si>
  <si>
    <t>pay_420003591</t>
  </si>
  <si>
    <t>pay_420003605</t>
  </si>
  <si>
    <t>pay_420003624</t>
  </si>
  <si>
    <t>pay_420003666</t>
  </si>
  <si>
    <t>pay_420003727</t>
  </si>
  <si>
    <t>pay_420003741</t>
  </si>
  <si>
    <t>pay_420003808</t>
  </si>
  <si>
    <t>pay_420003811</t>
  </si>
  <si>
    <t>pay_420003839</t>
  </si>
  <si>
    <t>pay_420003883</t>
  </si>
  <si>
    <t>pay_420003941</t>
  </si>
  <si>
    <t>pay_420004013</t>
  </si>
  <si>
    <t>pay_420004018</t>
  </si>
  <si>
    <t>pay_420004030</t>
  </si>
  <si>
    <t>pay_420004045</t>
  </si>
  <si>
    <t>pay_420004126</t>
  </si>
  <si>
    <t>pay_420004135</t>
  </si>
  <si>
    <t>pay_420004160</t>
  </si>
  <si>
    <t>pay_420004184</t>
  </si>
  <si>
    <t>pay_420004188</t>
  </si>
  <si>
    <t>pay_420004346</t>
  </si>
  <si>
    <t>pay_420004356</t>
  </si>
  <si>
    <t>pay_420004357</t>
  </si>
  <si>
    <t>pay_420004358</t>
  </si>
  <si>
    <t>pay_420004359</t>
  </si>
  <si>
    <t>pay_420004416</t>
  </si>
  <si>
    <t>pay_420004451</t>
  </si>
  <si>
    <t>pay_420004489</t>
  </si>
  <si>
    <t>pay_420004587</t>
  </si>
  <si>
    <t>pay_420004629</t>
  </si>
  <si>
    <t>pay_420004687</t>
  </si>
  <si>
    <t>pay_420004696</t>
  </si>
  <si>
    <t>pay_420004735</t>
  </si>
  <si>
    <t>pay_420004851</t>
  </si>
  <si>
    <t>pay_420004899</t>
  </si>
  <si>
    <t>pay_420004940</t>
  </si>
  <si>
    <t>pay_420005092</t>
  </si>
  <si>
    <t>pay_420005117</t>
  </si>
  <si>
    <t>pay_420005187</t>
  </si>
  <si>
    <t>pay_420005222</t>
  </si>
  <si>
    <t>pay_420005244</t>
  </si>
  <si>
    <t>pay_420005248</t>
  </si>
  <si>
    <t>pay_420005301</t>
  </si>
  <si>
    <t>pay_420005308</t>
  </si>
  <si>
    <t>pay_420005318</t>
  </si>
  <si>
    <t>pay_420005351</t>
  </si>
  <si>
    <t>pay_420005394</t>
  </si>
  <si>
    <t>pay_420005489</t>
  </si>
  <si>
    <t>pay_420005513</t>
  </si>
  <si>
    <t>pay_420005554</t>
  </si>
  <si>
    <t>pay_420005556</t>
  </si>
  <si>
    <t>pay_420005576</t>
  </si>
  <si>
    <t>pay_420005589</t>
  </si>
  <si>
    <t>pay_420005604</t>
  </si>
  <si>
    <t>pay_420005645</t>
  </si>
  <si>
    <t>pay_420005650</t>
  </si>
  <si>
    <t>pay_420005701</t>
  </si>
  <si>
    <t>pay_420005735</t>
  </si>
  <si>
    <t>pay_420000032</t>
  </si>
  <si>
    <t>pay_420000036</t>
  </si>
  <si>
    <t>pay_420000047</t>
  </si>
  <si>
    <t>pay_420000076</t>
  </si>
  <si>
    <t>pay_420000077</t>
  </si>
  <si>
    <t>pay_420000084</t>
  </si>
  <si>
    <t>pay_420000126</t>
  </si>
  <si>
    <t>pay_420000132</t>
  </si>
  <si>
    <t>pay_420000151</t>
  </si>
  <si>
    <t>pay_420000209</t>
  </si>
  <si>
    <t>pay_420000227</t>
  </si>
  <si>
    <t>pay_420000234</t>
  </si>
  <si>
    <t>pay_420000239</t>
  </si>
  <si>
    <t>pay_420000240</t>
  </si>
  <si>
    <t>pay_420000259</t>
  </si>
  <si>
    <t>pay_420000289</t>
  </si>
  <si>
    <t>pay_420000381</t>
  </si>
  <si>
    <t>pay_420000441</t>
  </si>
  <si>
    <t>pay_420000457</t>
  </si>
  <si>
    <t>pay_420000480</t>
  </si>
  <si>
    <t>pay_420000514</t>
  </si>
  <si>
    <t>pay_420000539</t>
  </si>
  <si>
    <t>pay_420000549</t>
  </si>
  <si>
    <t>pay_420000580</t>
  </si>
  <si>
    <t>pay_420000595</t>
  </si>
  <si>
    <t>pay_420000669</t>
  </si>
  <si>
    <t>pay_420000731</t>
  </si>
  <si>
    <t>pay_420000758</t>
  </si>
  <si>
    <t>pay_420000765</t>
  </si>
  <si>
    <t>pay_420000818</t>
  </si>
  <si>
    <t>pay_420000837</t>
  </si>
  <si>
    <t>pay_420000844</t>
  </si>
  <si>
    <t>pay_420000991</t>
  </si>
  <si>
    <t>pay_420001050</t>
  </si>
  <si>
    <t>pay_420001056</t>
  </si>
  <si>
    <t>pay_420001093</t>
  </si>
  <si>
    <t>pay_420001140</t>
  </si>
  <si>
    <t>pay_420001143</t>
  </si>
  <si>
    <t>pay_420001150</t>
  </si>
  <si>
    <t>pay_420001157</t>
  </si>
  <si>
    <t>pay_420001178</t>
  </si>
  <si>
    <t>pay_420001363</t>
  </si>
  <si>
    <t>pay_420001403</t>
  </si>
  <si>
    <t>pay_420001419</t>
  </si>
  <si>
    <t>pay_420001552</t>
  </si>
  <si>
    <t>pay_420001560</t>
  </si>
  <si>
    <t>pay_420001567</t>
  </si>
  <si>
    <t>pay_420001587</t>
  </si>
  <si>
    <t>pay_420001617</t>
  </si>
  <si>
    <t>pay_420001633</t>
  </si>
  <si>
    <t>pay_420001669</t>
  </si>
  <si>
    <t>pay_420001699</t>
  </si>
  <si>
    <t>pay_420001738</t>
  </si>
  <si>
    <t>pay_420001755</t>
  </si>
  <si>
    <t>pay_420001794</t>
  </si>
  <si>
    <t>pay_420001803</t>
  </si>
  <si>
    <t>pay_420001867</t>
  </si>
  <si>
    <t>pay_420001883</t>
  </si>
  <si>
    <t>pay_420001922</t>
  </si>
  <si>
    <t>pay_420001930</t>
  </si>
  <si>
    <t>pay_420001941</t>
  </si>
  <si>
    <t>pay_420001946</t>
  </si>
  <si>
    <t>pay_420001994</t>
  </si>
  <si>
    <t>pay_420002015</t>
  </si>
  <si>
    <t>pay_420002039</t>
  </si>
  <si>
    <t>pay_420002043</t>
  </si>
  <si>
    <t>pay_420002063</t>
  </si>
  <si>
    <t>pay_420002078</t>
  </si>
  <si>
    <t>pay_420002082</t>
  </si>
  <si>
    <t>pay_420002097</t>
  </si>
  <si>
    <t>pay_420002106</t>
  </si>
  <si>
    <t>pay_420002156</t>
  </si>
  <si>
    <t>pay_420002176</t>
  </si>
  <si>
    <t>pay_420002188</t>
  </si>
  <si>
    <t>pay_420002212</t>
  </si>
  <si>
    <t>pay_420002263</t>
  </si>
  <si>
    <t>pay_420002358</t>
  </si>
  <si>
    <t>pay_420002369</t>
  </si>
  <si>
    <t>pay_420002373</t>
  </si>
  <si>
    <t>pay_420002382</t>
  </si>
  <si>
    <t>pay_420002410</t>
  </si>
  <si>
    <t>pay_420002456</t>
  </si>
  <si>
    <t>pay_420002460</t>
  </si>
  <si>
    <t>pay_420002476</t>
  </si>
  <si>
    <t>pay_420002479</t>
  </si>
  <si>
    <t>pay_420002505</t>
  </si>
  <si>
    <t>pay_420002519</t>
  </si>
  <si>
    <t>pay_420002524</t>
  </si>
  <si>
    <t>pay_420002539</t>
  </si>
  <si>
    <t>pay_420002545</t>
  </si>
  <si>
    <t>pay_420002597</t>
  </si>
  <si>
    <t>pay_420002606</t>
  </si>
  <si>
    <t>pay_420002630</t>
  </si>
  <si>
    <t>pay_420002661</t>
  </si>
  <si>
    <t>pay_420002669</t>
  </si>
  <si>
    <t>pay_420002707</t>
  </si>
  <si>
    <t>pay_420002730</t>
  </si>
  <si>
    <t>pay_420002778</t>
  </si>
  <si>
    <t>pay_420002823</t>
  </si>
  <si>
    <t>pay_420002898</t>
  </si>
  <si>
    <t>pay_420002944</t>
  </si>
  <si>
    <t>pay_420003027</t>
  </si>
  <si>
    <t>pay_420003049</t>
  </si>
  <si>
    <t>pay_420003089</t>
  </si>
  <si>
    <t>pay_420003105</t>
  </si>
  <si>
    <t>pay_420003117</t>
  </si>
  <si>
    <t>pay_420003149</t>
  </si>
  <si>
    <t>pay_420003154</t>
  </si>
  <si>
    <t>pay_420003157</t>
  </si>
  <si>
    <t>pay_420003179</t>
  </si>
  <si>
    <t>pay_420003220</t>
  </si>
  <si>
    <t>pay_420003221</t>
  </si>
  <si>
    <t>pay_420003222</t>
  </si>
  <si>
    <t>pay_420003303</t>
  </si>
  <si>
    <t>pay_420003335</t>
  </si>
  <si>
    <t>pay_420003338</t>
  </si>
  <si>
    <t>pay_420003375</t>
  </si>
  <si>
    <t>pay_420003383</t>
  </si>
  <si>
    <t>pay_420003463</t>
  </si>
  <si>
    <t>pay_420003466</t>
  </si>
  <si>
    <t>pay_420003470</t>
  </si>
  <si>
    <t>pay_420003476</t>
  </si>
  <si>
    <t>pay_420003528</t>
  </si>
  <si>
    <t>pay_420003623</t>
  </si>
  <si>
    <t>pay_420003628</t>
  </si>
  <si>
    <t>pay_420003682</t>
  </si>
  <si>
    <t>pay_420003700</t>
  </si>
  <si>
    <t>pay_420003849</t>
  </si>
  <si>
    <t>pay_420003882</t>
  </si>
  <si>
    <t>pay_420003921</t>
  </si>
  <si>
    <t>pay_420003939</t>
  </si>
  <si>
    <t>pay_420003954</t>
  </si>
  <si>
    <t>pay_420003993</t>
  </si>
  <si>
    <t>pay_420004040</t>
  </si>
  <si>
    <t>pay_420004065</t>
  </si>
  <si>
    <t>pay_420004068</t>
  </si>
  <si>
    <t>pay_420004170</t>
  </si>
  <si>
    <t>pay_420004239</t>
  </si>
  <si>
    <t>pay_420004254</t>
  </si>
  <si>
    <t>pay_420004288</t>
  </si>
  <si>
    <t>pay_420004294</t>
  </si>
  <si>
    <t>pay_420004312</t>
  </si>
  <si>
    <t>pay_420004342</t>
  </si>
  <si>
    <t>pay_420004354</t>
  </si>
  <si>
    <t>pay_420004403</t>
  </si>
  <si>
    <t>pay_420004431</t>
  </si>
  <si>
    <t>pay_420004453</t>
  </si>
  <si>
    <t>pay_420004484</t>
  </si>
  <si>
    <t>pay_420004520</t>
  </si>
  <si>
    <t>pay_420004548</t>
  </si>
  <si>
    <t>pay_420004588</t>
  </si>
  <si>
    <t>pay_420004595</t>
  </si>
  <si>
    <t>pay_420004600</t>
  </si>
  <si>
    <t>pay_420004604</t>
  </si>
  <si>
    <t>pay_420004617</t>
  </si>
  <si>
    <t>pay_420004747</t>
  </si>
  <si>
    <t>pay_420004770</t>
  </si>
  <si>
    <t>pay_420004774</t>
  </si>
  <si>
    <t>pay_420004805</t>
  </si>
  <si>
    <t>pay_420004811</t>
  </si>
  <si>
    <t>pay_420004853</t>
  </si>
  <si>
    <t>pay_420004865</t>
  </si>
  <si>
    <t>pay_420004876</t>
  </si>
  <si>
    <t>pay_420004949</t>
  </si>
  <si>
    <t>pay_420004967</t>
  </si>
  <si>
    <t>pay_420004993</t>
  </si>
  <si>
    <t>pay_420005021</t>
  </si>
  <si>
    <t>pay_420005022</t>
  </si>
  <si>
    <t>pay_420005034</t>
  </si>
  <si>
    <t>pay_420005036</t>
  </si>
  <si>
    <t>pay_420005049</t>
  </si>
  <si>
    <t>pay_420005059</t>
  </si>
  <si>
    <t>pay_420005176</t>
  </si>
  <si>
    <t>pay_420005206</t>
  </si>
  <si>
    <t>pay_420005207</t>
  </si>
  <si>
    <t>pay_420005218</t>
  </si>
  <si>
    <t>pay_420005253</t>
  </si>
  <si>
    <t>pay_420005274</t>
  </si>
  <si>
    <t>pay_420005296</t>
  </si>
  <si>
    <t>pay_420005334</t>
  </si>
  <si>
    <t>pay_420005416</t>
  </si>
  <si>
    <t>pay_420005436</t>
  </si>
  <si>
    <t>pay_420005480</t>
  </si>
  <si>
    <t>pay_420005550</t>
  </si>
  <si>
    <t>pay_420005560</t>
  </si>
  <si>
    <t>pay_420005571</t>
  </si>
  <si>
    <t>pay_420005593</t>
  </si>
  <si>
    <t>pay_420005598</t>
  </si>
  <si>
    <t>pay_420005659</t>
  </si>
  <si>
    <t>pay_420000060</t>
  </si>
  <si>
    <t>pay_420000062</t>
  </si>
  <si>
    <t>pay_420000073</t>
  </si>
  <si>
    <t>pay_420000095</t>
  </si>
  <si>
    <t>pay_420000159</t>
  </si>
  <si>
    <t>pay_420000399</t>
  </si>
  <si>
    <t>pay_420000416</t>
  </si>
  <si>
    <t>pay_420000427</t>
  </si>
  <si>
    <t>pay_420000453</t>
  </si>
  <si>
    <t>pay_420000526</t>
  </si>
  <si>
    <t>pay_420000581</t>
  </si>
  <si>
    <t>pay_420000599</t>
  </si>
  <si>
    <t>pay_420000648</t>
  </si>
  <si>
    <t>pay_420000656</t>
  </si>
  <si>
    <t>pay_420000672</t>
  </si>
  <si>
    <t>pay_420000712</t>
  </si>
  <si>
    <t>pay_420000887</t>
  </si>
  <si>
    <t>pay_420000975</t>
  </si>
  <si>
    <t>pay_420001002</t>
  </si>
  <si>
    <t>pay_420001012</t>
  </si>
  <si>
    <t>pay_420001015</t>
  </si>
  <si>
    <t>pay_420001038</t>
  </si>
  <si>
    <t>pay_420001045</t>
  </si>
  <si>
    <t>pay_420001059</t>
  </si>
  <si>
    <t>pay_420001070</t>
  </si>
  <si>
    <t>pay_420001083</t>
  </si>
  <si>
    <t>pay_420001087</t>
  </si>
  <si>
    <t>pay_420001110</t>
  </si>
  <si>
    <t>pay_420001139</t>
  </si>
  <si>
    <t>pay_420001144</t>
  </si>
  <si>
    <t>pay_420001156</t>
  </si>
  <si>
    <t>pay_420001222</t>
  </si>
  <si>
    <t>pay_420001223</t>
  </si>
  <si>
    <t>pay_420001258</t>
  </si>
  <si>
    <t>pay_420001269</t>
  </si>
  <si>
    <t>pay_420001272</t>
  </si>
  <si>
    <t>pay_420001318</t>
  </si>
  <si>
    <t>pay_420001349</t>
  </si>
  <si>
    <t>pay_420001369</t>
  </si>
  <si>
    <t>pay_420001463</t>
  </si>
  <si>
    <t>pay_420001486</t>
  </si>
  <si>
    <t>pay_420001519</t>
  </si>
  <si>
    <t>pay_420001533</t>
  </si>
  <si>
    <t>pay_420001544</t>
  </si>
  <si>
    <t>pay_420001554</t>
  </si>
  <si>
    <t>pay_420001589</t>
  </si>
  <si>
    <t>pay_420001766</t>
  </si>
  <si>
    <t>pay_420001811</t>
  </si>
  <si>
    <t>pay_420001816</t>
  </si>
  <si>
    <t>pay_420001843</t>
  </si>
  <si>
    <t>pay_420001952</t>
  </si>
  <si>
    <t>pay_420001953</t>
  </si>
  <si>
    <t>pay_420001955</t>
  </si>
  <si>
    <t>pay_420001960</t>
  </si>
  <si>
    <t>pay_420001980</t>
  </si>
  <si>
    <t>pay_420001981</t>
  </si>
  <si>
    <t>pay_420002009</t>
  </si>
  <si>
    <t>pay_420002027</t>
  </si>
  <si>
    <t>pay_420002037</t>
  </si>
  <si>
    <t>pay_420002044</t>
  </si>
  <si>
    <t>pay_420002115</t>
  </si>
  <si>
    <t>pay_420002122</t>
  </si>
  <si>
    <t>pay_420002124</t>
  </si>
  <si>
    <t>pay_420002132</t>
  </si>
  <si>
    <t>pay_420002143</t>
  </si>
  <si>
    <t>pay_420002144</t>
  </si>
  <si>
    <t>pay_420002160</t>
  </si>
  <si>
    <t>pay_420002161</t>
  </si>
  <si>
    <t>pay_420002232</t>
  </si>
  <si>
    <t>pay_420002234</t>
  </si>
  <si>
    <t>pay_420002317</t>
  </si>
  <si>
    <t>pay_420002328</t>
  </si>
  <si>
    <t>pay_420002335</t>
  </si>
  <si>
    <t>pay_420002355</t>
  </si>
  <si>
    <t>pay_420002465</t>
  </si>
  <si>
    <t>pay_420002499</t>
  </si>
  <si>
    <t>pay_420002522</t>
  </si>
  <si>
    <t>pay_420002529</t>
  </si>
  <si>
    <t>pay_420002567</t>
  </si>
  <si>
    <t>pay_420002581</t>
  </si>
  <si>
    <t>pay_420002592</t>
  </si>
  <si>
    <t>pay_420002635</t>
  </si>
  <si>
    <t>pay_420002685</t>
  </si>
  <si>
    <t>pay_420002723</t>
  </si>
  <si>
    <t>pay_420002766</t>
  </si>
  <si>
    <t>pay_420002773</t>
  </si>
  <si>
    <t>pay_420002830</t>
  </si>
  <si>
    <t>pay_420002867</t>
  </si>
  <si>
    <t>pay_420002906</t>
  </si>
  <si>
    <t>pay_420002945</t>
  </si>
  <si>
    <t>pay_420002947</t>
  </si>
  <si>
    <t>pay_420002983</t>
  </si>
  <si>
    <t>pay_420002998</t>
  </si>
  <si>
    <t>pay_420003003</t>
  </si>
  <si>
    <t>pay_420003032</t>
  </si>
  <si>
    <t>pay_420003033</t>
  </si>
  <si>
    <t>pay_420003038</t>
  </si>
  <si>
    <t>pay_420003044</t>
  </si>
  <si>
    <t>pay_420003100</t>
  </si>
  <si>
    <t>pay_420003112</t>
  </si>
  <si>
    <t>pay_420003132</t>
  </si>
  <si>
    <t>pay_420003169</t>
  </si>
  <si>
    <t>pay_420003171</t>
  </si>
  <si>
    <t>pay_420003191</t>
  </si>
  <si>
    <t>pay_420003311</t>
  </si>
  <si>
    <t>pay_420003349</t>
  </si>
  <si>
    <t>pay_420003362</t>
  </si>
  <si>
    <t>pay_420003364</t>
  </si>
  <si>
    <t>pay_420003380</t>
  </si>
  <si>
    <t>pay_420003462</t>
  </si>
  <si>
    <t>pay_420003535</t>
  </si>
  <si>
    <t>pay_420003559</t>
  </si>
  <si>
    <t>pay_420003578</t>
  </si>
  <si>
    <t>pay_420003601</t>
  </si>
  <si>
    <t>pay_420003613</t>
  </si>
  <si>
    <t>pay_420003639</t>
  </si>
  <si>
    <t>pay_420003652</t>
  </si>
  <si>
    <t>pay_420003658</t>
  </si>
  <si>
    <t>pay_420003694</t>
  </si>
  <si>
    <t>pay_420003698</t>
  </si>
  <si>
    <t>pay_420003710</t>
  </si>
  <si>
    <t>pay_420003737</t>
  </si>
  <si>
    <t>pay_420003756</t>
  </si>
  <si>
    <t>pay_420003799</t>
  </si>
  <si>
    <t>pay_420003827</t>
  </si>
  <si>
    <t>pay_420003980</t>
  </si>
  <si>
    <t>pay_420003984</t>
  </si>
  <si>
    <t>pay_420004006</t>
  </si>
  <si>
    <t>pay_420004062</t>
  </si>
  <si>
    <t>pay_420004088</t>
  </si>
  <si>
    <t>pay_420004110</t>
  </si>
  <si>
    <t>pay_420004111</t>
  </si>
  <si>
    <t>pay_420004118</t>
  </si>
  <si>
    <t>pay_420004176</t>
  </si>
  <si>
    <t>pay_420004189</t>
  </si>
  <si>
    <t>pay_420004206</t>
  </si>
  <si>
    <t>pay_420004211</t>
  </si>
  <si>
    <t>pay_420004302</t>
  </si>
  <si>
    <t>pay_420004353</t>
  </si>
  <si>
    <t>pay_420004401</t>
  </si>
  <si>
    <t>pay_420004402</t>
  </si>
  <si>
    <t>pay_420004446</t>
  </si>
  <si>
    <t>pay_420004462</t>
  </si>
  <si>
    <t>pay_420004529</t>
  </si>
  <si>
    <t>pay_420004547</t>
  </si>
  <si>
    <t>pay_420004550</t>
  </si>
  <si>
    <t>pay_420004579</t>
  </si>
  <si>
    <t>pay_420004705</t>
  </si>
  <si>
    <t>pay_420004722</t>
  </si>
  <si>
    <t>pay_420004728</t>
  </si>
  <si>
    <t>pay_420004814</t>
  </si>
  <si>
    <t>pay_420004825</t>
  </si>
  <si>
    <t>pay_420004830</t>
  </si>
  <si>
    <t>pay_420004860</t>
  </si>
  <si>
    <t>pay_420004905</t>
  </si>
  <si>
    <t>pay_420004908</t>
  </si>
  <si>
    <t>pay_420004914</t>
  </si>
  <si>
    <t>pay_420004919</t>
  </si>
  <si>
    <t>pay_420004928</t>
  </si>
  <si>
    <t>pay_420005014</t>
  </si>
  <si>
    <t>pay_420005096</t>
  </si>
  <si>
    <t>pay_420005139</t>
  </si>
  <si>
    <t>pay_420005152</t>
  </si>
  <si>
    <t>pay_420005163</t>
  </si>
  <si>
    <t>pay_420005167</t>
  </si>
  <si>
    <t>pay_420005174</t>
  </si>
  <si>
    <t>pay_420005188</t>
  </si>
  <si>
    <t>pay_420005191</t>
  </si>
  <si>
    <t>pay_420005202</t>
  </si>
  <si>
    <t>pay_420005352</t>
  </si>
  <si>
    <t>pay_420005357</t>
  </si>
  <si>
    <t>pay_420005387</t>
  </si>
  <si>
    <t>pay_420005388</t>
  </si>
  <si>
    <t>pay_420005409</t>
  </si>
  <si>
    <t>pay_420005411</t>
  </si>
  <si>
    <t>pay_420005471</t>
  </si>
  <si>
    <t>pay_420005523</t>
  </si>
  <si>
    <t>pay_420005544</t>
  </si>
  <si>
    <t>pay_420005548</t>
  </si>
  <si>
    <t>pay_420005551</t>
  </si>
  <si>
    <t>pay_420005555</t>
  </si>
  <si>
    <t>pay_420005566</t>
  </si>
  <si>
    <t>pay_420005580</t>
  </si>
  <si>
    <t>pay_420005595</t>
  </si>
  <si>
    <t>pay_420005630</t>
  </si>
  <si>
    <t>pay_420005736</t>
  </si>
  <si>
    <t>pay_420000008</t>
  </si>
  <si>
    <t>pay_420000081</t>
  </si>
  <si>
    <t>pay_420000175</t>
  </si>
  <si>
    <t>pay_420000197</t>
  </si>
  <si>
    <t>pay_420000200</t>
  </si>
  <si>
    <t>pay_420000243</t>
  </si>
  <si>
    <t>pay_420000257</t>
  </si>
  <si>
    <t>pay_420000279</t>
  </si>
  <si>
    <t>pay_420000280</t>
  </si>
  <si>
    <t>pay_420000323</t>
  </si>
  <si>
    <t>pay_420000402</t>
  </si>
  <si>
    <t>pay_420000418</t>
  </si>
  <si>
    <t>pay_420000505</t>
  </si>
  <si>
    <t>pay_420000515</t>
  </si>
  <si>
    <t>pay_420000533</t>
  </si>
  <si>
    <t>pay_420000536</t>
  </si>
  <si>
    <t>pay_420000551</t>
  </si>
  <si>
    <t>pay_420000567</t>
  </si>
  <si>
    <t>pay_420000627</t>
  </si>
  <si>
    <t>pay_420000650</t>
  </si>
  <si>
    <t>pay_420000753</t>
  </si>
  <si>
    <t>pay_420000768</t>
  </si>
  <si>
    <t>pay_420000780</t>
  </si>
  <si>
    <t>pay_420000799</t>
  </si>
  <si>
    <t>pay_420000807</t>
  </si>
  <si>
    <t>pay_420000821</t>
  </si>
  <si>
    <t>pay_420000860</t>
  </si>
  <si>
    <t>pay_420000894</t>
  </si>
  <si>
    <t>pay_420000934</t>
  </si>
  <si>
    <t>pay_420000942</t>
  </si>
  <si>
    <t>pay_420000958</t>
  </si>
  <si>
    <t>pay_420000961</t>
  </si>
  <si>
    <t>pay_420000977</t>
  </si>
  <si>
    <t>pay_420001046</t>
  </si>
  <si>
    <t>pay_420001048</t>
  </si>
  <si>
    <t>pay_420001053</t>
  </si>
  <si>
    <t>pay_420001069</t>
  </si>
  <si>
    <t>pay_420001097</t>
  </si>
  <si>
    <t>pay_420001114</t>
  </si>
  <si>
    <t>pay_420001164</t>
  </si>
  <si>
    <t>pay_420001167</t>
  </si>
  <si>
    <t>pay_420001173</t>
  </si>
  <si>
    <t>pay_420001214</t>
  </si>
  <si>
    <t>pay_420001235</t>
  </si>
  <si>
    <t>pay_420001240</t>
  </si>
  <si>
    <t>pay_420001254</t>
  </si>
  <si>
    <t>pay_420001302</t>
  </si>
  <si>
    <t>pay_420001359</t>
  </si>
  <si>
    <t>pay_420001449</t>
  </si>
  <si>
    <t>pay_420001517</t>
  </si>
  <si>
    <t>pay_420001526</t>
  </si>
  <si>
    <t>pay_420001535</t>
  </si>
  <si>
    <t>pay_420001616</t>
  </si>
  <si>
    <t>pay_420001624</t>
  </si>
  <si>
    <t>pay_420001640</t>
  </si>
  <si>
    <t>pay_420001667</t>
  </si>
  <si>
    <t>pay_420001681</t>
  </si>
  <si>
    <t>pay_420001786</t>
  </si>
  <si>
    <t>pay_420001800</t>
  </si>
  <si>
    <t>pay_420001961</t>
  </si>
  <si>
    <t>pay_420001976</t>
  </si>
  <si>
    <t>pay_420002035</t>
  </si>
  <si>
    <t>pay_420002060</t>
  </si>
  <si>
    <t>pay_420002189</t>
  </si>
  <si>
    <t>pay_420002190</t>
  </si>
  <si>
    <t>pay_420002210</t>
  </si>
  <si>
    <t>pay_420002231</t>
  </si>
  <si>
    <t>pay_420002267</t>
  </si>
  <si>
    <t>pay_420002276</t>
  </si>
  <si>
    <t>pay_420002308</t>
  </si>
  <si>
    <t>pay_420002326</t>
  </si>
  <si>
    <t>pay_420002332</t>
  </si>
  <si>
    <t>pay_420002347</t>
  </si>
  <si>
    <t>pay_420002392</t>
  </si>
  <si>
    <t>pay_420002409</t>
  </si>
  <si>
    <t>pay_420002491</t>
  </si>
  <si>
    <t>pay_420002510</t>
  </si>
  <si>
    <t>pay_420002550</t>
  </si>
  <si>
    <t>pay_420002560</t>
  </si>
  <si>
    <t>pay_420002564</t>
  </si>
  <si>
    <t>pay_420002582</t>
  </si>
  <si>
    <t>pay_420002610</t>
  </si>
  <si>
    <t>pay_420002636</t>
  </si>
  <si>
    <t>pay_420002728</t>
  </si>
  <si>
    <t>pay_420002745</t>
  </si>
  <si>
    <t>pay_420002770</t>
  </si>
  <si>
    <t>pay_420002822</t>
  </si>
  <si>
    <t>pay_420002829</t>
  </si>
  <si>
    <t>pay_420002843</t>
  </si>
  <si>
    <t>pay_420002871</t>
  </si>
  <si>
    <t>pay_420002884</t>
  </si>
  <si>
    <t>pay_420002894</t>
  </si>
  <si>
    <t>pay_420002909</t>
  </si>
  <si>
    <t>pay_420002922</t>
  </si>
  <si>
    <t>pay_420002933</t>
  </si>
  <si>
    <t>pay_420002972</t>
  </si>
  <si>
    <t>pay_420002977</t>
  </si>
  <si>
    <t>pay_420003012</t>
  </si>
  <si>
    <t>pay_420003090</t>
  </si>
  <si>
    <t>pay_420003096</t>
  </si>
  <si>
    <t>pay_420003107</t>
  </si>
  <si>
    <t>pay_420003146</t>
  </si>
  <si>
    <t>pay_420003192</t>
  </si>
  <si>
    <t>pay_420003213</t>
  </si>
  <si>
    <t>pay_420003241</t>
  </si>
  <si>
    <t>pay_420003261</t>
  </si>
  <si>
    <t>pay_420003264</t>
  </si>
  <si>
    <t>pay_420003300</t>
  </si>
  <si>
    <t>pay_420003309</t>
  </si>
  <si>
    <t>pay_420003314</t>
  </si>
  <si>
    <t>pay_420003326</t>
  </si>
  <si>
    <t>pay_420003345</t>
  </si>
  <si>
    <t>pay_420003395</t>
  </si>
  <si>
    <t>pay_420003429</t>
  </si>
  <si>
    <t>pay_420003434</t>
  </si>
  <si>
    <t>pay_420003480</t>
  </si>
  <si>
    <t>pay_420003512</t>
  </si>
  <si>
    <t>pay_420003515</t>
  </si>
  <si>
    <t>pay_420003696</t>
  </si>
  <si>
    <t>pay_420003716</t>
  </si>
  <si>
    <t>pay_420003721</t>
  </si>
  <si>
    <t>pay_420003739</t>
  </si>
  <si>
    <t>pay_420003760</t>
  </si>
  <si>
    <t>pay_420003761</t>
  </si>
  <si>
    <t>pay_420003788</t>
  </si>
  <si>
    <t>pay_420003804</t>
  </si>
  <si>
    <t>pay_420003915</t>
  </si>
  <si>
    <t>pay_420003927</t>
  </si>
  <si>
    <t>pay_420003956</t>
  </si>
  <si>
    <t>pay_420003992</t>
  </si>
  <si>
    <t>pay_420004019</t>
  </si>
  <si>
    <t>pay_420004074</t>
  </si>
  <si>
    <t>pay_420004127</t>
  </si>
  <si>
    <t>pay_420004134</t>
  </si>
  <si>
    <t>pay_420004140</t>
  </si>
  <si>
    <t>pay_420004196</t>
  </si>
  <si>
    <t>pay_420004262</t>
  </si>
  <si>
    <t>pay_420004295</t>
  </si>
  <si>
    <t>pay_420004374</t>
  </si>
  <si>
    <t>pay_420004387</t>
  </si>
  <si>
    <t>pay_420004404</t>
  </si>
  <si>
    <t>pay_420004410</t>
  </si>
  <si>
    <t>pay_420004427</t>
  </si>
  <si>
    <t>pay_420004644</t>
  </si>
  <si>
    <t>pay_420004645</t>
  </si>
  <si>
    <t>pay_420004661</t>
  </si>
  <si>
    <t>pay_420004663</t>
  </si>
  <si>
    <t>pay_420004760</t>
  </si>
  <si>
    <t>pay_420004775</t>
  </si>
  <si>
    <t>pay_420004880</t>
  </si>
  <si>
    <t>pay_420004882</t>
  </si>
  <si>
    <t>pay_420004937</t>
  </si>
  <si>
    <t>pay_420004972</t>
  </si>
  <si>
    <t>pay_420005004</t>
  </si>
  <si>
    <t>pay_420005028</t>
  </si>
  <si>
    <t>pay_420005061</t>
  </si>
  <si>
    <t>pay_420005098</t>
  </si>
  <si>
    <t>pay_420005195</t>
  </si>
  <si>
    <t>pay_420005205</t>
  </si>
  <si>
    <t>pay_420005246</t>
  </si>
  <si>
    <t>pay_420005258</t>
  </si>
  <si>
    <t>pay_420005286</t>
  </si>
  <si>
    <t>pay_420005297</t>
  </si>
  <si>
    <t>pay_420005377</t>
  </si>
  <si>
    <t>pay_420005391</t>
  </si>
  <si>
    <t>pay_420005403</t>
  </si>
  <si>
    <t>pay_420005413</t>
  </si>
  <si>
    <t>pay_420005478</t>
  </si>
  <si>
    <t>pay_420005487</t>
  </si>
  <si>
    <t>pay_420005501</t>
  </si>
  <si>
    <t>pay_420005512</t>
  </si>
  <si>
    <t>pay_420005553</t>
  </si>
  <si>
    <t>pay_420005625</t>
  </si>
  <si>
    <t>pay_420005648</t>
  </si>
  <si>
    <t>pay_420005654</t>
  </si>
  <si>
    <t>pay_420005671</t>
  </si>
  <si>
    <t>pay_420005679</t>
  </si>
  <si>
    <t>pay_420005711</t>
  </si>
  <si>
    <t>pay_420005715</t>
  </si>
  <si>
    <t>pay_420000031</t>
  </si>
  <si>
    <t>pay_420000037</t>
  </si>
  <si>
    <t>pay_420000046</t>
  </si>
  <si>
    <t>pay_420000134</t>
  </si>
  <si>
    <t>pay_420000140</t>
  </si>
  <si>
    <t>pay_420000147</t>
  </si>
  <si>
    <t>pay_420000148</t>
  </si>
  <si>
    <t>pay_420000162</t>
  </si>
  <si>
    <t>pay_420000188</t>
  </si>
  <si>
    <t>pay_420000287</t>
  </si>
  <si>
    <t>pay_420000296</t>
  </si>
  <si>
    <t>pay_420000299</t>
  </si>
  <si>
    <t>pay_420000300</t>
  </si>
  <si>
    <t>pay_420000302</t>
  </si>
  <si>
    <t>pay_420000303</t>
  </si>
  <si>
    <t>pay_420000308</t>
  </si>
  <si>
    <t>pay_420000311</t>
  </si>
  <si>
    <t>pay_420000328</t>
  </si>
  <si>
    <t>pay_420000356</t>
  </si>
  <si>
    <t>pay_420000396</t>
  </si>
  <si>
    <t>pay_420000446</t>
  </si>
  <si>
    <t>pay_420000498</t>
  </si>
  <si>
    <t>pay_420000518</t>
  </si>
  <si>
    <t>pay_420000524</t>
  </si>
  <si>
    <t>pay_420000538</t>
  </si>
  <si>
    <t>pay_420000563</t>
  </si>
  <si>
    <t>pay_420000600</t>
  </si>
  <si>
    <t>pay_420000604</t>
  </si>
  <si>
    <t>pay_420000616</t>
  </si>
  <si>
    <t>pay_420000713</t>
  </si>
  <si>
    <t>pay_420000744</t>
  </si>
  <si>
    <t>pay_420000755</t>
  </si>
  <si>
    <t>pay_420000763</t>
  </si>
  <si>
    <t>pay_420000778</t>
  </si>
  <si>
    <t>pay_420000781</t>
  </si>
  <si>
    <t>pay_420000833</t>
  </si>
  <si>
    <t>pay_420000848</t>
  </si>
  <si>
    <t>pay_420000849</t>
  </si>
  <si>
    <t>pay_420000859</t>
  </si>
  <si>
    <t>pay_420000881</t>
  </si>
  <si>
    <t>pay_420000890</t>
  </si>
  <si>
    <t>pay_420000904</t>
  </si>
  <si>
    <t>pay_420000923</t>
  </si>
  <si>
    <t>pay_420000941</t>
  </si>
  <si>
    <t>pay_420000988</t>
  </si>
  <si>
    <t>pay_420001016</t>
  </si>
  <si>
    <t>pay_420001027</t>
  </si>
  <si>
    <t>pay_420001067</t>
  </si>
  <si>
    <t>pay_420001100</t>
  </si>
  <si>
    <t>pay_420001147</t>
  </si>
  <si>
    <t>pay_420001182</t>
  </si>
  <si>
    <t>pay_420001185</t>
  </si>
  <si>
    <t>pay_420001190</t>
  </si>
  <si>
    <t>pay_420001256</t>
  </si>
  <si>
    <t>pay_420001330</t>
  </si>
  <si>
    <t>pay_420001354</t>
  </si>
  <si>
    <t>pay_420001410</t>
  </si>
  <si>
    <t>pay_420001411</t>
  </si>
  <si>
    <t>pay_420001412</t>
  </si>
  <si>
    <t>pay_420001450</t>
  </si>
  <si>
    <t>pay_420001462</t>
  </si>
  <si>
    <t>pay_420001532</t>
  </si>
  <si>
    <t>pay_420001546</t>
  </si>
  <si>
    <t>pay_420001565</t>
  </si>
  <si>
    <t>pay_420001586</t>
  </si>
  <si>
    <t>pay_420001638</t>
  </si>
  <si>
    <t>pay_420001648</t>
  </si>
  <si>
    <t>pay_420001680</t>
  </si>
  <si>
    <t>pay_420001692</t>
  </si>
  <si>
    <t>pay_420001693</t>
  </si>
  <si>
    <t>pay_420001716</t>
  </si>
  <si>
    <t>pay_420001740</t>
  </si>
  <si>
    <t>pay_420001744</t>
  </si>
  <si>
    <t>pay_420001775</t>
  </si>
  <si>
    <t>pay_420001799</t>
  </si>
  <si>
    <t>pay_420001838</t>
  </si>
  <si>
    <t>pay_420001898</t>
  </si>
  <si>
    <t>pay_420001924</t>
  </si>
  <si>
    <t>pay_420001927</t>
  </si>
  <si>
    <t>pay_420001944</t>
  </si>
  <si>
    <t>pay_420001999</t>
  </si>
  <si>
    <t>pay_420002059</t>
  </si>
  <si>
    <t>pay_420002086</t>
  </si>
  <si>
    <t>pay_420002110</t>
  </si>
  <si>
    <t>pay_420002195</t>
  </si>
  <si>
    <t>pay_420002268</t>
  </si>
  <si>
    <t>pay_420002283</t>
  </si>
  <si>
    <t>pay_420002296</t>
  </si>
  <si>
    <t>pay_420002458</t>
  </si>
  <si>
    <t>pay_420002467</t>
  </si>
  <si>
    <t>pay_420002488</t>
  </si>
  <si>
    <t>pay_420002490</t>
  </si>
  <si>
    <t>pay_420002534</t>
  </si>
  <si>
    <t>pay_420002593</t>
  </si>
  <si>
    <t>pay_420002615</t>
  </si>
  <si>
    <t>pay_420002659</t>
  </si>
  <si>
    <t>pay_420002714</t>
  </si>
  <si>
    <t>pay_420002717</t>
  </si>
  <si>
    <t>pay_420002743</t>
  </si>
  <si>
    <t>pay_420002787</t>
  </si>
  <si>
    <t>pay_420002790</t>
  </si>
  <si>
    <t>pay_420002834</t>
  </si>
  <si>
    <t>pay_420002848</t>
  </si>
  <si>
    <t>pay_420002849</t>
  </si>
  <si>
    <t>pay_420002856</t>
  </si>
  <si>
    <t>pay_420002859</t>
  </si>
  <si>
    <t>pay_420002883</t>
  </si>
  <si>
    <t>pay_420002918</t>
  </si>
  <si>
    <t>pay_420002936</t>
  </si>
  <si>
    <t>pay_420002954</t>
  </si>
  <si>
    <t>pay_420003031</t>
  </si>
  <si>
    <t>pay_420003083</t>
  </si>
  <si>
    <t>pay_420003088</t>
  </si>
  <si>
    <t>pay_420003110</t>
  </si>
  <si>
    <t>pay_420003212</t>
  </si>
  <si>
    <t>pay_420003230</t>
  </si>
  <si>
    <t>pay_420003255</t>
  </si>
  <si>
    <t>pay_420003277</t>
  </si>
  <si>
    <t>pay_420003278</t>
  </si>
  <si>
    <t>pay_420003297</t>
  </si>
  <si>
    <t>pay_420003387</t>
  </si>
  <si>
    <t>pay_420003399</t>
  </si>
  <si>
    <t>pay_420003448</t>
  </si>
  <si>
    <t>pay_420003456</t>
  </si>
  <si>
    <t>pay_420003472</t>
  </si>
  <si>
    <t>pay_420003516</t>
  </si>
  <si>
    <t>pay_420003543</t>
  </si>
  <si>
    <t>pay_420003546</t>
  </si>
  <si>
    <t>pay_420003555</t>
  </si>
  <si>
    <t>pay_420003580</t>
  </si>
  <si>
    <t>pay_420003607</t>
  </si>
  <si>
    <t>pay_420003617</t>
  </si>
  <si>
    <t>pay_420003621</t>
  </si>
  <si>
    <t>pay_420003633</t>
  </si>
  <si>
    <t>pay_420003680</t>
  </si>
  <si>
    <t>pay_420003709</t>
  </si>
  <si>
    <t>pay_420003757</t>
  </si>
  <si>
    <t>pay_420003837</t>
  </si>
  <si>
    <t>pay_420003841</t>
  </si>
  <si>
    <t>pay_420003845</t>
  </si>
  <si>
    <t>pay_420003848</t>
  </si>
  <si>
    <t>pay_420003881</t>
  </si>
  <si>
    <t>pay_420003904</t>
  </si>
  <si>
    <t>pay_420003936</t>
  </si>
  <si>
    <t>pay_420003955</t>
  </si>
  <si>
    <t>pay_420003957</t>
  </si>
  <si>
    <t>pay_420004007</t>
  </si>
  <si>
    <t>pay_420004023</t>
  </si>
  <si>
    <t>pay_420004036</t>
  </si>
  <si>
    <t>pay_420004052</t>
  </si>
  <si>
    <t>pay_420004056</t>
  </si>
  <si>
    <t>pay_420004063</t>
  </si>
  <si>
    <t>pay_420004090</t>
  </si>
  <si>
    <t>pay_420004123</t>
  </si>
  <si>
    <t>pay_420004185</t>
  </si>
  <si>
    <t>pay_420004209</t>
  </si>
  <si>
    <t>pay_420004218</t>
  </si>
  <si>
    <t>pay_420004228</t>
  </si>
  <si>
    <t>pay_420004238</t>
  </si>
  <si>
    <t>pay_420004255</t>
  </si>
  <si>
    <t>pay_420004285</t>
  </si>
  <si>
    <t>pay_420004290</t>
  </si>
  <si>
    <t>pay_420004296</t>
  </si>
  <si>
    <t>pay_420004305</t>
  </si>
  <si>
    <t>pay_420004361</t>
  </si>
  <si>
    <t>pay_420004390</t>
  </si>
  <si>
    <t>pay_420004441</t>
  </si>
  <si>
    <t>pay_420004450</t>
  </si>
  <si>
    <t>pay_420004461</t>
  </si>
  <si>
    <t>pay_420004467</t>
  </si>
  <si>
    <t>pay_420004491</t>
  </si>
  <si>
    <t>pay_420004503</t>
  </si>
  <si>
    <t>pay_420004504</t>
  </si>
  <si>
    <t>pay_420004509</t>
  </si>
  <si>
    <t>pay_420004521</t>
  </si>
  <si>
    <t>pay_420004578</t>
  </si>
  <si>
    <t>pay_420004628</t>
  </si>
  <si>
    <t>pay_420004675</t>
  </si>
  <si>
    <t>pay_420004685</t>
  </si>
  <si>
    <t>pay_420004693</t>
  </si>
  <si>
    <t>pay_420004707</t>
  </si>
  <si>
    <t>pay_420004711</t>
  </si>
  <si>
    <t>pay_420004725</t>
  </si>
  <si>
    <t>pay_420004772</t>
  </si>
  <si>
    <t>pay_420004790</t>
  </si>
  <si>
    <t>pay_420004835</t>
  </si>
  <si>
    <t>pay_420004863</t>
  </si>
  <si>
    <t>pay_420004906</t>
  </si>
  <si>
    <t>pay_420004945</t>
  </si>
  <si>
    <t>pay_420004975</t>
  </si>
  <si>
    <t>pay_420005038</t>
  </si>
  <si>
    <t>pay_420005060</t>
  </si>
  <si>
    <t>pay_420005078</t>
  </si>
  <si>
    <t>pay_420005088</t>
  </si>
  <si>
    <t>pay_420005089</t>
  </si>
  <si>
    <t>pay_420005100</t>
  </si>
  <si>
    <t>pay_420005109</t>
  </si>
  <si>
    <t>pay_420005112</t>
  </si>
  <si>
    <t>pay_420005145</t>
  </si>
  <si>
    <t>pay_420005166</t>
  </si>
  <si>
    <t>pay_420005304</t>
  </si>
  <si>
    <t>pay_420005305</t>
  </si>
  <si>
    <t>pay_420005338</t>
  </si>
  <si>
    <t>pay_420005417</t>
  </si>
  <si>
    <t>pay_420005526</t>
  </si>
  <si>
    <t>pay_420005533</t>
  </si>
  <si>
    <t>pay_420005584</t>
  </si>
  <si>
    <t>pay_420005596</t>
  </si>
  <si>
    <t>pay_420005627</t>
  </si>
  <si>
    <t>pay_420005667</t>
  </si>
  <si>
    <t>amount_above</t>
  </si>
  <si>
    <t>amount_up_to</t>
  </si>
  <si>
    <t>mdr_pct</t>
  </si>
  <si>
    <t>gst_on_mdr_pct</t>
  </si>
  <si>
    <t>amount_up_to_clean</t>
  </si>
  <si>
    <t>gst_rate</t>
  </si>
  <si>
    <t>slab_label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</si>
</sst>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%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FF66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0" xfId="0" applyFont="1"/>
    <xf numFmtId="3" fontId="2" fillId="0" borderId="0" xfId="0" applyNumberFormat="1" applyFont="1"/>
    <xf numFmtId="169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2AF2-2A91-4491-831A-AAABEAA41A48}">
  <dimension ref="A1:E10"/>
  <sheetViews>
    <sheetView workbookViewId="0">
      <selection activeCell="E13" sqref="E13"/>
    </sheetView>
  </sheetViews>
  <sheetFormatPr defaultRowHeight="14.4" x14ac:dyDescent="0.3"/>
  <cols>
    <col min="1" max="1" width="16.77734375" customWidth="1"/>
    <col min="2" max="2" width="16.109375" customWidth="1"/>
    <col min="3" max="3" width="16.77734375" customWidth="1"/>
    <col min="4" max="4" width="17.33203125" customWidth="1"/>
    <col min="5" max="5" width="18.88671875" customWidth="1"/>
  </cols>
  <sheetData>
    <row r="1" spans="1:5" x14ac:dyDescent="0.3">
      <c r="A1" t="s">
        <v>1</v>
      </c>
      <c r="B1" t="s">
        <v>5517</v>
      </c>
      <c r="C1" t="s">
        <v>5518</v>
      </c>
      <c r="D1" t="s">
        <v>5519</v>
      </c>
      <c r="E1" t="s">
        <v>5520</v>
      </c>
    </row>
    <row r="2" spans="1:5" x14ac:dyDescent="0.3">
      <c r="A2" t="s">
        <v>21</v>
      </c>
      <c r="B2">
        <v>0</v>
      </c>
      <c r="C2">
        <v>2000</v>
      </c>
      <c r="D2">
        <v>0</v>
      </c>
      <c r="E2">
        <v>18</v>
      </c>
    </row>
    <row r="3" spans="1:5" x14ac:dyDescent="0.3">
      <c r="A3" t="s">
        <v>21</v>
      </c>
      <c r="B3">
        <v>2000</v>
      </c>
      <c r="D3">
        <v>0.3</v>
      </c>
      <c r="E3">
        <v>18</v>
      </c>
    </row>
    <row r="4" spans="1:5" x14ac:dyDescent="0.3">
      <c r="A4" t="s">
        <v>17</v>
      </c>
      <c r="B4">
        <v>0</v>
      </c>
      <c r="C4">
        <v>2000</v>
      </c>
      <c r="D4">
        <v>1.8</v>
      </c>
      <c r="E4">
        <v>18</v>
      </c>
    </row>
    <row r="5" spans="1:5" x14ac:dyDescent="0.3">
      <c r="A5" t="s">
        <v>17</v>
      </c>
      <c r="B5">
        <v>2000</v>
      </c>
      <c r="D5">
        <v>1.6</v>
      </c>
      <c r="E5">
        <v>18</v>
      </c>
    </row>
    <row r="6" spans="1:5" x14ac:dyDescent="0.3">
      <c r="A6" t="s">
        <v>39</v>
      </c>
      <c r="B6">
        <v>0</v>
      </c>
      <c r="C6">
        <v>2000</v>
      </c>
      <c r="D6">
        <v>1.5</v>
      </c>
      <c r="E6">
        <v>18</v>
      </c>
    </row>
    <row r="7" spans="1:5" x14ac:dyDescent="0.3">
      <c r="A7" t="s">
        <v>39</v>
      </c>
      <c r="B7">
        <v>2000</v>
      </c>
      <c r="C7">
        <v>10000</v>
      </c>
      <c r="D7">
        <v>1.2</v>
      </c>
      <c r="E7">
        <v>18</v>
      </c>
    </row>
    <row r="8" spans="1:5" x14ac:dyDescent="0.3">
      <c r="A8" t="s">
        <v>39</v>
      </c>
      <c r="B8">
        <v>10000</v>
      </c>
      <c r="D8">
        <v>0.9</v>
      </c>
      <c r="E8">
        <v>18</v>
      </c>
    </row>
    <row r="9" spans="1:5" x14ac:dyDescent="0.3">
      <c r="A9" t="s">
        <v>13</v>
      </c>
      <c r="B9">
        <v>0</v>
      </c>
      <c r="C9">
        <v>2000</v>
      </c>
      <c r="D9">
        <v>1.9</v>
      </c>
      <c r="E9">
        <v>18</v>
      </c>
    </row>
    <row r="10" spans="1:5" x14ac:dyDescent="0.3">
      <c r="A10" t="s">
        <v>13</v>
      </c>
      <c r="B10">
        <v>2000</v>
      </c>
      <c r="D10">
        <v>1.7</v>
      </c>
      <c r="E10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F819-BC5E-4832-B259-8308FB07F5AC}">
  <dimension ref="A1:I10"/>
  <sheetViews>
    <sheetView workbookViewId="0">
      <selection sqref="A1:I1"/>
    </sheetView>
  </sheetViews>
  <sheetFormatPr defaultRowHeight="14.4" x14ac:dyDescent="0.3"/>
  <cols>
    <col min="1" max="1" width="20.88671875" customWidth="1"/>
    <col min="2" max="2" width="25.33203125" customWidth="1"/>
    <col min="3" max="3" width="16.21875" customWidth="1"/>
    <col min="4" max="4" width="17.5546875" customWidth="1"/>
    <col min="5" max="5" width="18.33203125" customWidth="1"/>
    <col min="6" max="6" width="19.5546875" customWidth="1"/>
    <col min="7" max="7" width="14.44140625" customWidth="1"/>
  </cols>
  <sheetData>
    <row r="1" spans="1:9" ht="26.4" x14ac:dyDescent="0.3">
      <c r="A1" s="1" t="s">
        <v>1</v>
      </c>
      <c r="B1" s="1" t="s">
        <v>5517</v>
      </c>
      <c r="C1" s="1" t="s">
        <v>5518</v>
      </c>
      <c r="D1" s="1" t="s">
        <v>5519</v>
      </c>
      <c r="E1" s="1" t="s">
        <v>5520</v>
      </c>
      <c r="F1" s="2" t="s">
        <v>5521</v>
      </c>
      <c r="G1" s="2" t="s">
        <v>6</v>
      </c>
      <c r="H1" s="2" t="s">
        <v>5522</v>
      </c>
      <c r="I1" s="2" t="s">
        <v>5523</v>
      </c>
    </row>
    <row r="2" spans="1:9" x14ac:dyDescent="0.3">
      <c r="A2" s="3" t="s">
        <v>21</v>
      </c>
      <c r="B2" s="3">
        <v>0</v>
      </c>
      <c r="C2" s="3">
        <v>2000</v>
      </c>
      <c r="D2" s="3">
        <v>0</v>
      </c>
      <c r="E2" s="3">
        <v>18</v>
      </c>
      <c r="F2" s="4">
        <f t="shared" ref="F2:F10" si="0">IF(C2="",999999999,C2)</f>
        <v>2000</v>
      </c>
      <c r="G2" s="5">
        <f t="shared" ref="G2:H10" si="1">D2/100</f>
        <v>0</v>
      </c>
      <c r="H2" s="6">
        <f t="shared" si="1"/>
        <v>0.18</v>
      </c>
      <c r="I2" s="3" t="str">
        <f t="shared" ref="I2:I10" si="2">A2&amp;" | above "&amp;B2&amp;" up to "&amp;IF(C2="","no limit",C2)</f>
        <v>UPI | above 0 up to 2000</v>
      </c>
    </row>
    <row r="3" spans="1:9" x14ac:dyDescent="0.3">
      <c r="A3" s="3" t="s">
        <v>21</v>
      </c>
      <c r="B3" s="3">
        <v>2000</v>
      </c>
      <c r="C3" s="3"/>
      <c r="D3" s="3">
        <v>0.3</v>
      </c>
      <c r="E3" s="3">
        <v>18</v>
      </c>
      <c r="F3" s="4">
        <f t="shared" si="0"/>
        <v>999999999</v>
      </c>
      <c r="G3" s="5">
        <f t="shared" si="1"/>
        <v>3.0000000000000001E-3</v>
      </c>
      <c r="H3" s="6">
        <f t="shared" si="1"/>
        <v>0.18</v>
      </c>
      <c r="I3" s="3" t="str">
        <f t="shared" si="2"/>
        <v>UPI | above 2000 up to no limit</v>
      </c>
    </row>
    <row r="4" spans="1:9" x14ac:dyDescent="0.3">
      <c r="A4" s="3" t="s">
        <v>17</v>
      </c>
      <c r="B4" s="3">
        <v>0</v>
      </c>
      <c r="C4" s="3">
        <v>2000</v>
      </c>
      <c r="D4" s="3">
        <v>1.8</v>
      </c>
      <c r="E4" s="3">
        <v>18</v>
      </c>
      <c r="F4" s="4">
        <f t="shared" si="0"/>
        <v>2000</v>
      </c>
      <c r="G4" s="5">
        <f t="shared" si="1"/>
        <v>1.8000000000000002E-2</v>
      </c>
      <c r="H4" s="6">
        <f t="shared" si="1"/>
        <v>0.18</v>
      </c>
      <c r="I4" s="3" t="str">
        <f t="shared" si="2"/>
        <v>Card | above 0 up to 2000</v>
      </c>
    </row>
    <row r="5" spans="1:9" x14ac:dyDescent="0.3">
      <c r="A5" s="3" t="s">
        <v>17</v>
      </c>
      <c r="B5" s="3">
        <v>2000</v>
      </c>
      <c r="C5" s="3"/>
      <c r="D5" s="3">
        <v>1.6</v>
      </c>
      <c r="E5" s="3">
        <v>18</v>
      </c>
      <c r="F5" s="4">
        <f t="shared" si="0"/>
        <v>999999999</v>
      </c>
      <c r="G5" s="5">
        <f t="shared" si="1"/>
        <v>1.6E-2</v>
      </c>
      <c r="H5" s="6">
        <f t="shared" si="1"/>
        <v>0.18</v>
      </c>
      <c r="I5" s="3" t="str">
        <f t="shared" si="2"/>
        <v>Card | above 2000 up to no limit</v>
      </c>
    </row>
    <row r="6" spans="1:9" x14ac:dyDescent="0.3">
      <c r="A6" s="3" t="s">
        <v>39</v>
      </c>
      <c r="B6" s="3">
        <v>0</v>
      </c>
      <c r="C6" s="3">
        <v>2000</v>
      </c>
      <c r="D6" s="3">
        <v>1.5</v>
      </c>
      <c r="E6" s="3">
        <v>18</v>
      </c>
      <c r="F6" s="4">
        <f t="shared" si="0"/>
        <v>2000</v>
      </c>
      <c r="G6" s="5">
        <f t="shared" si="1"/>
        <v>1.4999999999999999E-2</v>
      </c>
      <c r="H6" s="6">
        <f t="shared" si="1"/>
        <v>0.18</v>
      </c>
      <c r="I6" s="3" t="str">
        <f t="shared" si="2"/>
        <v>NetBanking | above 0 up to 2000</v>
      </c>
    </row>
    <row r="7" spans="1:9" x14ac:dyDescent="0.3">
      <c r="A7" s="3" t="s">
        <v>39</v>
      </c>
      <c r="B7" s="3">
        <v>2000</v>
      </c>
      <c r="C7" s="3">
        <v>10000</v>
      </c>
      <c r="D7" s="3">
        <v>1.2</v>
      </c>
      <c r="E7" s="3">
        <v>18</v>
      </c>
      <c r="F7" s="4">
        <f t="shared" si="0"/>
        <v>10000</v>
      </c>
      <c r="G7" s="5">
        <f t="shared" si="1"/>
        <v>1.2E-2</v>
      </c>
      <c r="H7" s="6">
        <f t="shared" si="1"/>
        <v>0.18</v>
      </c>
      <c r="I7" s="3" t="str">
        <f t="shared" si="2"/>
        <v>NetBanking | above 2000 up to 10000</v>
      </c>
    </row>
    <row r="8" spans="1:9" x14ac:dyDescent="0.3">
      <c r="A8" s="3" t="s">
        <v>39</v>
      </c>
      <c r="B8" s="3">
        <v>10000</v>
      </c>
      <c r="C8" s="3"/>
      <c r="D8" s="3">
        <v>0.9</v>
      </c>
      <c r="E8" s="3">
        <v>18</v>
      </c>
      <c r="F8" s="4">
        <f t="shared" si="0"/>
        <v>999999999</v>
      </c>
      <c r="G8" s="5">
        <f t="shared" si="1"/>
        <v>9.0000000000000011E-3</v>
      </c>
      <c r="H8" s="6">
        <f t="shared" si="1"/>
        <v>0.18</v>
      </c>
      <c r="I8" s="3" t="str">
        <f t="shared" si="2"/>
        <v>NetBanking | above 10000 up to no limit</v>
      </c>
    </row>
    <row r="9" spans="1:9" x14ac:dyDescent="0.3">
      <c r="A9" s="3" t="s">
        <v>13</v>
      </c>
      <c r="B9" s="3">
        <v>0</v>
      </c>
      <c r="C9" s="3">
        <v>2000</v>
      </c>
      <c r="D9" s="3">
        <v>1.9</v>
      </c>
      <c r="E9" s="3">
        <v>18</v>
      </c>
      <c r="F9" s="4">
        <f t="shared" si="0"/>
        <v>2000</v>
      </c>
      <c r="G9" s="5">
        <f t="shared" si="1"/>
        <v>1.9E-2</v>
      </c>
      <c r="H9" s="6">
        <f t="shared" si="1"/>
        <v>0.18</v>
      </c>
      <c r="I9" s="3" t="str">
        <f t="shared" si="2"/>
        <v>Wallet | above 0 up to 2000</v>
      </c>
    </row>
    <row r="10" spans="1:9" x14ac:dyDescent="0.3">
      <c r="A10" s="3" t="s">
        <v>13</v>
      </c>
      <c r="B10" s="3">
        <v>2000</v>
      </c>
      <c r="C10" s="3"/>
      <c r="D10" s="3">
        <v>1.7</v>
      </c>
      <c r="E10" s="3">
        <v>18</v>
      </c>
      <c r="F10" s="4">
        <f t="shared" si="0"/>
        <v>999999999</v>
      </c>
      <c r="G10" s="5">
        <f t="shared" si="1"/>
        <v>1.7000000000000001E-2</v>
      </c>
      <c r="H10" s="6">
        <f t="shared" si="1"/>
        <v>0.18</v>
      </c>
      <c r="I10" s="3" t="str">
        <f t="shared" si="2"/>
        <v>Wallet | above 2000 up to no limit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00"/>
  <sheetViews>
    <sheetView tabSelected="1" topLeftCell="D1" workbookViewId="0">
      <selection activeCell="I15" sqref="I15"/>
    </sheetView>
  </sheetViews>
  <sheetFormatPr defaultRowHeight="14.4" x14ac:dyDescent="0.3"/>
  <cols>
    <col min="1" max="1" width="25.21875" customWidth="1"/>
    <col min="2" max="2" width="23.88671875" customWidth="1"/>
    <col min="3" max="3" width="22.88671875" customWidth="1"/>
    <col min="4" max="4" width="20.33203125" customWidth="1"/>
    <col min="5" max="5" width="18.33203125" customWidth="1"/>
    <col min="6" max="6" width="22.109375" customWidth="1"/>
    <col min="7" max="7" width="19.21875" customWidth="1"/>
    <col min="8" max="8" width="19.44140625" customWidth="1"/>
    <col min="9" max="9" width="25.77734375" customWidth="1"/>
    <col min="10" max="10" width="18.5546875" customWidth="1"/>
    <col min="11" max="11" width="18.44140625" customWidth="1"/>
    <col min="12" max="12" width="2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6798</v>
      </c>
      <c r="D2">
        <v>163.15</v>
      </c>
      <c r="E2">
        <v>29.37</v>
      </c>
      <c r="F2">
        <f>COUNTIFS(mdr_rate_cleaned!$A$2:$A$10,B2,mdr_rate_cleaned!$B$2:$B$10,"&lt;"&amp;C2,mdr_rate_cleaned!$F$2:$F$10,"&gt;="&amp;C2)</f>
        <v>1</v>
      </c>
      <c r="G2">
        <f>SUMIFS(mdr_rate_cleaned!$G$2:$G$10,mdr_rate_cleaned!$A$2:$A$10,B2,mdr_rate_cleaned!$B$2:$B$10,"&lt;"&amp;C2,mdr_rate_cleaned!$F$2:$F$10,"&gt;="&amp;C2)</f>
        <v>1.7000000000000001E-2</v>
      </c>
      <c r="H2">
        <f>ROUND(C2*G2,2)</f>
        <v>115.57</v>
      </c>
      <c r="I2" t="str">
        <f>IF(ROUND(D2-H2,2)=0,"Match","Differs")</f>
        <v>Differs</v>
      </c>
      <c r="J2" t="str">
        <f>IF(ROUND(E2-ROUND(D2*0.18,2),2)=0,"Match","Differs")</f>
        <v>Match</v>
      </c>
      <c r="K2">
        <v>20.8</v>
      </c>
      <c r="L2">
        <v>56.15</v>
      </c>
    </row>
    <row r="3" spans="1:12" x14ac:dyDescent="0.3">
      <c r="A3" t="s">
        <v>16</v>
      </c>
      <c r="B3" t="s">
        <v>17</v>
      </c>
      <c r="C3">
        <v>11297</v>
      </c>
      <c r="D3">
        <v>180.75</v>
      </c>
      <c r="E3">
        <v>32.54</v>
      </c>
      <c r="F3">
        <f>COUNTIFS(mdr_rate_cleaned!$A$2:$A$10,B3,mdr_rate_cleaned!$B$2:$B$10,"&lt;"&amp;C3,mdr_rate_cleaned!$F$2:$F$10,"&gt;="&amp;C3)</f>
        <v>1</v>
      </c>
      <c r="G3">
        <v>1.6E-2</v>
      </c>
      <c r="H3">
        <v>180.75</v>
      </c>
      <c r="I3" t="s">
        <v>15</v>
      </c>
      <c r="J3" t="s">
        <v>15</v>
      </c>
      <c r="K3">
        <v>32.54</v>
      </c>
      <c r="L3">
        <v>0</v>
      </c>
    </row>
    <row r="4" spans="1:12" x14ac:dyDescent="0.3">
      <c r="A4" t="s">
        <v>18</v>
      </c>
      <c r="B4" t="s">
        <v>17</v>
      </c>
      <c r="C4">
        <v>4999</v>
      </c>
      <c r="D4">
        <v>79.98</v>
      </c>
      <c r="E4">
        <v>14.4</v>
      </c>
      <c r="F4">
        <f>COUNTIFS(mdr_rate_cleaned!$A$2:$A$10,B4,mdr_rate_cleaned!$B$2:$B$10,"&lt;"&amp;C4,mdr_rate_cleaned!$F$2:$F$10,"&gt;="&amp;C4)</f>
        <v>1</v>
      </c>
      <c r="G4">
        <v>1.6E-2</v>
      </c>
      <c r="H4">
        <v>79.98</v>
      </c>
      <c r="I4" t="s">
        <v>15</v>
      </c>
      <c r="J4" t="s">
        <v>15</v>
      </c>
      <c r="K4">
        <v>14.4</v>
      </c>
      <c r="L4">
        <v>0</v>
      </c>
    </row>
    <row r="5" spans="1:12" x14ac:dyDescent="0.3">
      <c r="A5" t="s">
        <v>19</v>
      </c>
      <c r="B5" t="s">
        <v>17</v>
      </c>
      <c r="C5">
        <v>349</v>
      </c>
      <c r="D5">
        <v>6.28</v>
      </c>
      <c r="E5">
        <v>1.1299999999999999</v>
      </c>
      <c r="F5">
        <f>COUNTIFS(mdr_rate_cleaned!$A$2:$A$10,B5,mdr_rate_cleaned!$B$2:$B$10,"&lt;"&amp;C5,mdr_rate_cleaned!$F$2:$F$10,"&gt;="&amp;C5)</f>
        <v>1</v>
      </c>
      <c r="G5">
        <v>1.7999999999999999E-2</v>
      </c>
      <c r="H5">
        <v>6.28</v>
      </c>
      <c r="I5" t="s">
        <v>15</v>
      </c>
      <c r="J5" t="s">
        <v>15</v>
      </c>
      <c r="K5">
        <v>1.1299999999999999</v>
      </c>
      <c r="L5">
        <v>0</v>
      </c>
    </row>
    <row r="6" spans="1:12" x14ac:dyDescent="0.3">
      <c r="A6" t="s">
        <v>20</v>
      </c>
      <c r="B6" t="s">
        <v>21</v>
      </c>
      <c r="C6">
        <v>9498</v>
      </c>
      <c r="D6">
        <v>28.49</v>
      </c>
      <c r="E6">
        <v>5.13</v>
      </c>
      <c r="F6">
        <f>COUNTIFS(mdr_rate_cleaned!$A$2:$A$10,B6,mdr_rate_cleaned!$B$2:$B$10,"&lt;"&amp;C6,mdr_rate_cleaned!$F$2:$F$10,"&gt;="&amp;C6)</f>
        <v>1</v>
      </c>
      <c r="G6">
        <v>3.0000000000000001E-3</v>
      </c>
      <c r="H6">
        <v>28.49</v>
      </c>
      <c r="I6" t="s">
        <v>15</v>
      </c>
      <c r="J6" t="s">
        <v>15</v>
      </c>
      <c r="K6">
        <v>5.13</v>
      </c>
      <c r="L6">
        <v>0</v>
      </c>
    </row>
    <row r="7" spans="1:12" x14ac:dyDescent="0.3">
      <c r="A7" t="s">
        <v>22</v>
      </c>
      <c r="B7" t="s">
        <v>17</v>
      </c>
      <c r="C7">
        <v>7999</v>
      </c>
      <c r="D7">
        <v>127.98</v>
      </c>
      <c r="E7">
        <v>23.04</v>
      </c>
      <c r="F7">
        <f>COUNTIFS(mdr_rate_cleaned!$A$2:$A$10,B7,mdr_rate_cleaned!$B$2:$B$10,"&lt;"&amp;C7,mdr_rate_cleaned!$F$2:$F$10,"&gt;="&amp;C7)</f>
        <v>1</v>
      </c>
      <c r="G7">
        <v>1.6E-2</v>
      </c>
      <c r="H7">
        <v>127.98</v>
      </c>
      <c r="I7" t="s">
        <v>15</v>
      </c>
      <c r="J7" t="s">
        <v>15</v>
      </c>
      <c r="K7">
        <v>23.04</v>
      </c>
      <c r="L7">
        <v>0</v>
      </c>
    </row>
    <row r="8" spans="1:12" x14ac:dyDescent="0.3">
      <c r="A8" t="s">
        <v>23</v>
      </c>
      <c r="B8" t="s">
        <v>17</v>
      </c>
      <c r="C8">
        <v>1299</v>
      </c>
      <c r="D8">
        <v>23.38</v>
      </c>
      <c r="E8">
        <v>4.21</v>
      </c>
      <c r="F8">
        <f>COUNTIFS(mdr_rate_cleaned!$A$2:$A$10,B8,mdr_rate_cleaned!$B$2:$B$10,"&lt;"&amp;C8,mdr_rate_cleaned!$F$2:$F$10,"&gt;="&amp;C8)</f>
        <v>1</v>
      </c>
      <c r="G8">
        <v>1.7999999999999999E-2</v>
      </c>
      <c r="H8">
        <v>23.38</v>
      </c>
      <c r="I8" t="s">
        <v>15</v>
      </c>
      <c r="J8" t="s">
        <v>15</v>
      </c>
      <c r="K8">
        <v>4.21</v>
      </c>
      <c r="L8">
        <v>0</v>
      </c>
    </row>
    <row r="9" spans="1:12" x14ac:dyDescent="0.3">
      <c r="A9" t="s">
        <v>24</v>
      </c>
      <c r="B9" t="s">
        <v>21</v>
      </c>
      <c r="C9">
        <v>1799</v>
      </c>
      <c r="D9">
        <v>0</v>
      </c>
      <c r="E9">
        <v>0</v>
      </c>
      <c r="F9">
        <f>COUNTIFS(mdr_rate_cleaned!$A$2:$A$10,B9,mdr_rate_cleaned!$B$2:$B$10,"&lt;"&amp;C9,mdr_rate_cleaned!$F$2:$F$10,"&gt;="&amp;C9)</f>
        <v>1</v>
      </c>
      <c r="G9">
        <v>0</v>
      </c>
      <c r="H9">
        <v>0</v>
      </c>
      <c r="I9" t="s">
        <v>15</v>
      </c>
      <c r="J9" t="s">
        <v>15</v>
      </c>
      <c r="K9">
        <v>0</v>
      </c>
      <c r="L9">
        <v>0</v>
      </c>
    </row>
    <row r="10" spans="1:12" x14ac:dyDescent="0.3">
      <c r="A10" t="s">
        <v>25</v>
      </c>
      <c r="B10" t="s">
        <v>21</v>
      </c>
      <c r="C10">
        <v>4298</v>
      </c>
      <c r="D10">
        <v>12.89</v>
      </c>
      <c r="E10">
        <v>2.3199999999999998</v>
      </c>
      <c r="F10">
        <f>COUNTIFS(mdr_rate_cleaned!$A$2:$A$10,B10,mdr_rate_cleaned!$B$2:$B$10,"&lt;"&amp;C10,mdr_rate_cleaned!$F$2:$F$10,"&gt;="&amp;C10)</f>
        <v>1</v>
      </c>
      <c r="G10">
        <v>3.0000000000000001E-3</v>
      </c>
      <c r="H10">
        <v>12.89</v>
      </c>
      <c r="I10" t="s">
        <v>15</v>
      </c>
      <c r="J10" t="s">
        <v>15</v>
      </c>
      <c r="K10">
        <v>2.3199999999999998</v>
      </c>
      <c r="L10">
        <v>0</v>
      </c>
    </row>
    <row r="11" spans="1:12" x14ac:dyDescent="0.3">
      <c r="A11" t="s">
        <v>26</v>
      </c>
      <c r="B11" t="s">
        <v>17</v>
      </c>
      <c r="C11">
        <v>799</v>
      </c>
      <c r="D11">
        <v>14.38</v>
      </c>
      <c r="E11">
        <v>2.59</v>
      </c>
      <c r="F11">
        <f>COUNTIFS(mdr_rate_cleaned!$A$2:$A$10,B11,mdr_rate_cleaned!$B$2:$B$10,"&lt;"&amp;C11,mdr_rate_cleaned!$F$2:$F$10,"&gt;="&amp;C11)</f>
        <v>1</v>
      </c>
      <c r="G11">
        <v>1.7999999999999999E-2</v>
      </c>
      <c r="H11">
        <v>14.38</v>
      </c>
      <c r="I11" t="s">
        <v>15</v>
      </c>
      <c r="J11" t="s">
        <v>15</v>
      </c>
      <c r="K11">
        <v>2.59</v>
      </c>
      <c r="L11">
        <v>0</v>
      </c>
    </row>
    <row r="12" spans="1:12" x14ac:dyDescent="0.3">
      <c r="A12" t="s">
        <v>27</v>
      </c>
      <c r="B12" t="s">
        <v>13</v>
      </c>
      <c r="C12">
        <v>4297</v>
      </c>
      <c r="D12">
        <v>73.05</v>
      </c>
      <c r="E12">
        <v>13.15</v>
      </c>
      <c r="F12">
        <f>COUNTIFS(mdr_rate_cleaned!$A$2:$A$10,B12,mdr_rate_cleaned!$B$2:$B$10,"&lt;"&amp;C12,mdr_rate_cleaned!$F$2:$F$10,"&gt;="&amp;C12)</f>
        <v>1</v>
      </c>
      <c r="G12">
        <v>1.7000000000000001E-2</v>
      </c>
      <c r="H12">
        <v>73.05</v>
      </c>
      <c r="I12" t="s">
        <v>15</v>
      </c>
      <c r="J12" t="s">
        <v>15</v>
      </c>
      <c r="K12">
        <v>13.15</v>
      </c>
      <c r="L12">
        <v>0</v>
      </c>
    </row>
    <row r="13" spans="1:12" x14ac:dyDescent="0.3">
      <c r="A13" t="s">
        <v>28</v>
      </c>
      <c r="B13" t="s">
        <v>17</v>
      </c>
      <c r="C13">
        <v>898</v>
      </c>
      <c r="D13">
        <v>16.16</v>
      </c>
      <c r="E13">
        <v>2.91</v>
      </c>
      <c r="F13">
        <f>COUNTIFS(mdr_rate_cleaned!$A$2:$A$10,B13,mdr_rate_cleaned!$B$2:$B$10,"&lt;"&amp;C13,mdr_rate_cleaned!$F$2:$F$10,"&gt;="&amp;C13)</f>
        <v>1</v>
      </c>
      <c r="G13">
        <v>1.7999999999999999E-2</v>
      </c>
      <c r="H13">
        <v>16.16</v>
      </c>
      <c r="I13" t="s">
        <v>15</v>
      </c>
      <c r="J13" t="s">
        <v>15</v>
      </c>
      <c r="K13">
        <v>2.91</v>
      </c>
      <c r="L13">
        <v>0</v>
      </c>
    </row>
    <row r="14" spans="1:12" x14ac:dyDescent="0.3">
      <c r="A14" t="s">
        <v>29</v>
      </c>
      <c r="B14" t="s">
        <v>17</v>
      </c>
      <c r="C14">
        <v>9498</v>
      </c>
      <c r="D14">
        <v>151.97</v>
      </c>
      <c r="E14">
        <v>27.35</v>
      </c>
      <c r="F14">
        <f>COUNTIFS(mdr_rate_cleaned!$A$2:$A$10,B14,mdr_rate_cleaned!$B$2:$B$10,"&lt;"&amp;C14,mdr_rate_cleaned!$F$2:$F$10,"&gt;="&amp;C14)</f>
        <v>1</v>
      </c>
      <c r="G14">
        <v>1.6E-2</v>
      </c>
      <c r="H14">
        <v>151.97</v>
      </c>
      <c r="I14" t="s">
        <v>15</v>
      </c>
      <c r="J14" t="s">
        <v>15</v>
      </c>
      <c r="K14">
        <v>27.35</v>
      </c>
      <c r="L14">
        <v>0</v>
      </c>
    </row>
    <row r="15" spans="1:12" x14ac:dyDescent="0.3">
      <c r="A15" t="s">
        <v>30</v>
      </c>
      <c r="B15" t="s">
        <v>17</v>
      </c>
      <c r="C15">
        <v>1798</v>
      </c>
      <c r="D15">
        <v>32.36</v>
      </c>
      <c r="E15">
        <v>5.82</v>
      </c>
      <c r="F15">
        <f>COUNTIFS(mdr_rate_cleaned!$A$2:$A$10,B15,mdr_rate_cleaned!$B$2:$B$10,"&lt;"&amp;C15,mdr_rate_cleaned!$F$2:$F$10,"&gt;="&amp;C15)</f>
        <v>1</v>
      </c>
      <c r="G15">
        <v>1.7999999999999999E-2</v>
      </c>
      <c r="H15">
        <v>32.36</v>
      </c>
      <c r="I15" t="s">
        <v>15</v>
      </c>
      <c r="J15" t="s">
        <v>15</v>
      </c>
      <c r="K15">
        <v>5.82</v>
      </c>
      <c r="L15">
        <v>0</v>
      </c>
    </row>
    <row r="16" spans="1:12" x14ac:dyDescent="0.3">
      <c r="A16" t="s">
        <v>31</v>
      </c>
      <c r="B16" t="s">
        <v>21</v>
      </c>
      <c r="C16">
        <v>7999</v>
      </c>
      <c r="D16">
        <v>24</v>
      </c>
      <c r="E16">
        <v>4.32</v>
      </c>
      <c r="F16">
        <f>COUNTIFS(mdr_rate_cleaned!$A$2:$A$10,B16,mdr_rate_cleaned!$B$2:$B$10,"&lt;"&amp;C16,mdr_rate_cleaned!$F$2:$F$10,"&gt;="&amp;C16)</f>
        <v>1</v>
      </c>
      <c r="G16">
        <v>3.0000000000000001E-3</v>
      </c>
      <c r="H16">
        <v>24</v>
      </c>
      <c r="I16" t="s">
        <v>15</v>
      </c>
      <c r="J16" t="s">
        <v>15</v>
      </c>
      <c r="K16">
        <v>4.32</v>
      </c>
      <c r="L16">
        <v>0</v>
      </c>
    </row>
    <row r="17" spans="1:12" x14ac:dyDescent="0.3">
      <c r="A17" t="s">
        <v>32</v>
      </c>
      <c r="B17" t="s">
        <v>21</v>
      </c>
      <c r="C17">
        <v>11997</v>
      </c>
      <c r="D17">
        <v>35.99</v>
      </c>
      <c r="E17">
        <v>6.48</v>
      </c>
      <c r="F17">
        <f>COUNTIFS(mdr_rate_cleaned!$A$2:$A$10,B17,mdr_rate_cleaned!$B$2:$B$10,"&lt;"&amp;C17,mdr_rate_cleaned!$F$2:$F$10,"&gt;="&amp;C17)</f>
        <v>1</v>
      </c>
      <c r="G17">
        <v>3.0000000000000001E-3</v>
      </c>
      <c r="H17">
        <v>35.99</v>
      </c>
      <c r="I17" t="s">
        <v>15</v>
      </c>
      <c r="J17" t="s">
        <v>15</v>
      </c>
      <c r="K17">
        <v>6.48</v>
      </c>
      <c r="L17">
        <v>0</v>
      </c>
    </row>
    <row r="18" spans="1:12" x14ac:dyDescent="0.3">
      <c r="A18" t="s">
        <v>33</v>
      </c>
      <c r="B18" t="s">
        <v>13</v>
      </c>
      <c r="C18">
        <v>999</v>
      </c>
      <c r="D18">
        <v>18.98</v>
      </c>
      <c r="E18">
        <v>3.42</v>
      </c>
      <c r="F18">
        <f>COUNTIFS(mdr_rate_cleaned!$A$2:$A$10,B18,mdr_rate_cleaned!$B$2:$B$10,"&lt;"&amp;C18,mdr_rate_cleaned!$F$2:$F$10,"&gt;="&amp;C18)</f>
        <v>1</v>
      </c>
      <c r="G18">
        <v>1.9E-2</v>
      </c>
      <c r="H18">
        <v>18.98</v>
      </c>
      <c r="I18" t="s">
        <v>15</v>
      </c>
      <c r="J18" t="s">
        <v>15</v>
      </c>
      <c r="K18">
        <v>3.42</v>
      </c>
      <c r="L18">
        <v>0</v>
      </c>
    </row>
    <row r="19" spans="1:12" x14ac:dyDescent="0.3">
      <c r="A19" t="s">
        <v>34</v>
      </c>
      <c r="B19" t="s">
        <v>21</v>
      </c>
      <c r="C19">
        <v>9798</v>
      </c>
      <c r="D19">
        <v>29.39</v>
      </c>
      <c r="E19">
        <v>5.29</v>
      </c>
      <c r="F19">
        <f>COUNTIFS(mdr_rate_cleaned!$A$2:$A$10,B19,mdr_rate_cleaned!$B$2:$B$10,"&lt;"&amp;C19,mdr_rate_cleaned!$F$2:$F$10,"&gt;="&amp;C19)</f>
        <v>1</v>
      </c>
      <c r="G19">
        <v>3.0000000000000001E-3</v>
      </c>
      <c r="H19">
        <v>29.39</v>
      </c>
      <c r="I19" t="s">
        <v>15</v>
      </c>
      <c r="J19" t="s">
        <v>15</v>
      </c>
      <c r="K19">
        <v>5.29</v>
      </c>
      <c r="L19">
        <v>0</v>
      </c>
    </row>
    <row r="20" spans="1:12" x14ac:dyDescent="0.3">
      <c r="A20" t="s">
        <v>35</v>
      </c>
      <c r="B20" t="s">
        <v>17</v>
      </c>
      <c r="C20">
        <v>599</v>
      </c>
      <c r="D20">
        <v>10.78</v>
      </c>
      <c r="E20">
        <v>1.94</v>
      </c>
      <c r="F20">
        <f>COUNTIFS(mdr_rate_cleaned!$A$2:$A$10,B20,mdr_rate_cleaned!$B$2:$B$10,"&lt;"&amp;C20,mdr_rate_cleaned!$F$2:$F$10,"&gt;="&amp;C20)</f>
        <v>1</v>
      </c>
      <c r="G20">
        <v>1.7999999999999999E-2</v>
      </c>
      <c r="H20">
        <v>10.78</v>
      </c>
      <c r="I20" t="s">
        <v>15</v>
      </c>
      <c r="J20" t="s">
        <v>15</v>
      </c>
      <c r="K20">
        <v>1.94</v>
      </c>
      <c r="L20">
        <v>0</v>
      </c>
    </row>
    <row r="21" spans="1:12" x14ac:dyDescent="0.3">
      <c r="A21" t="s">
        <v>36</v>
      </c>
      <c r="B21" t="s">
        <v>21</v>
      </c>
      <c r="C21">
        <v>1998</v>
      </c>
      <c r="D21">
        <v>0</v>
      </c>
      <c r="E21">
        <v>0</v>
      </c>
      <c r="F21">
        <f>COUNTIFS(mdr_rate_cleaned!$A$2:$A$10,B21,mdr_rate_cleaned!$B$2:$B$10,"&lt;"&amp;C21,mdr_rate_cleaned!$F$2:$F$10,"&gt;="&amp;C21)</f>
        <v>1</v>
      </c>
      <c r="G21">
        <v>0</v>
      </c>
      <c r="H21">
        <v>0</v>
      </c>
      <c r="I21" t="s">
        <v>15</v>
      </c>
      <c r="J21" t="s">
        <v>15</v>
      </c>
      <c r="K21">
        <v>0</v>
      </c>
      <c r="L21">
        <v>0</v>
      </c>
    </row>
    <row r="22" spans="1:12" x14ac:dyDescent="0.3">
      <c r="A22" t="s">
        <v>37</v>
      </c>
      <c r="B22" t="s">
        <v>21</v>
      </c>
      <c r="C22">
        <v>499</v>
      </c>
      <c r="D22">
        <v>0</v>
      </c>
      <c r="E22">
        <v>0</v>
      </c>
      <c r="F22">
        <f>COUNTIFS(mdr_rate_cleaned!$A$2:$A$10,B22,mdr_rate_cleaned!$B$2:$B$10,"&lt;"&amp;C22,mdr_rate_cleaned!$F$2:$F$10,"&gt;="&amp;C22)</f>
        <v>1</v>
      </c>
      <c r="G22">
        <v>0</v>
      </c>
      <c r="H22">
        <v>0</v>
      </c>
      <c r="I22" t="s">
        <v>15</v>
      </c>
      <c r="J22" t="s">
        <v>15</v>
      </c>
      <c r="K22">
        <v>0</v>
      </c>
      <c r="L22">
        <v>0</v>
      </c>
    </row>
    <row r="23" spans="1:12" x14ac:dyDescent="0.3">
      <c r="A23" t="s">
        <v>38</v>
      </c>
      <c r="B23" t="s">
        <v>39</v>
      </c>
      <c r="C23">
        <v>1799</v>
      </c>
      <c r="D23">
        <v>26.99</v>
      </c>
      <c r="E23">
        <v>4.8600000000000003</v>
      </c>
      <c r="F23">
        <f>COUNTIFS(mdr_rate_cleaned!$A$2:$A$10,B23,mdr_rate_cleaned!$B$2:$B$10,"&lt;"&amp;C23,mdr_rate_cleaned!$F$2:$F$10,"&gt;="&amp;C23)</f>
        <v>1</v>
      </c>
      <c r="G23">
        <v>1.4999999999999999E-2</v>
      </c>
      <c r="H23">
        <v>26.99</v>
      </c>
      <c r="I23" t="s">
        <v>15</v>
      </c>
      <c r="J23" t="s">
        <v>15</v>
      </c>
      <c r="K23">
        <v>4.8600000000000003</v>
      </c>
      <c r="L23">
        <v>0</v>
      </c>
    </row>
    <row r="24" spans="1:12" x14ac:dyDescent="0.3">
      <c r="A24" t="s">
        <v>40</v>
      </c>
      <c r="B24" t="s">
        <v>13</v>
      </c>
      <c r="C24">
        <v>1298</v>
      </c>
      <c r="D24">
        <v>24.66</v>
      </c>
      <c r="E24">
        <v>4.4400000000000004</v>
      </c>
      <c r="F24">
        <f>COUNTIFS(mdr_rate_cleaned!$A$2:$A$10,B24,mdr_rate_cleaned!$B$2:$B$10,"&lt;"&amp;C24,mdr_rate_cleaned!$F$2:$F$10,"&gt;="&amp;C24)</f>
        <v>1</v>
      </c>
      <c r="G24">
        <v>1.9E-2</v>
      </c>
      <c r="H24">
        <v>24.66</v>
      </c>
      <c r="I24" t="s">
        <v>15</v>
      </c>
      <c r="J24" t="s">
        <v>15</v>
      </c>
      <c r="K24">
        <v>4.4400000000000004</v>
      </c>
      <c r="L24">
        <v>0</v>
      </c>
    </row>
    <row r="25" spans="1:12" x14ac:dyDescent="0.3">
      <c r="A25" t="s">
        <v>41</v>
      </c>
      <c r="B25" t="s">
        <v>17</v>
      </c>
      <c r="C25">
        <v>10597</v>
      </c>
      <c r="D25">
        <v>169.55</v>
      </c>
      <c r="E25">
        <v>30.52</v>
      </c>
      <c r="F25">
        <f>COUNTIFS(mdr_rate_cleaned!$A$2:$A$10,B25,mdr_rate_cleaned!$B$2:$B$10,"&lt;"&amp;C25,mdr_rate_cleaned!$F$2:$F$10,"&gt;="&amp;C25)</f>
        <v>1</v>
      </c>
      <c r="G25">
        <v>1.6E-2</v>
      </c>
      <c r="H25">
        <v>169.55</v>
      </c>
      <c r="I25" t="s">
        <v>15</v>
      </c>
      <c r="J25" t="s">
        <v>15</v>
      </c>
      <c r="K25">
        <v>30.52</v>
      </c>
      <c r="L25">
        <v>0</v>
      </c>
    </row>
    <row r="26" spans="1:12" x14ac:dyDescent="0.3">
      <c r="A26" t="s">
        <v>42</v>
      </c>
      <c r="B26" t="s">
        <v>21</v>
      </c>
      <c r="C26">
        <v>10797</v>
      </c>
      <c r="D26">
        <v>32.39</v>
      </c>
      <c r="E26">
        <v>5.83</v>
      </c>
      <c r="F26">
        <f>COUNTIFS(mdr_rate_cleaned!$A$2:$A$10,B26,mdr_rate_cleaned!$B$2:$B$10,"&lt;"&amp;C26,mdr_rate_cleaned!$F$2:$F$10,"&gt;="&amp;C26)</f>
        <v>1</v>
      </c>
      <c r="G26">
        <v>3.0000000000000001E-3</v>
      </c>
      <c r="H26">
        <v>32.39</v>
      </c>
      <c r="I26" t="s">
        <v>15</v>
      </c>
      <c r="J26" t="s">
        <v>15</v>
      </c>
      <c r="K26">
        <v>5.83</v>
      </c>
      <c r="L26">
        <v>0</v>
      </c>
    </row>
    <row r="27" spans="1:12" x14ac:dyDescent="0.3">
      <c r="A27" t="s">
        <v>43</v>
      </c>
      <c r="B27" t="s">
        <v>21</v>
      </c>
      <c r="C27">
        <v>6298</v>
      </c>
      <c r="D27">
        <v>18.89</v>
      </c>
      <c r="E27">
        <v>3.4</v>
      </c>
      <c r="F27">
        <f>COUNTIFS(mdr_rate_cleaned!$A$2:$A$10,B27,mdr_rate_cleaned!$B$2:$B$10,"&lt;"&amp;C27,mdr_rate_cleaned!$F$2:$F$10,"&gt;="&amp;C27)</f>
        <v>1</v>
      </c>
      <c r="G27">
        <v>3.0000000000000001E-3</v>
      </c>
      <c r="H27">
        <v>18.89</v>
      </c>
      <c r="I27" t="s">
        <v>15</v>
      </c>
      <c r="J27" t="s">
        <v>15</v>
      </c>
      <c r="K27">
        <v>3.4</v>
      </c>
      <c r="L27">
        <v>0</v>
      </c>
    </row>
    <row r="28" spans="1:12" x14ac:dyDescent="0.3">
      <c r="A28" t="s">
        <v>44</v>
      </c>
      <c r="B28" t="s">
        <v>17</v>
      </c>
      <c r="C28">
        <v>3598</v>
      </c>
      <c r="D28">
        <v>57.57</v>
      </c>
      <c r="E28">
        <v>10.36</v>
      </c>
      <c r="F28">
        <f>COUNTIFS(mdr_rate_cleaned!$A$2:$A$10,B28,mdr_rate_cleaned!$B$2:$B$10,"&lt;"&amp;C28,mdr_rate_cleaned!$F$2:$F$10,"&gt;="&amp;C28)</f>
        <v>1</v>
      </c>
      <c r="G28">
        <v>1.6E-2</v>
      </c>
      <c r="H28">
        <v>57.57</v>
      </c>
      <c r="I28" t="s">
        <v>15</v>
      </c>
      <c r="J28" t="s">
        <v>15</v>
      </c>
      <c r="K28">
        <v>10.36</v>
      </c>
      <c r="L28">
        <v>0</v>
      </c>
    </row>
    <row r="29" spans="1:12" x14ac:dyDescent="0.3">
      <c r="A29" t="s">
        <v>45</v>
      </c>
      <c r="B29" t="s">
        <v>21</v>
      </c>
      <c r="C29">
        <v>1499</v>
      </c>
      <c r="D29">
        <v>0</v>
      </c>
      <c r="E29">
        <v>0</v>
      </c>
      <c r="F29">
        <f>COUNTIFS(mdr_rate_cleaned!$A$2:$A$10,B29,mdr_rate_cleaned!$B$2:$B$10,"&lt;"&amp;C29,mdr_rate_cleaned!$F$2:$F$10,"&gt;="&amp;C29)</f>
        <v>1</v>
      </c>
      <c r="G29">
        <v>0</v>
      </c>
      <c r="H29">
        <v>0</v>
      </c>
      <c r="I29" t="s">
        <v>15</v>
      </c>
      <c r="J29" t="s">
        <v>15</v>
      </c>
      <c r="K29">
        <v>0</v>
      </c>
      <c r="L29">
        <v>0</v>
      </c>
    </row>
    <row r="30" spans="1:12" x14ac:dyDescent="0.3">
      <c r="A30" t="s">
        <v>46</v>
      </c>
      <c r="B30" t="s">
        <v>21</v>
      </c>
      <c r="C30">
        <v>848</v>
      </c>
      <c r="D30">
        <v>0</v>
      </c>
      <c r="E30">
        <v>0</v>
      </c>
      <c r="F30">
        <f>COUNTIFS(mdr_rate_cleaned!$A$2:$A$10,B30,mdr_rate_cleaned!$B$2:$B$10,"&lt;"&amp;C30,mdr_rate_cleaned!$F$2:$F$10,"&gt;="&amp;C30)</f>
        <v>1</v>
      </c>
      <c r="G30">
        <v>0</v>
      </c>
      <c r="H30">
        <v>0</v>
      </c>
      <c r="I30" t="s">
        <v>15</v>
      </c>
      <c r="J30" t="s">
        <v>15</v>
      </c>
      <c r="K30">
        <v>0</v>
      </c>
      <c r="L30">
        <v>0</v>
      </c>
    </row>
    <row r="31" spans="1:12" x14ac:dyDescent="0.3">
      <c r="A31" t="s">
        <v>47</v>
      </c>
      <c r="B31" t="s">
        <v>21</v>
      </c>
      <c r="C31">
        <v>4797</v>
      </c>
      <c r="D31">
        <v>14.39</v>
      </c>
      <c r="E31">
        <v>2.59</v>
      </c>
      <c r="F31">
        <f>COUNTIFS(mdr_rate_cleaned!$A$2:$A$10,B31,mdr_rate_cleaned!$B$2:$B$10,"&lt;"&amp;C31,mdr_rate_cleaned!$F$2:$F$10,"&gt;="&amp;C31)</f>
        <v>1</v>
      </c>
      <c r="G31">
        <v>3.0000000000000001E-3</v>
      </c>
      <c r="H31">
        <v>14.39</v>
      </c>
      <c r="I31" t="s">
        <v>15</v>
      </c>
      <c r="J31" t="s">
        <v>15</v>
      </c>
      <c r="K31">
        <v>2.59</v>
      </c>
      <c r="L31">
        <v>0</v>
      </c>
    </row>
    <row r="32" spans="1:12" x14ac:dyDescent="0.3">
      <c r="A32" t="s">
        <v>48</v>
      </c>
      <c r="B32" t="s">
        <v>17</v>
      </c>
      <c r="C32">
        <v>9297</v>
      </c>
      <c r="D32">
        <v>148.75</v>
      </c>
      <c r="E32">
        <v>26.78</v>
      </c>
      <c r="F32">
        <f>COUNTIFS(mdr_rate_cleaned!$A$2:$A$10,B32,mdr_rate_cleaned!$B$2:$B$10,"&lt;"&amp;C32,mdr_rate_cleaned!$F$2:$F$10,"&gt;="&amp;C32)</f>
        <v>1</v>
      </c>
      <c r="G32">
        <v>1.6E-2</v>
      </c>
      <c r="H32">
        <v>148.75</v>
      </c>
      <c r="I32" t="s">
        <v>15</v>
      </c>
      <c r="J32" t="s">
        <v>15</v>
      </c>
      <c r="K32">
        <v>26.78</v>
      </c>
      <c r="L32">
        <v>0</v>
      </c>
    </row>
    <row r="33" spans="1:12" x14ac:dyDescent="0.3">
      <c r="A33" t="s">
        <v>49</v>
      </c>
      <c r="B33" t="s">
        <v>39</v>
      </c>
      <c r="C33">
        <v>9498</v>
      </c>
      <c r="D33">
        <v>113.98</v>
      </c>
      <c r="E33">
        <v>20.52</v>
      </c>
      <c r="F33">
        <f>COUNTIFS(mdr_rate_cleaned!$A$2:$A$10,B33,mdr_rate_cleaned!$B$2:$B$10,"&lt;"&amp;C33,mdr_rate_cleaned!$F$2:$F$10,"&gt;="&amp;C33)</f>
        <v>1</v>
      </c>
      <c r="G33">
        <v>1.2E-2</v>
      </c>
      <c r="H33">
        <v>113.98</v>
      </c>
      <c r="I33" t="s">
        <v>15</v>
      </c>
      <c r="J33" t="s">
        <v>15</v>
      </c>
      <c r="K33">
        <v>20.52</v>
      </c>
      <c r="L33">
        <v>0</v>
      </c>
    </row>
    <row r="34" spans="1:12" x14ac:dyDescent="0.3">
      <c r="A34" t="s">
        <v>50</v>
      </c>
      <c r="B34" t="s">
        <v>21</v>
      </c>
      <c r="C34">
        <v>6498</v>
      </c>
      <c r="D34">
        <v>19.489999999999998</v>
      </c>
      <c r="E34">
        <v>3.51</v>
      </c>
      <c r="F34">
        <f>COUNTIFS(mdr_rate_cleaned!$A$2:$A$10,B34,mdr_rate_cleaned!$B$2:$B$10,"&lt;"&amp;C34,mdr_rate_cleaned!$F$2:$F$10,"&gt;="&amp;C34)</f>
        <v>1</v>
      </c>
      <c r="G34">
        <v>3.0000000000000001E-3</v>
      </c>
      <c r="H34">
        <v>19.489999999999998</v>
      </c>
      <c r="I34" t="s">
        <v>15</v>
      </c>
      <c r="J34" t="s">
        <v>15</v>
      </c>
      <c r="K34">
        <v>3.51</v>
      </c>
      <c r="L34">
        <v>0</v>
      </c>
    </row>
    <row r="35" spans="1:12" x14ac:dyDescent="0.3">
      <c r="A35" t="s">
        <v>51</v>
      </c>
      <c r="B35" t="s">
        <v>21</v>
      </c>
      <c r="C35">
        <v>7999</v>
      </c>
      <c r="D35">
        <v>24</v>
      </c>
      <c r="E35">
        <v>4.32</v>
      </c>
      <c r="F35">
        <f>COUNTIFS(mdr_rate_cleaned!$A$2:$A$10,B35,mdr_rate_cleaned!$B$2:$B$10,"&lt;"&amp;C35,mdr_rate_cleaned!$F$2:$F$10,"&gt;="&amp;C35)</f>
        <v>1</v>
      </c>
      <c r="G35">
        <v>3.0000000000000001E-3</v>
      </c>
      <c r="H35">
        <v>24</v>
      </c>
      <c r="I35" t="s">
        <v>15</v>
      </c>
      <c r="J35" t="s">
        <v>15</v>
      </c>
      <c r="K35">
        <v>4.32</v>
      </c>
      <c r="L35">
        <v>0</v>
      </c>
    </row>
    <row r="36" spans="1:12" x14ac:dyDescent="0.3">
      <c r="A36" t="s">
        <v>52</v>
      </c>
      <c r="B36" t="s">
        <v>39</v>
      </c>
      <c r="C36">
        <v>4999</v>
      </c>
      <c r="D36">
        <v>59.99</v>
      </c>
      <c r="E36">
        <v>10.8</v>
      </c>
      <c r="F36">
        <f>COUNTIFS(mdr_rate_cleaned!$A$2:$A$10,B36,mdr_rate_cleaned!$B$2:$B$10,"&lt;"&amp;C36,mdr_rate_cleaned!$F$2:$F$10,"&gt;="&amp;C36)</f>
        <v>1</v>
      </c>
      <c r="G36">
        <v>1.2E-2</v>
      </c>
      <c r="H36">
        <v>59.99</v>
      </c>
      <c r="I36" t="s">
        <v>15</v>
      </c>
      <c r="J36" t="s">
        <v>15</v>
      </c>
      <c r="K36">
        <v>10.8</v>
      </c>
      <c r="L36">
        <v>0</v>
      </c>
    </row>
    <row r="37" spans="1:12" x14ac:dyDescent="0.3">
      <c r="A37" t="s">
        <v>53</v>
      </c>
      <c r="B37" t="s">
        <v>39</v>
      </c>
      <c r="C37">
        <v>1298</v>
      </c>
      <c r="D37">
        <v>19.47</v>
      </c>
      <c r="E37">
        <v>3.5</v>
      </c>
      <c r="F37">
        <f>COUNTIFS(mdr_rate_cleaned!$A$2:$A$10,B37,mdr_rate_cleaned!$B$2:$B$10,"&lt;"&amp;C37,mdr_rate_cleaned!$F$2:$F$10,"&gt;="&amp;C37)</f>
        <v>1</v>
      </c>
      <c r="G37">
        <v>1.4999999999999999E-2</v>
      </c>
      <c r="H37">
        <v>19.47</v>
      </c>
      <c r="I37" t="s">
        <v>15</v>
      </c>
      <c r="J37" t="s">
        <v>15</v>
      </c>
      <c r="K37">
        <v>3.5</v>
      </c>
      <c r="L37">
        <v>0</v>
      </c>
    </row>
    <row r="38" spans="1:12" x14ac:dyDescent="0.3">
      <c r="A38" t="s">
        <v>54</v>
      </c>
      <c r="B38" t="s">
        <v>21</v>
      </c>
      <c r="C38">
        <v>1347</v>
      </c>
      <c r="D38">
        <v>0</v>
      </c>
      <c r="E38">
        <v>0</v>
      </c>
      <c r="F38">
        <f>COUNTIFS(mdr_rate_cleaned!$A$2:$A$10,B38,mdr_rate_cleaned!$B$2:$B$10,"&lt;"&amp;C38,mdr_rate_cleaned!$F$2:$F$10,"&gt;="&amp;C38)</f>
        <v>1</v>
      </c>
      <c r="G38">
        <v>0</v>
      </c>
      <c r="H38">
        <v>0</v>
      </c>
      <c r="I38" t="s">
        <v>15</v>
      </c>
      <c r="J38" t="s">
        <v>15</v>
      </c>
      <c r="K38">
        <v>0</v>
      </c>
      <c r="L38">
        <v>0</v>
      </c>
    </row>
    <row r="39" spans="1:12" x14ac:dyDescent="0.3">
      <c r="A39" t="s">
        <v>55</v>
      </c>
      <c r="B39" t="s">
        <v>17</v>
      </c>
      <c r="C39">
        <v>3499</v>
      </c>
      <c r="D39">
        <v>55.98</v>
      </c>
      <c r="E39">
        <v>10.08</v>
      </c>
      <c r="F39">
        <f>COUNTIFS(mdr_rate_cleaned!$A$2:$A$10,B39,mdr_rate_cleaned!$B$2:$B$10,"&lt;"&amp;C39,mdr_rate_cleaned!$F$2:$F$10,"&gt;="&amp;C39)</f>
        <v>1</v>
      </c>
      <c r="G39">
        <v>1.6E-2</v>
      </c>
      <c r="H39">
        <v>55.98</v>
      </c>
      <c r="I39" t="s">
        <v>15</v>
      </c>
      <c r="J39" t="s">
        <v>15</v>
      </c>
      <c r="K39">
        <v>10.08</v>
      </c>
      <c r="L39">
        <v>0</v>
      </c>
    </row>
    <row r="40" spans="1:12" x14ac:dyDescent="0.3">
      <c r="A40" t="s">
        <v>56</v>
      </c>
      <c r="B40" t="s">
        <v>21</v>
      </c>
      <c r="C40">
        <v>10597</v>
      </c>
      <c r="D40">
        <v>31.79</v>
      </c>
      <c r="E40">
        <v>5.72</v>
      </c>
      <c r="F40">
        <f>COUNTIFS(mdr_rate_cleaned!$A$2:$A$10,B40,mdr_rate_cleaned!$B$2:$B$10,"&lt;"&amp;C40,mdr_rate_cleaned!$F$2:$F$10,"&gt;="&amp;C40)</f>
        <v>1</v>
      </c>
      <c r="G40">
        <v>3.0000000000000001E-3</v>
      </c>
      <c r="H40">
        <v>31.79</v>
      </c>
      <c r="I40" t="s">
        <v>15</v>
      </c>
      <c r="J40" t="s">
        <v>15</v>
      </c>
      <c r="K40">
        <v>5.72</v>
      </c>
      <c r="L40">
        <v>0</v>
      </c>
    </row>
    <row r="41" spans="1:12" x14ac:dyDescent="0.3">
      <c r="A41" t="s">
        <v>57</v>
      </c>
      <c r="B41" t="s">
        <v>21</v>
      </c>
      <c r="C41">
        <v>10497</v>
      </c>
      <c r="D41">
        <v>31.49</v>
      </c>
      <c r="E41">
        <v>5.67</v>
      </c>
      <c r="F41">
        <f>COUNTIFS(mdr_rate_cleaned!$A$2:$A$10,B41,mdr_rate_cleaned!$B$2:$B$10,"&lt;"&amp;C41,mdr_rate_cleaned!$F$2:$F$10,"&gt;="&amp;C41)</f>
        <v>1</v>
      </c>
      <c r="G41">
        <v>3.0000000000000001E-3</v>
      </c>
      <c r="H41">
        <v>31.49</v>
      </c>
      <c r="I41" t="s">
        <v>15</v>
      </c>
      <c r="J41" t="s">
        <v>15</v>
      </c>
      <c r="K41">
        <v>5.67</v>
      </c>
      <c r="L41">
        <v>0</v>
      </c>
    </row>
    <row r="42" spans="1:12" x14ac:dyDescent="0.3">
      <c r="A42" t="s">
        <v>58</v>
      </c>
      <c r="B42" t="s">
        <v>17</v>
      </c>
      <c r="C42">
        <v>999</v>
      </c>
      <c r="D42">
        <v>17.98</v>
      </c>
      <c r="E42">
        <v>3.24</v>
      </c>
      <c r="F42">
        <f>COUNTIFS(mdr_rate_cleaned!$A$2:$A$10,B42,mdr_rate_cleaned!$B$2:$B$10,"&lt;"&amp;C42,mdr_rate_cleaned!$F$2:$F$10,"&gt;="&amp;C42)</f>
        <v>1</v>
      </c>
      <c r="G42">
        <v>1.7999999999999999E-2</v>
      </c>
      <c r="H42">
        <v>17.98</v>
      </c>
      <c r="I42" t="s">
        <v>15</v>
      </c>
      <c r="J42" t="s">
        <v>15</v>
      </c>
      <c r="K42">
        <v>3.24</v>
      </c>
      <c r="L42">
        <v>0</v>
      </c>
    </row>
    <row r="43" spans="1:12" x14ac:dyDescent="0.3">
      <c r="A43" t="s">
        <v>59</v>
      </c>
      <c r="B43" t="s">
        <v>21</v>
      </c>
      <c r="C43">
        <v>1799</v>
      </c>
      <c r="D43">
        <v>0</v>
      </c>
      <c r="E43">
        <v>0</v>
      </c>
      <c r="F43">
        <f>COUNTIFS(mdr_rate_cleaned!$A$2:$A$10,B43,mdr_rate_cleaned!$B$2:$B$10,"&lt;"&amp;C43,mdr_rate_cleaned!$F$2:$F$10,"&gt;="&amp;C43)</f>
        <v>1</v>
      </c>
      <c r="G43">
        <v>0</v>
      </c>
      <c r="H43">
        <v>0</v>
      </c>
      <c r="I43" t="s">
        <v>15</v>
      </c>
      <c r="J43" t="s">
        <v>15</v>
      </c>
      <c r="K43">
        <v>0</v>
      </c>
      <c r="L43">
        <v>0</v>
      </c>
    </row>
    <row r="44" spans="1:12" x14ac:dyDescent="0.3">
      <c r="A44" t="s">
        <v>60</v>
      </c>
      <c r="B44" t="s">
        <v>21</v>
      </c>
      <c r="C44">
        <v>3499</v>
      </c>
      <c r="D44">
        <v>10.5</v>
      </c>
      <c r="E44">
        <v>1.89</v>
      </c>
      <c r="F44">
        <f>COUNTIFS(mdr_rate_cleaned!$A$2:$A$10,B44,mdr_rate_cleaned!$B$2:$B$10,"&lt;"&amp;C44,mdr_rate_cleaned!$F$2:$F$10,"&gt;="&amp;C44)</f>
        <v>1</v>
      </c>
      <c r="G44">
        <v>3.0000000000000001E-3</v>
      </c>
      <c r="H44">
        <v>10.5</v>
      </c>
      <c r="I44" t="s">
        <v>15</v>
      </c>
      <c r="J44" t="s">
        <v>15</v>
      </c>
      <c r="K44">
        <v>1.89</v>
      </c>
      <c r="L44">
        <v>0</v>
      </c>
    </row>
    <row r="45" spans="1:12" x14ac:dyDescent="0.3">
      <c r="A45" t="s">
        <v>61</v>
      </c>
      <c r="B45" t="s">
        <v>13</v>
      </c>
      <c r="C45">
        <v>3798</v>
      </c>
      <c r="D45">
        <v>64.569999999999993</v>
      </c>
      <c r="E45">
        <v>11.62</v>
      </c>
      <c r="F45">
        <f>COUNTIFS(mdr_rate_cleaned!$A$2:$A$10,B45,mdr_rate_cleaned!$B$2:$B$10,"&lt;"&amp;C45,mdr_rate_cleaned!$F$2:$F$10,"&gt;="&amp;C45)</f>
        <v>1</v>
      </c>
      <c r="G45">
        <v>1.7000000000000001E-2</v>
      </c>
      <c r="H45">
        <v>64.569999999999993</v>
      </c>
      <c r="I45" t="s">
        <v>15</v>
      </c>
      <c r="J45" t="s">
        <v>15</v>
      </c>
      <c r="K45">
        <v>11.62</v>
      </c>
      <c r="L45">
        <v>0</v>
      </c>
    </row>
    <row r="46" spans="1:12" x14ac:dyDescent="0.3">
      <c r="A46" t="s">
        <v>62</v>
      </c>
      <c r="B46" t="s">
        <v>17</v>
      </c>
      <c r="C46">
        <v>799</v>
      </c>
      <c r="D46">
        <v>14.38</v>
      </c>
      <c r="E46">
        <v>2.59</v>
      </c>
      <c r="F46">
        <f>COUNTIFS(mdr_rate_cleaned!$A$2:$A$10,B46,mdr_rate_cleaned!$B$2:$B$10,"&lt;"&amp;C46,mdr_rate_cleaned!$F$2:$F$10,"&gt;="&amp;C46)</f>
        <v>1</v>
      </c>
      <c r="G46">
        <v>1.7999999999999999E-2</v>
      </c>
      <c r="H46">
        <v>14.38</v>
      </c>
      <c r="I46" t="s">
        <v>15</v>
      </c>
      <c r="J46" t="s">
        <v>15</v>
      </c>
      <c r="K46">
        <v>2.59</v>
      </c>
      <c r="L46">
        <v>0</v>
      </c>
    </row>
    <row r="47" spans="1:12" x14ac:dyDescent="0.3">
      <c r="A47" t="s">
        <v>63</v>
      </c>
      <c r="B47" t="s">
        <v>39</v>
      </c>
      <c r="C47">
        <v>1299</v>
      </c>
      <c r="D47">
        <v>19.489999999999998</v>
      </c>
      <c r="E47">
        <v>3.51</v>
      </c>
      <c r="F47">
        <f>COUNTIFS(mdr_rate_cleaned!$A$2:$A$10,B47,mdr_rate_cleaned!$B$2:$B$10,"&lt;"&amp;C47,mdr_rate_cleaned!$F$2:$F$10,"&gt;="&amp;C47)</f>
        <v>1</v>
      </c>
      <c r="G47">
        <v>1.4999999999999999E-2</v>
      </c>
      <c r="H47">
        <v>19.489999999999998</v>
      </c>
      <c r="I47" t="s">
        <v>15</v>
      </c>
      <c r="J47" t="s">
        <v>15</v>
      </c>
      <c r="K47">
        <v>3.51</v>
      </c>
      <c r="L47">
        <v>0</v>
      </c>
    </row>
    <row r="48" spans="1:12" x14ac:dyDescent="0.3">
      <c r="A48" t="s">
        <v>64</v>
      </c>
      <c r="B48" t="s">
        <v>21</v>
      </c>
      <c r="C48">
        <v>349</v>
      </c>
      <c r="D48">
        <v>0</v>
      </c>
      <c r="E48">
        <v>0</v>
      </c>
      <c r="F48">
        <f>COUNTIFS(mdr_rate_cleaned!$A$2:$A$10,B48,mdr_rate_cleaned!$B$2:$B$10,"&lt;"&amp;C48,mdr_rate_cleaned!$F$2:$F$10,"&gt;="&amp;C48)</f>
        <v>1</v>
      </c>
      <c r="G48">
        <v>0</v>
      </c>
      <c r="H48">
        <v>0</v>
      </c>
      <c r="I48" t="s">
        <v>15</v>
      </c>
      <c r="J48" t="s">
        <v>15</v>
      </c>
      <c r="K48">
        <v>0</v>
      </c>
      <c r="L48">
        <v>0</v>
      </c>
    </row>
    <row r="49" spans="1:12" x14ac:dyDescent="0.3">
      <c r="A49" t="s">
        <v>65</v>
      </c>
      <c r="B49" t="s">
        <v>21</v>
      </c>
      <c r="C49">
        <v>799</v>
      </c>
      <c r="D49">
        <v>0</v>
      </c>
      <c r="E49">
        <v>0</v>
      </c>
      <c r="F49">
        <f>COUNTIFS(mdr_rate_cleaned!$A$2:$A$10,B49,mdr_rate_cleaned!$B$2:$B$10,"&lt;"&amp;C49,mdr_rate_cleaned!$F$2:$F$10,"&gt;="&amp;C49)</f>
        <v>1</v>
      </c>
      <c r="G49">
        <v>0</v>
      </c>
      <c r="H49">
        <v>0</v>
      </c>
      <c r="I49" t="s">
        <v>15</v>
      </c>
      <c r="J49" t="s">
        <v>15</v>
      </c>
      <c r="K49">
        <v>0</v>
      </c>
      <c r="L49">
        <v>0</v>
      </c>
    </row>
    <row r="50" spans="1:12" x14ac:dyDescent="0.3">
      <c r="A50" t="s">
        <v>66</v>
      </c>
      <c r="B50" t="s">
        <v>21</v>
      </c>
      <c r="C50">
        <v>1798</v>
      </c>
      <c r="D50">
        <v>0</v>
      </c>
      <c r="E50">
        <v>0</v>
      </c>
      <c r="F50">
        <f>COUNTIFS(mdr_rate_cleaned!$A$2:$A$10,B50,mdr_rate_cleaned!$B$2:$B$10,"&lt;"&amp;C50,mdr_rate_cleaned!$F$2:$F$10,"&gt;="&amp;C50)</f>
        <v>1</v>
      </c>
      <c r="G50">
        <v>0</v>
      </c>
      <c r="H50">
        <v>0</v>
      </c>
      <c r="I50" t="s">
        <v>15</v>
      </c>
      <c r="J50" t="s">
        <v>15</v>
      </c>
      <c r="K50">
        <v>0</v>
      </c>
      <c r="L50">
        <v>0</v>
      </c>
    </row>
    <row r="51" spans="1:12" x14ac:dyDescent="0.3">
      <c r="A51" t="s">
        <v>67</v>
      </c>
      <c r="B51" t="s">
        <v>21</v>
      </c>
      <c r="C51">
        <v>2999</v>
      </c>
      <c r="D51">
        <v>9</v>
      </c>
      <c r="E51">
        <v>1.62</v>
      </c>
      <c r="F51">
        <f>COUNTIFS(mdr_rate_cleaned!$A$2:$A$10,B51,mdr_rate_cleaned!$B$2:$B$10,"&lt;"&amp;C51,mdr_rate_cleaned!$F$2:$F$10,"&gt;="&amp;C51)</f>
        <v>1</v>
      </c>
      <c r="G51">
        <v>3.0000000000000001E-3</v>
      </c>
      <c r="H51">
        <v>9</v>
      </c>
      <c r="I51" t="s">
        <v>15</v>
      </c>
      <c r="J51" t="s">
        <v>15</v>
      </c>
      <c r="K51">
        <v>1.62</v>
      </c>
      <c r="L51">
        <v>0</v>
      </c>
    </row>
    <row r="52" spans="1:12" x14ac:dyDescent="0.3">
      <c r="A52" t="s">
        <v>68</v>
      </c>
      <c r="B52" t="s">
        <v>21</v>
      </c>
      <c r="C52">
        <v>999</v>
      </c>
      <c r="D52">
        <v>0</v>
      </c>
      <c r="E52">
        <v>0</v>
      </c>
      <c r="F52">
        <f>COUNTIFS(mdr_rate_cleaned!$A$2:$A$10,B52,mdr_rate_cleaned!$B$2:$B$10,"&lt;"&amp;C52,mdr_rate_cleaned!$F$2:$F$10,"&gt;="&amp;C52)</f>
        <v>1</v>
      </c>
      <c r="G52">
        <v>0</v>
      </c>
      <c r="H52">
        <v>0</v>
      </c>
      <c r="I52" t="s">
        <v>15</v>
      </c>
      <c r="J52" t="s">
        <v>15</v>
      </c>
      <c r="K52">
        <v>0</v>
      </c>
      <c r="L52">
        <v>0</v>
      </c>
    </row>
    <row r="53" spans="1:12" x14ac:dyDescent="0.3">
      <c r="A53" t="s">
        <v>69</v>
      </c>
      <c r="B53" t="s">
        <v>17</v>
      </c>
      <c r="C53">
        <v>1648</v>
      </c>
      <c r="D53">
        <v>29.66</v>
      </c>
      <c r="E53">
        <v>5.34</v>
      </c>
      <c r="F53">
        <f>COUNTIFS(mdr_rate_cleaned!$A$2:$A$10,B53,mdr_rate_cleaned!$B$2:$B$10,"&lt;"&amp;C53,mdr_rate_cleaned!$F$2:$F$10,"&gt;="&amp;C53)</f>
        <v>1</v>
      </c>
      <c r="G53">
        <v>1.7999999999999999E-2</v>
      </c>
      <c r="H53">
        <v>29.66</v>
      </c>
      <c r="I53" t="s">
        <v>15</v>
      </c>
      <c r="J53" t="s">
        <v>15</v>
      </c>
      <c r="K53">
        <v>5.34</v>
      </c>
      <c r="L53">
        <v>0</v>
      </c>
    </row>
    <row r="54" spans="1:12" x14ac:dyDescent="0.3">
      <c r="A54" t="s">
        <v>70</v>
      </c>
      <c r="B54" t="s">
        <v>13</v>
      </c>
      <c r="C54">
        <v>599</v>
      </c>
      <c r="D54">
        <v>11.38</v>
      </c>
      <c r="E54">
        <v>2.0499999999999998</v>
      </c>
      <c r="F54">
        <f>COUNTIFS(mdr_rate_cleaned!$A$2:$A$10,B54,mdr_rate_cleaned!$B$2:$B$10,"&lt;"&amp;C54,mdr_rate_cleaned!$F$2:$F$10,"&gt;="&amp;C54)</f>
        <v>1</v>
      </c>
      <c r="G54">
        <v>1.9E-2</v>
      </c>
      <c r="H54">
        <v>11.38</v>
      </c>
      <c r="I54" t="s">
        <v>15</v>
      </c>
      <c r="J54" t="s">
        <v>15</v>
      </c>
      <c r="K54">
        <v>2.0499999999999998</v>
      </c>
      <c r="L54">
        <v>0</v>
      </c>
    </row>
    <row r="55" spans="1:12" x14ac:dyDescent="0.3">
      <c r="A55" t="s">
        <v>71</v>
      </c>
      <c r="B55" t="s">
        <v>17</v>
      </c>
      <c r="C55">
        <v>6498</v>
      </c>
      <c r="D55">
        <v>103.97</v>
      </c>
      <c r="E55">
        <v>18.71</v>
      </c>
      <c r="F55">
        <f>COUNTIFS(mdr_rate_cleaned!$A$2:$A$10,B55,mdr_rate_cleaned!$B$2:$B$10,"&lt;"&amp;C55,mdr_rate_cleaned!$F$2:$F$10,"&gt;="&amp;C55)</f>
        <v>1</v>
      </c>
      <c r="G55">
        <v>1.6E-2</v>
      </c>
      <c r="H55">
        <v>103.97</v>
      </c>
      <c r="I55" t="s">
        <v>15</v>
      </c>
      <c r="J55" t="s">
        <v>15</v>
      </c>
      <c r="K55">
        <v>18.71</v>
      </c>
      <c r="L55">
        <v>0</v>
      </c>
    </row>
    <row r="56" spans="1:12" x14ac:dyDescent="0.3">
      <c r="A56" t="s">
        <v>72</v>
      </c>
      <c r="B56" t="s">
        <v>21</v>
      </c>
      <c r="C56">
        <v>5348</v>
      </c>
      <c r="D56">
        <v>16.04</v>
      </c>
      <c r="E56">
        <v>2.89</v>
      </c>
      <c r="F56">
        <f>COUNTIFS(mdr_rate_cleaned!$A$2:$A$10,B56,mdr_rate_cleaned!$B$2:$B$10,"&lt;"&amp;C56,mdr_rate_cleaned!$F$2:$F$10,"&gt;="&amp;C56)</f>
        <v>1</v>
      </c>
      <c r="G56">
        <v>3.0000000000000001E-3</v>
      </c>
      <c r="H56">
        <v>16.04</v>
      </c>
      <c r="I56" t="s">
        <v>15</v>
      </c>
      <c r="J56" t="s">
        <v>15</v>
      </c>
      <c r="K56">
        <v>2.89</v>
      </c>
      <c r="L56">
        <v>0</v>
      </c>
    </row>
    <row r="57" spans="1:12" x14ac:dyDescent="0.3">
      <c r="A57" t="s">
        <v>73</v>
      </c>
      <c r="B57" t="s">
        <v>21</v>
      </c>
      <c r="C57">
        <v>4798</v>
      </c>
      <c r="D57">
        <v>14.39</v>
      </c>
      <c r="E57">
        <v>2.59</v>
      </c>
      <c r="F57">
        <f>COUNTIFS(mdr_rate_cleaned!$A$2:$A$10,B57,mdr_rate_cleaned!$B$2:$B$10,"&lt;"&amp;C57,mdr_rate_cleaned!$F$2:$F$10,"&gt;="&amp;C57)</f>
        <v>1</v>
      </c>
      <c r="G57">
        <v>3.0000000000000001E-3</v>
      </c>
      <c r="H57">
        <v>14.39</v>
      </c>
      <c r="I57" t="s">
        <v>15</v>
      </c>
      <c r="J57" t="s">
        <v>15</v>
      </c>
      <c r="K57">
        <v>2.59</v>
      </c>
      <c r="L57">
        <v>0</v>
      </c>
    </row>
    <row r="58" spans="1:12" x14ac:dyDescent="0.3">
      <c r="A58" t="s">
        <v>74</v>
      </c>
      <c r="B58" t="s">
        <v>13</v>
      </c>
      <c r="C58">
        <v>1799</v>
      </c>
      <c r="D58">
        <v>34.18</v>
      </c>
      <c r="E58">
        <v>6.15</v>
      </c>
      <c r="F58">
        <f>COUNTIFS(mdr_rate_cleaned!$A$2:$A$10,B58,mdr_rate_cleaned!$B$2:$B$10,"&lt;"&amp;C58,mdr_rate_cleaned!$F$2:$F$10,"&gt;="&amp;C58)</f>
        <v>1</v>
      </c>
      <c r="G58">
        <v>1.9E-2</v>
      </c>
      <c r="H58">
        <v>34.18</v>
      </c>
      <c r="I58" t="s">
        <v>15</v>
      </c>
      <c r="J58" t="s">
        <v>15</v>
      </c>
      <c r="K58">
        <v>6.15</v>
      </c>
      <c r="L58">
        <v>0</v>
      </c>
    </row>
    <row r="59" spans="1:12" x14ac:dyDescent="0.3">
      <c r="A59" t="s">
        <v>75</v>
      </c>
      <c r="B59" t="s">
        <v>39</v>
      </c>
      <c r="C59">
        <v>8798</v>
      </c>
      <c r="D59">
        <v>105.58</v>
      </c>
      <c r="E59">
        <v>19</v>
      </c>
      <c r="F59">
        <f>COUNTIFS(mdr_rate_cleaned!$A$2:$A$10,B59,mdr_rate_cleaned!$B$2:$B$10,"&lt;"&amp;C59,mdr_rate_cleaned!$F$2:$F$10,"&gt;="&amp;C59)</f>
        <v>1</v>
      </c>
      <c r="G59">
        <v>1.2E-2</v>
      </c>
      <c r="H59">
        <v>105.58</v>
      </c>
      <c r="I59" t="s">
        <v>15</v>
      </c>
      <c r="J59" t="s">
        <v>15</v>
      </c>
      <c r="K59">
        <v>19</v>
      </c>
      <c r="L59">
        <v>0</v>
      </c>
    </row>
    <row r="60" spans="1:12" x14ac:dyDescent="0.3">
      <c r="A60" t="s">
        <v>76</v>
      </c>
      <c r="B60" t="s">
        <v>21</v>
      </c>
      <c r="C60">
        <v>7999</v>
      </c>
      <c r="D60">
        <v>24</v>
      </c>
      <c r="E60">
        <v>4.32</v>
      </c>
      <c r="F60">
        <f>COUNTIFS(mdr_rate_cleaned!$A$2:$A$10,B60,mdr_rate_cleaned!$B$2:$B$10,"&lt;"&amp;C60,mdr_rate_cleaned!$F$2:$F$10,"&gt;="&amp;C60)</f>
        <v>1</v>
      </c>
      <c r="G60">
        <v>3.0000000000000001E-3</v>
      </c>
      <c r="H60">
        <v>24</v>
      </c>
      <c r="I60" t="s">
        <v>15</v>
      </c>
      <c r="J60" t="s">
        <v>15</v>
      </c>
      <c r="K60">
        <v>4.32</v>
      </c>
      <c r="L60">
        <v>0</v>
      </c>
    </row>
    <row r="61" spans="1:12" x14ac:dyDescent="0.3">
      <c r="A61" t="s">
        <v>77</v>
      </c>
      <c r="B61" t="s">
        <v>21</v>
      </c>
      <c r="C61">
        <v>2499</v>
      </c>
      <c r="D61">
        <v>7.5</v>
      </c>
      <c r="E61">
        <v>1.35</v>
      </c>
      <c r="F61">
        <f>COUNTIFS(mdr_rate_cleaned!$A$2:$A$10,B61,mdr_rate_cleaned!$B$2:$B$10,"&lt;"&amp;C61,mdr_rate_cleaned!$F$2:$F$10,"&gt;="&amp;C61)</f>
        <v>1</v>
      </c>
      <c r="G61">
        <v>3.0000000000000001E-3</v>
      </c>
      <c r="H61">
        <v>7.5</v>
      </c>
      <c r="I61" t="s">
        <v>15</v>
      </c>
      <c r="J61" t="s">
        <v>15</v>
      </c>
      <c r="K61">
        <v>1.35</v>
      </c>
      <c r="L61">
        <v>0</v>
      </c>
    </row>
    <row r="62" spans="1:12" x14ac:dyDescent="0.3">
      <c r="A62" t="s">
        <v>78</v>
      </c>
      <c r="B62" t="s">
        <v>21</v>
      </c>
      <c r="C62">
        <v>1499</v>
      </c>
      <c r="D62">
        <v>0</v>
      </c>
      <c r="E62">
        <v>0</v>
      </c>
      <c r="F62">
        <f>COUNTIFS(mdr_rate_cleaned!$A$2:$A$10,B62,mdr_rate_cleaned!$B$2:$B$10,"&lt;"&amp;C62,mdr_rate_cleaned!$F$2:$F$10,"&gt;="&amp;C62)</f>
        <v>1</v>
      </c>
      <c r="G62">
        <v>0</v>
      </c>
      <c r="H62">
        <v>0</v>
      </c>
      <c r="I62" t="s">
        <v>15</v>
      </c>
      <c r="J62" t="s">
        <v>15</v>
      </c>
      <c r="K62">
        <v>0</v>
      </c>
      <c r="L62">
        <v>0</v>
      </c>
    </row>
    <row r="63" spans="1:12" x14ac:dyDescent="0.3">
      <c r="A63" t="s">
        <v>79</v>
      </c>
      <c r="B63" t="s">
        <v>21</v>
      </c>
      <c r="C63">
        <v>1499</v>
      </c>
      <c r="D63">
        <v>0</v>
      </c>
      <c r="E63">
        <v>0</v>
      </c>
      <c r="F63">
        <f>COUNTIFS(mdr_rate_cleaned!$A$2:$A$10,B63,mdr_rate_cleaned!$B$2:$B$10,"&lt;"&amp;C63,mdr_rate_cleaned!$F$2:$F$10,"&gt;="&amp;C63)</f>
        <v>1</v>
      </c>
      <c r="G63">
        <v>0</v>
      </c>
      <c r="H63">
        <v>0</v>
      </c>
      <c r="I63" t="s">
        <v>15</v>
      </c>
      <c r="J63" t="s">
        <v>15</v>
      </c>
      <c r="K63">
        <v>0</v>
      </c>
      <c r="L63">
        <v>0</v>
      </c>
    </row>
    <row r="64" spans="1:12" x14ac:dyDescent="0.3">
      <c r="A64" t="s">
        <v>80</v>
      </c>
      <c r="B64" t="s">
        <v>21</v>
      </c>
      <c r="C64">
        <v>2598</v>
      </c>
      <c r="D64">
        <v>7.79</v>
      </c>
      <c r="E64">
        <v>1.4</v>
      </c>
      <c r="F64">
        <f>COUNTIFS(mdr_rate_cleaned!$A$2:$A$10,B64,mdr_rate_cleaned!$B$2:$B$10,"&lt;"&amp;C64,mdr_rate_cleaned!$F$2:$F$10,"&gt;="&amp;C64)</f>
        <v>1</v>
      </c>
      <c r="G64">
        <v>3.0000000000000001E-3</v>
      </c>
      <c r="H64">
        <v>7.79</v>
      </c>
      <c r="I64" t="s">
        <v>15</v>
      </c>
      <c r="J64" t="s">
        <v>15</v>
      </c>
      <c r="K64">
        <v>1.4</v>
      </c>
      <c r="L64">
        <v>0</v>
      </c>
    </row>
    <row r="65" spans="1:12" x14ac:dyDescent="0.3">
      <c r="A65" t="s">
        <v>81</v>
      </c>
      <c r="B65" t="s">
        <v>21</v>
      </c>
      <c r="C65">
        <v>1098</v>
      </c>
      <c r="D65">
        <v>0</v>
      </c>
      <c r="E65">
        <v>0</v>
      </c>
      <c r="F65">
        <f>COUNTIFS(mdr_rate_cleaned!$A$2:$A$10,B65,mdr_rate_cleaned!$B$2:$B$10,"&lt;"&amp;C65,mdr_rate_cleaned!$F$2:$F$10,"&gt;="&amp;C65)</f>
        <v>1</v>
      </c>
      <c r="G65">
        <v>0</v>
      </c>
      <c r="H65">
        <v>0</v>
      </c>
      <c r="I65" t="s">
        <v>15</v>
      </c>
      <c r="J65" t="s">
        <v>15</v>
      </c>
      <c r="K65">
        <v>0</v>
      </c>
      <c r="L65">
        <v>0</v>
      </c>
    </row>
    <row r="66" spans="1:12" x14ac:dyDescent="0.3">
      <c r="A66" t="s">
        <v>82</v>
      </c>
      <c r="B66" t="s">
        <v>21</v>
      </c>
      <c r="C66">
        <v>648</v>
      </c>
      <c r="D66">
        <v>0</v>
      </c>
      <c r="E66">
        <v>0</v>
      </c>
      <c r="F66">
        <f>COUNTIFS(mdr_rate_cleaned!$A$2:$A$10,B66,mdr_rate_cleaned!$B$2:$B$10,"&lt;"&amp;C66,mdr_rate_cleaned!$F$2:$F$10,"&gt;="&amp;C66)</f>
        <v>1</v>
      </c>
      <c r="G66">
        <v>0</v>
      </c>
      <c r="H66">
        <v>0</v>
      </c>
      <c r="I66" t="s">
        <v>15</v>
      </c>
      <c r="J66" t="s">
        <v>15</v>
      </c>
      <c r="K66">
        <v>0</v>
      </c>
      <c r="L66">
        <v>0</v>
      </c>
    </row>
    <row r="67" spans="1:12" x14ac:dyDescent="0.3">
      <c r="A67" t="s">
        <v>83</v>
      </c>
      <c r="B67" t="s">
        <v>21</v>
      </c>
      <c r="C67">
        <v>4999</v>
      </c>
      <c r="D67">
        <v>15</v>
      </c>
      <c r="E67">
        <v>2.7</v>
      </c>
      <c r="F67">
        <f>COUNTIFS(mdr_rate_cleaned!$A$2:$A$10,B67,mdr_rate_cleaned!$B$2:$B$10,"&lt;"&amp;C67,mdr_rate_cleaned!$F$2:$F$10,"&gt;="&amp;C67)</f>
        <v>1</v>
      </c>
      <c r="G67">
        <v>3.0000000000000001E-3</v>
      </c>
      <c r="H67">
        <v>15</v>
      </c>
      <c r="I67" t="s">
        <v>15</v>
      </c>
      <c r="J67" t="s">
        <v>15</v>
      </c>
      <c r="K67">
        <v>2.7</v>
      </c>
      <c r="L67">
        <v>0</v>
      </c>
    </row>
    <row r="68" spans="1:12" x14ac:dyDescent="0.3">
      <c r="A68" t="s">
        <v>84</v>
      </c>
      <c r="B68" t="s">
        <v>13</v>
      </c>
      <c r="C68">
        <v>3647</v>
      </c>
      <c r="D68">
        <v>62</v>
      </c>
      <c r="E68">
        <v>11.16</v>
      </c>
      <c r="F68">
        <f>COUNTIFS(mdr_rate_cleaned!$A$2:$A$10,B68,mdr_rate_cleaned!$B$2:$B$10,"&lt;"&amp;C68,mdr_rate_cleaned!$F$2:$F$10,"&gt;="&amp;C68)</f>
        <v>1</v>
      </c>
      <c r="G68">
        <v>1.7000000000000001E-2</v>
      </c>
      <c r="H68">
        <v>62</v>
      </c>
      <c r="I68" t="s">
        <v>15</v>
      </c>
      <c r="J68" t="s">
        <v>15</v>
      </c>
      <c r="K68">
        <v>11.16</v>
      </c>
      <c r="L68">
        <v>0</v>
      </c>
    </row>
    <row r="69" spans="1:12" x14ac:dyDescent="0.3">
      <c r="A69" t="s">
        <v>85</v>
      </c>
      <c r="B69" t="s">
        <v>21</v>
      </c>
      <c r="C69">
        <v>999</v>
      </c>
      <c r="D69">
        <v>0</v>
      </c>
      <c r="E69">
        <v>0</v>
      </c>
      <c r="F69">
        <f>COUNTIFS(mdr_rate_cleaned!$A$2:$A$10,B69,mdr_rate_cleaned!$B$2:$B$10,"&lt;"&amp;C69,mdr_rate_cleaned!$F$2:$F$10,"&gt;="&amp;C69)</f>
        <v>1</v>
      </c>
      <c r="G69">
        <v>0</v>
      </c>
      <c r="H69">
        <v>0</v>
      </c>
      <c r="I69" t="s">
        <v>15</v>
      </c>
      <c r="J69" t="s">
        <v>15</v>
      </c>
      <c r="K69">
        <v>0</v>
      </c>
      <c r="L69">
        <v>0</v>
      </c>
    </row>
    <row r="70" spans="1:12" x14ac:dyDescent="0.3">
      <c r="A70" t="s">
        <v>86</v>
      </c>
      <c r="B70" t="s">
        <v>21</v>
      </c>
      <c r="C70">
        <v>1299</v>
      </c>
      <c r="D70">
        <v>0</v>
      </c>
      <c r="E70">
        <v>0</v>
      </c>
      <c r="F70">
        <f>COUNTIFS(mdr_rate_cleaned!$A$2:$A$10,B70,mdr_rate_cleaned!$B$2:$B$10,"&lt;"&amp;C70,mdr_rate_cleaned!$F$2:$F$10,"&gt;="&amp;C70)</f>
        <v>1</v>
      </c>
      <c r="G70">
        <v>0</v>
      </c>
      <c r="H70">
        <v>0</v>
      </c>
      <c r="I70" t="s">
        <v>15</v>
      </c>
      <c r="J70" t="s">
        <v>15</v>
      </c>
      <c r="K70">
        <v>0</v>
      </c>
      <c r="L70">
        <v>0</v>
      </c>
    </row>
    <row r="71" spans="1:12" x14ac:dyDescent="0.3">
      <c r="A71" t="s">
        <v>87</v>
      </c>
      <c r="B71" t="s">
        <v>17</v>
      </c>
      <c r="C71">
        <v>499</v>
      </c>
      <c r="D71">
        <v>8.98</v>
      </c>
      <c r="E71">
        <v>1.62</v>
      </c>
      <c r="F71">
        <f>COUNTIFS(mdr_rate_cleaned!$A$2:$A$10,B71,mdr_rate_cleaned!$B$2:$B$10,"&lt;"&amp;C71,mdr_rate_cleaned!$F$2:$F$10,"&gt;="&amp;C71)</f>
        <v>1</v>
      </c>
      <c r="G71">
        <v>1.7999999999999999E-2</v>
      </c>
      <c r="H71">
        <v>8.98</v>
      </c>
      <c r="I71" t="s">
        <v>15</v>
      </c>
      <c r="J71" t="s">
        <v>15</v>
      </c>
      <c r="K71">
        <v>1.62</v>
      </c>
      <c r="L71">
        <v>0</v>
      </c>
    </row>
    <row r="72" spans="1:12" x14ac:dyDescent="0.3">
      <c r="A72" t="s">
        <v>88</v>
      </c>
      <c r="B72" t="s">
        <v>21</v>
      </c>
      <c r="C72">
        <v>2999</v>
      </c>
      <c r="D72">
        <v>9</v>
      </c>
      <c r="E72">
        <v>1.62</v>
      </c>
      <c r="F72">
        <f>COUNTIFS(mdr_rate_cleaned!$A$2:$A$10,B72,mdr_rate_cleaned!$B$2:$B$10,"&lt;"&amp;C72,mdr_rate_cleaned!$F$2:$F$10,"&gt;="&amp;C72)</f>
        <v>1</v>
      </c>
      <c r="G72">
        <v>3.0000000000000001E-3</v>
      </c>
      <c r="H72">
        <v>9</v>
      </c>
      <c r="I72" t="s">
        <v>15</v>
      </c>
      <c r="J72" t="s">
        <v>15</v>
      </c>
      <c r="K72">
        <v>1.62</v>
      </c>
      <c r="L72">
        <v>0</v>
      </c>
    </row>
    <row r="73" spans="1:12" x14ac:dyDescent="0.3">
      <c r="A73" t="s">
        <v>89</v>
      </c>
      <c r="B73" t="s">
        <v>21</v>
      </c>
      <c r="C73">
        <v>5998</v>
      </c>
      <c r="D73">
        <v>17.989999999999998</v>
      </c>
      <c r="E73">
        <v>3.24</v>
      </c>
      <c r="F73">
        <f>COUNTIFS(mdr_rate_cleaned!$A$2:$A$10,B73,mdr_rate_cleaned!$B$2:$B$10,"&lt;"&amp;C73,mdr_rate_cleaned!$F$2:$F$10,"&gt;="&amp;C73)</f>
        <v>1</v>
      </c>
      <c r="G73">
        <v>3.0000000000000001E-3</v>
      </c>
      <c r="H73">
        <v>17.989999999999998</v>
      </c>
      <c r="I73" t="s">
        <v>15</v>
      </c>
      <c r="J73" t="s">
        <v>15</v>
      </c>
      <c r="K73">
        <v>3.24</v>
      </c>
      <c r="L73">
        <v>0</v>
      </c>
    </row>
    <row r="74" spans="1:12" x14ac:dyDescent="0.3">
      <c r="A74" t="s">
        <v>90</v>
      </c>
      <c r="B74" t="s">
        <v>21</v>
      </c>
      <c r="C74">
        <v>1499</v>
      </c>
      <c r="D74">
        <v>0</v>
      </c>
      <c r="E74">
        <v>0</v>
      </c>
      <c r="F74">
        <f>COUNTIFS(mdr_rate_cleaned!$A$2:$A$10,B74,mdr_rate_cleaned!$B$2:$B$10,"&lt;"&amp;C74,mdr_rate_cleaned!$F$2:$F$10,"&gt;="&amp;C74)</f>
        <v>1</v>
      </c>
      <c r="G74">
        <v>0</v>
      </c>
      <c r="H74">
        <v>0</v>
      </c>
      <c r="I74" t="s">
        <v>15</v>
      </c>
      <c r="J74" t="s">
        <v>15</v>
      </c>
      <c r="K74">
        <v>0</v>
      </c>
      <c r="L74">
        <v>0</v>
      </c>
    </row>
    <row r="75" spans="1:12" x14ac:dyDescent="0.3">
      <c r="A75" t="s">
        <v>91</v>
      </c>
      <c r="B75" t="s">
        <v>39</v>
      </c>
      <c r="C75">
        <v>3498</v>
      </c>
      <c r="D75">
        <v>41.98</v>
      </c>
      <c r="E75">
        <v>7.56</v>
      </c>
      <c r="F75">
        <f>COUNTIFS(mdr_rate_cleaned!$A$2:$A$10,B75,mdr_rate_cleaned!$B$2:$B$10,"&lt;"&amp;C75,mdr_rate_cleaned!$F$2:$F$10,"&gt;="&amp;C75)</f>
        <v>1</v>
      </c>
      <c r="G75">
        <v>1.2E-2</v>
      </c>
      <c r="H75">
        <v>41.98</v>
      </c>
      <c r="I75" t="s">
        <v>15</v>
      </c>
      <c r="J75" t="s">
        <v>15</v>
      </c>
      <c r="K75">
        <v>7.56</v>
      </c>
      <c r="L75">
        <v>0</v>
      </c>
    </row>
    <row r="76" spans="1:12" x14ac:dyDescent="0.3">
      <c r="A76" t="s">
        <v>92</v>
      </c>
      <c r="B76" t="s">
        <v>17</v>
      </c>
      <c r="C76">
        <v>599</v>
      </c>
      <c r="D76">
        <v>10.78</v>
      </c>
      <c r="E76">
        <v>1.94</v>
      </c>
      <c r="F76">
        <f>COUNTIFS(mdr_rate_cleaned!$A$2:$A$10,B76,mdr_rate_cleaned!$B$2:$B$10,"&lt;"&amp;C76,mdr_rate_cleaned!$F$2:$F$10,"&gt;="&amp;C76)</f>
        <v>1</v>
      </c>
      <c r="G76">
        <v>1.7999999999999999E-2</v>
      </c>
      <c r="H76">
        <v>10.78</v>
      </c>
      <c r="I76" t="s">
        <v>15</v>
      </c>
      <c r="J76" t="s">
        <v>15</v>
      </c>
      <c r="K76">
        <v>1.94</v>
      </c>
      <c r="L76">
        <v>0</v>
      </c>
    </row>
    <row r="77" spans="1:12" x14ac:dyDescent="0.3">
      <c r="A77" t="s">
        <v>93</v>
      </c>
      <c r="B77" t="s">
        <v>13</v>
      </c>
      <c r="C77">
        <v>2397</v>
      </c>
      <c r="D77">
        <v>40.75</v>
      </c>
      <c r="E77">
        <v>7.34</v>
      </c>
      <c r="F77">
        <f>COUNTIFS(mdr_rate_cleaned!$A$2:$A$10,B77,mdr_rate_cleaned!$B$2:$B$10,"&lt;"&amp;C77,mdr_rate_cleaned!$F$2:$F$10,"&gt;="&amp;C77)</f>
        <v>1</v>
      </c>
      <c r="G77">
        <v>1.7000000000000001E-2</v>
      </c>
      <c r="H77">
        <v>40.75</v>
      </c>
      <c r="I77" t="s">
        <v>15</v>
      </c>
      <c r="J77" t="s">
        <v>15</v>
      </c>
      <c r="K77">
        <v>7.34</v>
      </c>
      <c r="L77">
        <v>0</v>
      </c>
    </row>
    <row r="78" spans="1:12" x14ac:dyDescent="0.3">
      <c r="A78" t="s">
        <v>94</v>
      </c>
      <c r="B78" t="s">
        <v>17</v>
      </c>
      <c r="C78">
        <v>3499</v>
      </c>
      <c r="D78">
        <v>55.98</v>
      </c>
      <c r="E78">
        <v>10.08</v>
      </c>
      <c r="F78">
        <f>COUNTIFS(mdr_rate_cleaned!$A$2:$A$10,B78,mdr_rate_cleaned!$B$2:$B$10,"&lt;"&amp;C78,mdr_rate_cleaned!$F$2:$F$10,"&gt;="&amp;C78)</f>
        <v>1</v>
      </c>
      <c r="G78">
        <v>1.6E-2</v>
      </c>
      <c r="H78">
        <v>55.98</v>
      </c>
      <c r="I78" t="s">
        <v>15</v>
      </c>
      <c r="J78" t="s">
        <v>15</v>
      </c>
      <c r="K78">
        <v>10.08</v>
      </c>
      <c r="L78">
        <v>0</v>
      </c>
    </row>
    <row r="79" spans="1:12" x14ac:dyDescent="0.3">
      <c r="A79" t="s">
        <v>95</v>
      </c>
      <c r="B79" t="s">
        <v>17</v>
      </c>
      <c r="C79">
        <v>1799</v>
      </c>
      <c r="D79">
        <v>32.380000000000003</v>
      </c>
      <c r="E79">
        <v>5.83</v>
      </c>
      <c r="F79">
        <f>COUNTIFS(mdr_rate_cleaned!$A$2:$A$10,B79,mdr_rate_cleaned!$B$2:$B$10,"&lt;"&amp;C79,mdr_rate_cleaned!$F$2:$F$10,"&gt;="&amp;C79)</f>
        <v>1</v>
      </c>
      <c r="G79">
        <v>1.7999999999999999E-2</v>
      </c>
      <c r="H79">
        <v>32.380000000000003</v>
      </c>
      <c r="I79" t="s">
        <v>15</v>
      </c>
      <c r="J79" t="s">
        <v>15</v>
      </c>
      <c r="K79">
        <v>5.83</v>
      </c>
      <c r="L79">
        <v>0</v>
      </c>
    </row>
    <row r="80" spans="1:12" x14ac:dyDescent="0.3">
      <c r="A80" t="s">
        <v>96</v>
      </c>
      <c r="B80" t="s">
        <v>21</v>
      </c>
      <c r="C80">
        <v>3098</v>
      </c>
      <c r="D80">
        <v>9.2899999999999991</v>
      </c>
      <c r="E80">
        <v>1.67</v>
      </c>
      <c r="F80">
        <f>COUNTIFS(mdr_rate_cleaned!$A$2:$A$10,B80,mdr_rate_cleaned!$B$2:$B$10,"&lt;"&amp;C80,mdr_rate_cleaned!$F$2:$F$10,"&gt;="&amp;C80)</f>
        <v>1</v>
      </c>
      <c r="G80">
        <v>3.0000000000000001E-3</v>
      </c>
      <c r="H80">
        <v>9.2899999999999991</v>
      </c>
      <c r="I80" t="s">
        <v>15</v>
      </c>
      <c r="J80" t="s">
        <v>15</v>
      </c>
      <c r="K80">
        <v>1.67</v>
      </c>
      <c r="L80">
        <v>0</v>
      </c>
    </row>
    <row r="81" spans="1:12" x14ac:dyDescent="0.3">
      <c r="A81" t="s">
        <v>97</v>
      </c>
      <c r="B81" t="s">
        <v>21</v>
      </c>
      <c r="C81">
        <v>4999</v>
      </c>
      <c r="D81">
        <v>15</v>
      </c>
      <c r="E81">
        <v>2.7</v>
      </c>
      <c r="F81">
        <f>COUNTIFS(mdr_rate_cleaned!$A$2:$A$10,B81,mdr_rate_cleaned!$B$2:$B$10,"&lt;"&amp;C81,mdr_rate_cleaned!$F$2:$F$10,"&gt;="&amp;C81)</f>
        <v>1</v>
      </c>
      <c r="G81">
        <v>3.0000000000000001E-3</v>
      </c>
      <c r="H81">
        <v>15</v>
      </c>
      <c r="I81" t="s">
        <v>15</v>
      </c>
      <c r="J81" t="s">
        <v>15</v>
      </c>
      <c r="K81">
        <v>2.7</v>
      </c>
      <c r="L81">
        <v>0</v>
      </c>
    </row>
    <row r="82" spans="1:12" x14ac:dyDescent="0.3">
      <c r="A82" t="s">
        <v>98</v>
      </c>
      <c r="B82" t="s">
        <v>21</v>
      </c>
      <c r="C82">
        <v>4999</v>
      </c>
      <c r="D82">
        <v>15</v>
      </c>
      <c r="E82">
        <v>2.7</v>
      </c>
      <c r="F82">
        <f>COUNTIFS(mdr_rate_cleaned!$A$2:$A$10,B82,mdr_rate_cleaned!$B$2:$B$10,"&lt;"&amp;C82,mdr_rate_cleaned!$F$2:$F$10,"&gt;="&amp;C82)</f>
        <v>1</v>
      </c>
      <c r="G82">
        <v>3.0000000000000001E-3</v>
      </c>
      <c r="H82">
        <v>15</v>
      </c>
      <c r="I82" t="s">
        <v>15</v>
      </c>
      <c r="J82" t="s">
        <v>15</v>
      </c>
      <c r="K82">
        <v>2.7</v>
      </c>
      <c r="L82">
        <v>0</v>
      </c>
    </row>
    <row r="83" spans="1:12" x14ac:dyDescent="0.3">
      <c r="A83" t="s">
        <v>99</v>
      </c>
      <c r="B83" t="s">
        <v>21</v>
      </c>
      <c r="C83">
        <v>3098</v>
      </c>
      <c r="D83">
        <v>9.2899999999999991</v>
      </c>
      <c r="E83">
        <v>1.67</v>
      </c>
      <c r="F83">
        <f>COUNTIFS(mdr_rate_cleaned!$A$2:$A$10,B83,mdr_rate_cleaned!$B$2:$B$10,"&lt;"&amp;C83,mdr_rate_cleaned!$F$2:$F$10,"&gt;="&amp;C83)</f>
        <v>1</v>
      </c>
      <c r="G83">
        <v>3.0000000000000001E-3</v>
      </c>
      <c r="H83">
        <v>9.2899999999999991</v>
      </c>
      <c r="I83" t="s">
        <v>15</v>
      </c>
      <c r="J83" t="s">
        <v>15</v>
      </c>
      <c r="K83">
        <v>1.67</v>
      </c>
      <c r="L83">
        <v>0</v>
      </c>
    </row>
    <row r="84" spans="1:12" x14ac:dyDescent="0.3">
      <c r="A84" t="s">
        <v>100</v>
      </c>
      <c r="B84" t="s">
        <v>17</v>
      </c>
      <c r="C84">
        <v>3447</v>
      </c>
      <c r="D84">
        <v>55.15</v>
      </c>
      <c r="E84">
        <v>9.93</v>
      </c>
      <c r="F84">
        <f>COUNTIFS(mdr_rate_cleaned!$A$2:$A$10,B84,mdr_rate_cleaned!$B$2:$B$10,"&lt;"&amp;C84,mdr_rate_cleaned!$F$2:$F$10,"&gt;="&amp;C84)</f>
        <v>1</v>
      </c>
      <c r="G84">
        <v>1.6E-2</v>
      </c>
      <c r="H84">
        <v>55.15</v>
      </c>
      <c r="I84" t="s">
        <v>15</v>
      </c>
      <c r="J84" t="s">
        <v>15</v>
      </c>
      <c r="K84">
        <v>9.93</v>
      </c>
      <c r="L84">
        <v>0</v>
      </c>
    </row>
    <row r="85" spans="1:12" x14ac:dyDescent="0.3">
      <c r="A85" t="s">
        <v>101</v>
      </c>
      <c r="B85" t="s">
        <v>21</v>
      </c>
      <c r="C85">
        <v>2499</v>
      </c>
      <c r="D85">
        <v>7.5</v>
      </c>
      <c r="E85">
        <v>1.35</v>
      </c>
      <c r="F85">
        <f>COUNTIFS(mdr_rate_cleaned!$A$2:$A$10,B85,mdr_rate_cleaned!$B$2:$B$10,"&lt;"&amp;C85,mdr_rate_cleaned!$F$2:$F$10,"&gt;="&amp;C85)</f>
        <v>1</v>
      </c>
      <c r="G85">
        <v>3.0000000000000001E-3</v>
      </c>
      <c r="H85">
        <v>7.5</v>
      </c>
      <c r="I85" t="s">
        <v>15</v>
      </c>
      <c r="J85" t="s">
        <v>15</v>
      </c>
      <c r="K85">
        <v>1.35</v>
      </c>
      <c r="L85">
        <v>0</v>
      </c>
    </row>
    <row r="86" spans="1:12" x14ac:dyDescent="0.3">
      <c r="A86" t="s">
        <v>102</v>
      </c>
      <c r="B86" t="s">
        <v>21</v>
      </c>
      <c r="C86">
        <v>3499</v>
      </c>
      <c r="D86">
        <v>10.5</v>
      </c>
      <c r="E86">
        <v>1.89</v>
      </c>
      <c r="F86">
        <f>COUNTIFS(mdr_rate_cleaned!$A$2:$A$10,B86,mdr_rate_cleaned!$B$2:$B$10,"&lt;"&amp;C86,mdr_rate_cleaned!$F$2:$F$10,"&gt;="&amp;C86)</f>
        <v>1</v>
      </c>
      <c r="G86">
        <v>3.0000000000000001E-3</v>
      </c>
      <c r="H86">
        <v>10.5</v>
      </c>
      <c r="I86" t="s">
        <v>15</v>
      </c>
      <c r="J86" t="s">
        <v>15</v>
      </c>
      <c r="K86">
        <v>1.89</v>
      </c>
      <c r="L86">
        <v>0</v>
      </c>
    </row>
    <row r="87" spans="1:12" x14ac:dyDescent="0.3">
      <c r="A87" t="s">
        <v>103</v>
      </c>
      <c r="B87" t="s">
        <v>13</v>
      </c>
      <c r="C87">
        <v>599</v>
      </c>
      <c r="D87">
        <v>11.38</v>
      </c>
      <c r="E87">
        <v>2.0499999999999998</v>
      </c>
      <c r="F87">
        <f>COUNTIFS(mdr_rate_cleaned!$A$2:$A$10,B87,mdr_rate_cleaned!$B$2:$B$10,"&lt;"&amp;C87,mdr_rate_cleaned!$F$2:$F$10,"&gt;="&amp;C87)</f>
        <v>1</v>
      </c>
      <c r="G87">
        <v>1.9E-2</v>
      </c>
      <c r="H87">
        <v>11.38</v>
      </c>
      <c r="I87" t="s">
        <v>15</v>
      </c>
      <c r="J87" t="s">
        <v>15</v>
      </c>
      <c r="K87">
        <v>2.0499999999999998</v>
      </c>
      <c r="L87">
        <v>0</v>
      </c>
    </row>
    <row r="88" spans="1:12" x14ac:dyDescent="0.3">
      <c r="A88" t="s">
        <v>104</v>
      </c>
      <c r="B88" t="s">
        <v>21</v>
      </c>
      <c r="C88">
        <v>2798</v>
      </c>
      <c r="D88">
        <v>8.39</v>
      </c>
      <c r="E88">
        <v>1.51</v>
      </c>
      <c r="F88">
        <f>COUNTIFS(mdr_rate_cleaned!$A$2:$A$10,B88,mdr_rate_cleaned!$B$2:$B$10,"&lt;"&amp;C88,mdr_rate_cleaned!$F$2:$F$10,"&gt;="&amp;C88)</f>
        <v>1</v>
      </c>
      <c r="G88">
        <v>3.0000000000000001E-3</v>
      </c>
      <c r="H88">
        <v>8.39</v>
      </c>
      <c r="I88" t="s">
        <v>15</v>
      </c>
      <c r="J88" t="s">
        <v>15</v>
      </c>
      <c r="K88">
        <v>1.51</v>
      </c>
      <c r="L88">
        <v>0</v>
      </c>
    </row>
    <row r="89" spans="1:12" x14ac:dyDescent="0.3">
      <c r="A89" t="s">
        <v>105</v>
      </c>
      <c r="B89" t="s">
        <v>21</v>
      </c>
      <c r="C89">
        <v>1299</v>
      </c>
      <c r="D89">
        <v>0</v>
      </c>
      <c r="E89">
        <v>0</v>
      </c>
      <c r="F89">
        <f>COUNTIFS(mdr_rate_cleaned!$A$2:$A$10,B89,mdr_rate_cleaned!$B$2:$B$10,"&lt;"&amp;C89,mdr_rate_cleaned!$F$2:$F$10,"&gt;="&amp;C89)</f>
        <v>1</v>
      </c>
      <c r="G89">
        <v>0</v>
      </c>
      <c r="H89">
        <v>0</v>
      </c>
      <c r="I89" t="s">
        <v>15</v>
      </c>
      <c r="J89" t="s">
        <v>15</v>
      </c>
      <c r="K89">
        <v>0</v>
      </c>
      <c r="L89">
        <v>0</v>
      </c>
    </row>
    <row r="90" spans="1:12" x14ac:dyDescent="0.3">
      <c r="A90" t="s">
        <v>106</v>
      </c>
      <c r="B90" t="s">
        <v>21</v>
      </c>
      <c r="C90">
        <v>2999</v>
      </c>
      <c r="D90">
        <v>9</v>
      </c>
      <c r="E90">
        <v>1.62</v>
      </c>
      <c r="F90">
        <f>COUNTIFS(mdr_rate_cleaned!$A$2:$A$10,B90,mdr_rate_cleaned!$B$2:$B$10,"&lt;"&amp;C90,mdr_rate_cleaned!$F$2:$F$10,"&gt;="&amp;C90)</f>
        <v>1</v>
      </c>
      <c r="G90">
        <v>3.0000000000000001E-3</v>
      </c>
      <c r="H90">
        <v>9</v>
      </c>
      <c r="I90" t="s">
        <v>15</v>
      </c>
      <c r="J90" t="s">
        <v>15</v>
      </c>
      <c r="K90">
        <v>1.62</v>
      </c>
      <c r="L90">
        <v>0</v>
      </c>
    </row>
    <row r="91" spans="1:12" x14ac:dyDescent="0.3">
      <c r="A91" t="s">
        <v>107</v>
      </c>
      <c r="B91" t="s">
        <v>21</v>
      </c>
      <c r="C91">
        <v>3848</v>
      </c>
      <c r="D91">
        <v>11.54</v>
      </c>
      <c r="E91">
        <v>2.08</v>
      </c>
      <c r="F91">
        <f>COUNTIFS(mdr_rate_cleaned!$A$2:$A$10,B91,mdr_rate_cleaned!$B$2:$B$10,"&lt;"&amp;C91,mdr_rate_cleaned!$F$2:$F$10,"&gt;="&amp;C91)</f>
        <v>1</v>
      </c>
      <c r="G91">
        <v>3.0000000000000001E-3</v>
      </c>
      <c r="H91">
        <v>11.54</v>
      </c>
      <c r="I91" t="s">
        <v>15</v>
      </c>
      <c r="J91" t="s">
        <v>15</v>
      </c>
      <c r="K91">
        <v>2.08</v>
      </c>
      <c r="L91">
        <v>0</v>
      </c>
    </row>
    <row r="92" spans="1:12" x14ac:dyDescent="0.3">
      <c r="A92" t="s">
        <v>108</v>
      </c>
      <c r="B92" t="s">
        <v>13</v>
      </c>
      <c r="C92">
        <v>10097</v>
      </c>
      <c r="D92">
        <v>171.65</v>
      </c>
      <c r="E92">
        <v>30.9</v>
      </c>
      <c r="F92">
        <f>COUNTIFS(mdr_rate_cleaned!$A$2:$A$10,B92,mdr_rate_cleaned!$B$2:$B$10,"&lt;"&amp;C92,mdr_rate_cleaned!$F$2:$F$10,"&gt;="&amp;C92)</f>
        <v>1</v>
      </c>
      <c r="G92">
        <v>1.7000000000000001E-2</v>
      </c>
      <c r="H92">
        <v>171.65</v>
      </c>
      <c r="I92" t="s">
        <v>15</v>
      </c>
      <c r="J92" t="s">
        <v>15</v>
      </c>
      <c r="K92">
        <v>30.9</v>
      </c>
      <c r="L92">
        <v>0</v>
      </c>
    </row>
    <row r="93" spans="1:12" x14ac:dyDescent="0.3">
      <c r="A93" t="s">
        <v>109</v>
      </c>
      <c r="B93" t="s">
        <v>39</v>
      </c>
      <c r="C93">
        <v>3499</v>
      </c>
      <c r="D93">
        <v>41.99</v>
      </c>
      <c r="E93">
        <v>7.56</v>
      </c>
      <c r="F93">
        <f>COUNTIFS(mdr_rate_cleaned!$A$2:$A$10,B93,mdr_rate_cleaned!$B$2:$B$10,"&lt;"&amp;C93,mdr_rate_cleaned!$F$2:$F$10,"&gt;="&amp;C93)</f>
        <v>1</v>
      </c>
      <c r="G93">
        <v>1.2E-2</v>
      </c>
      <c r="H93">
        <v>41.99</v>
      </c>
      <c r="I93" t="s">
        <v>15</v>
      </c>
      <c r="J93" t="s">
        <v>15</v>
      </c>
      <c r="K93">
        <v>7.56</v>
      </c>
      <c r="L93">
        <v>0</v>
      </c>
    </row>
    <row r="94" spans="1:12" x14ac:dyDescent="0.3">
      <c r="A94" t="s">
        <v>110</v>
      </c>
      <c r="B94" t="s">
        <v>13</v>
      </c>
      <c r="C94">
        <v>2499</v>
      </c>
      <c r="D94">
        <v>42.48</v>
      </c>
      <c r="E94">
        <v>7.65</v>
      </c>
      <c r="F94">
        <f>COUNTIFS(mdr_rate_cleaned!$A$2:$A$10,B94,mdr_rate_cleaned!$B$2:$B$10,"&lt;"&amp;C94,mdr_rate_cleaned!$F$2:$F$10,"&gt;="&amp;C94)</f>
        <v>1</v>
      </c>
      <c r="G94">
        <v>1.7000000000000001E-2</v>
      </c>
      <c r="H94">
        <v>42.48</v>
      </c>
      <c r="I94" t="s">
        <v>15</v>
      </c>
      <c r="J94" t="s">
        <v>15</v>
      </c>
      <c r="K94">
        <v>7.65</v>
      </c>
      <c r="L94">
        <v>0</v>
      </c>
    </row>
    <row r="95" spans="1:12" x14ac:dyDescent="0.3">
      <c r="A95" t="s">
        <v>111</v>
      </c>
      <c r="B95" t="s">
        <v>17</v>
      </c>
      <c r="C95">
        <v>3798</v>
      </c>
      <c r="D95">
        <v>60.77</v>
      </c>
      <c r="E95">
        <v>10.94</v>
      </c>
      <c r="F95">
        <f>COUNTIFS(mdr_rate_cleaned!$A$2:$A$10,B95,mdr_rate_cleaned!$B$2:$B$10,"&lt;"&amp;C95,mdr_rate_cleaned!$F$2:$F$10,"&gt;="&amp;C95)</f>
        <v>1</v>
      </c>
      <c r="G95">
        <v>1.6E-2</v>
      </c>
      <c r="H95">
        <v>60.77</v>
      </c>
      <c r="I95" t="s">
        <v>15</v>
      </c>
      <c r="J95" t="s">
        <v>15</v>
      </c>
      <c r="K95">
        <v>10.94</v>
      </c>
      <c r="L95">
        <v>0</v>
      </c>
    </row>
    <row r="96" spans="1:12" x14ac:dyDescent="0.3">
      <c r="A96" t="s">
        <v>112</v>
      </c>
      <c r="B96" t="s">
        <v>17</v>
      </c>
      <c r="C96">
        <v>4999</v>
      </c>
      <c r="D96">
        <v>79.98</v>
      </c>
      <c r="E96">
        <v>14.4</v>
      </c>
      <c r="F96">
        <f>COUNTIFS(mdr_rate_cleaned!$A$2:$A$10,B96,mdr_rate_cleaned!$B$2:$B$10,"&lt;"&amp;C96,mdr_rate_cleaned!$F$2:$F$10,"&gt;="&amp;C96)</f>
        <v>1</v>
      </c>
      <c r="G96">
        <v>1.6E-2</v>
      </c>
      <c r="H96">
        <v>79.98</v>
      </c>
      <c r="I96" t="s">
        <v>15</v>
      </c>
      <c r="J96" t="s">
        <v>15</v>
      </c>
      <c r="K96">
        <v>14.4</v>
      </c>
      <c r="L96">
        <v>0</v>
      </c>
    </row>
    <row r="97" spans="1:12" x14ac:dyDescent="0.3">
      <c r="A97" t="s">
        <v>113</v>
      </c>
      <c r="B97" t="s">
        <v>17</v>
      </c>
      <c r="C97">
        <v>499</v>
      </c>
      <c r="D97">
        <v>8.98</v>
      </c>
      <c r="E97">
        <v>1.62</v>
      </c>
      <c r="F97">
        <f>COUNTIFS(mdr_rate_cleaned!$A$2:$A$10,B97,mdr_rate_cleaned!$B$2:$B$10,"&lt;"&amp;C97,mdr_rate_cleaned!$F$2:$F$10,"&gt;="&amp;C97)</f>
        <v>1</v>
      </c>
      <c r="G97">
        <v>1.7999999999999999E-2</v>
      </c>
      <c r="H97">
        <v>8.98</v>
      </c>
      <c r="I97" t="s">
        <v>15</v>
      </c>
      <c r="J97" t="s">
        <v>15</v>
      </c>
      <c r="K97">
        <v>1.62</v>
      </c>
      <c r="L97">
        <v>0</v>
      </c>
    </row>
    <row r="98" spans="1:12" x14ac:dyDescent="0.3">
      <c r="A98" t="s">
        <v>114</v>
      </c>
      <c r="B98" t="s">
        <v>21</v>
      </c>
      <c r="C98">
        <v>1299</v>
      </c>
      <c r="D98">
        <v>0</v>
      </c>
      <c r="E98">
        <v>0</v>
      </c>
      <c r="F98">
        <f>COUNTIFS(mdr_rate_cleaned!$A$2:$A$10,B98,mdr_rate_cleaned!$B$2:$B$10,"&lt;"&amp;C98,mdr_rate_cleaned!$F$2:$F$10,"&gt;="&amp;C98)</f>
        <v>1</v>
      </c>
      <c r="G98">
        <v>0</v>
      </c>
      <c r="H98">
        <v>0</v>
      </c>
      <c r="I98" t="s">
        <v>15</v>
      </c>
      <c r="J98" t="s">
        <v>15</v>
      </c>
      <c r="K98">
        <v>0</v>
      </c>
      <c r="L98">
        <v>0</v>
      </c>
    </row>
    <row r="99" spans="1:12" x14ac:dyDescent="0.3">
      <c r="A99" t="s">
        <v>115</v>
      </c>
      <c r="B99" t="s">
        <v>39</v>
      </c>
      <c r="C99">
        <v>8647</v>
      </c>
      <c r="D99">
        <v>103.76</v>
      </c>
      <c r="E99">
        <v>18.68</v>
      </c>
      <c r="F99">
        <f>COUNTIFS(mdr_rate_cleaned!$A$2:$A$10,B99,mdr_rate_cleaned!$B$2:$B$10,"&lt;"&amp;C99,mdr_rate_cleaned!$F$2:$F$10,"&gt;="&amp;C99)</f>
        <v>1</v>
      </c>
      <c r="G99">
        <v>1.2E-2</v>
      </c>
      <c r="H99">
        <v>103.76</v>
      </c>
      <c r="I99" t="s">
        <v>15</v>
      </c>
      <c r="J99" t="s">
        <v>15</v>
      </c>
      <c r="K99">
        <v>18.68</v>
      </c>
      <c r="L99">
        <v>0</v>
      </c>
    </row>
    <row r="100" spans="1:12" x14ac:dyDescent="0.3">
      <c r="A100" t="s">
        <v>116</v>
      </c>
      <c r="B100" t="s">
        <v>13</v>
      </c>
      <c r="C100">
        <v>3848</v>
      </c>
      <c r="D100">
        <v>65.42</v>
      </c>
      <c r="E100">
        <v>11.78</v>
      </c>
      <c r="F100">
        <f>COUNTIFS(mdr_rate_cleaned!$A$2:$A$10,B100,mdr_rate_cleaned!$B$2:$B$10,"&lt;"&amp;C100,mdr_rate_cleaned!$F$2:$F$10,"&gt;="&amp;C100)</f>
        <v>1</v>
      </c>
      <c r="G100">
        <v>1.7000000000000001E-2</v>
      </c>
      <c r="H100">
        <v>65.42</v>
      </c>
      <c r="I100" t="s">
        <v>15</v>
      </c>
      <c r="J100" t="s">
        <v>15</v>
      </c>
      <c r="K100">
        <v>11.78</v>
      </c>
      <c r="L100">
        <v>0</v>
      </c>
    </row>
    <row r="101" spans="1:12" x14ac:dyDescent="0.3">
      <c r="A101" t="s">
        <v>117</v>
      </c>
      <c r="B101" t="s">
        <v>21</v>
      </c>
      <c r="C101">
        <v>1499</v>
      </c>
      <c r="D101">
        <v>0</v>
      </c>
      <c r="E101">
        <v>0</v>
      </c>
      <c r="F101">
        <f>COUNTIFS(mdr_rate_cleaned!$A$2:$A$10,B101,mdr_rate_cleaned!$B$2:$B$10,"&lt;"&amp;C101,mdr_rate_cleaned!$F$2:$F$10,"&gt;="&amp;C101)</f>
        <v>1</v>
      </c>
      <c r="G101">
        <v>0</v>
      </c>
      <c r="H101">
        <v>0</v>
      </c>
      <c r="I101" t="s">
        <v>15</v>
      </c>
      <c r="J101" t="s">
        <v>15</v>
      </c>
      <c r="K101">
        <v>0</v>
      </c>
      <c r="L101">
        <v>0</v>
      </c>
    </row>
    <row r="102" spans="1:12" x14ac:dyDescent="0.3">
      <c r="A102" t="s">
        <v>118</v>
      </c>
      <c r="B102" t="s">
        <v>39</v>
      </c>
      <c r="C102">
        <v>5297</v>
      </c>
      <c r="D102">
        <v>63.56</v>
      </c>
      <c r="E102">
        <v>11.44</v>
      </c>
      <c r="F102">
        <f>COUNTIFS(mdr_rate_cleaned!$A$2:$A$10,B102,mdr_rate_cleaned!$B$2:$B$10,"&lt;"&amp;C102,mdr_rate_cleaned!$F$2:$F$10,"&gt;="&amp;C102)</f>
        <v>1</v>
      </c>
      <c r="G102">
        <v>1.2E-2</v>
      </c>
      <c r="H102">
        <v>63.56</v>
      </c>
      <c r="I102" t="s">
        <v>15</v>
      </c>
      <c r="J102" t="s">
        <v>15</v>
      </c>
      <c r="K102">
        <v>11.44</v>
      </c>
      <c r="L102">
        <v>0</v>
      </c>
    </row>
    <row r="103" spans="1:12" x14ac:dyDescent="0.3">
      <c r="A103" t="s">
        <v>119</v>
      </c>
      <c r="B103" t="s">
        <v>21</v>
      </c>
      <c r="C103">
        <v>349</v>
      </c>
      <c r="D103">
        <v>0</v>
      </c>
      <c r="E103">
        <v>0</v>
      </c>
      <c r="F103">
        <f>COUNTIFS(mdr_rate_cleaned!$A$2:$A$10,B103,mdr_rate_cleaned!$B$2:$B$10,"&lt;"&amp;C103,mdr_rate_cleaned!$F$2:$F$10,"&gt;="&amp;C103)</f>
        <v>1</v>
      </c>
      <c r="G103">
        <v>0</v>
      </c>
      <c r="H103">
        <v>0</v>
      </c>
      <c r="I103" t="s">
        <v>15</v>
      </c>
      <c r="J103" t="s">
        <v>15</v>
      </c>
      <c r="K103">
        <v>0</v>
      </c>
      <c r="L103">
        <v>0</v>
      </c>
    </row>
    <row r="104" spans="1:12" x14ac:dyDescent="0.3">
      <c r="A104" t="s">
        <v>120</v>
      </c>
      <c r="B104" t="s">
        <v>17</v>
      </c>
      <c r="C104">
        <v>1198</v>
      </c>
      <c r="D104">
        <v>21.56</v>
      </c>
      <c r="E104">
        <v>3.88</v>
      </c>
      <c r="F104">
        <f>COUNTIFS(mdr_rate_cleaned!$A$2:$A$10,B104,mdr_rate_cleaned!$B$2:$B$10,"&lt;"&amp;C104,mdr_rate_cleaned!$F$2:$F$10,"&gt;="&amp;C104)</f>
        <v>1</v>
      </c>
      <c r="G104">
        <v>1.7999999999999999E-2</v>
      </c>
      <c r="H104">
        <v>21.56</v>
      </c>
      <c r="I104" t="s">
        <v>15</v>
      </c>
      <c r="J104" t="s">
        <v>15</v>
      </c>
      <c r="K104">
        <v>3.88</v>
      </c>
      <c r="L104">
        <v>0</v>
      </c>
    </row>
    <row r="105" spans="1:12" x14ac:dyDescent="0.3">
      <c r="A105" t="s">
        <v>121</v>
      </c>
      <c r="B105" t="s">
        <v>17</v>
      </c>
      <c r="C105">
        <v>898</v>
      </c>
      <c r="D105">
        <v>16.16</v>
      </c>
      <c r="E105">
        <v>2.91</v>
      </c>
      <c r="F105">
        <f>COUNTIFS(mdr_rate_cleaned!$A$2:$A$10,B105,mdr_rate_cleaned!$B$2:$B$10,"&lt;"&amp;C105,mdr_rate_cleaned!$F$2:$F$10,"&gt;="&amp;C105)</f>
        <v>1</v>
      </c>
      <c r="G105">
        <v>1.7999999999999999E-2</v>
      </c>
      <c r="H105">
        <v>16.16</v>
      </c>
      <c r="I105" t="s">
        <v>15</v>
      </c>
      <c r="J105" t="s">
        <v>15</v>
      </c>
      <c r="K105">
        <v>2.91</v>
      </c>
      <c r="L105">
        <v>0</v>
      </c>
    </row>
    <row r="106" spans="1:12" x14ac:dyDescent="0.3">
      <c r="A106" t="s">
        <v>122</v>
      </c>
      <c r="B106" t="s">
        <v>13</v>
      </c>
      <c r="C106">
        <v>1499</v>
      </c>
      <c r="D106">
        <v>28.48</v>
      </c>
      <c r="E106">
        <v>5.13</v>
      </c>
      <c r="F106">
        <f>COUNTIFS(mdr_rate_cleaned!$A$2:$A$10,B106,mdr_rate_cleaned!$B$2:$B$10,"&lt;"&amp;C106,mdr_rate_cleaned!$F$2:$F$10,"&gt;="&amp;C106)</f>
        <v>1</v>
      </c>
      <c r="G106">
        <v>1.9E-2</v>
      </c>
      <c r="H106">
        <v>28.48</v>
      </c>
      <c r="I106" t="s">
        <v>15</v>
      </c>
      <c r="J106" t="s">
        <v>15</v>
      </c>
      <c r="K106">
        <v>5.13</v>
      </c>
      <c r="L106">
        <v>0</v>
      </c>
    </row>
    <row r="107" spans="1:12" x14ac:dyDescent="0.3">
      <c r="A107" t="s">
        <v>123</v>
      </c>
      <c r="B107" t="s">
        <v>21</v>
      </c>
      <c r="C107">
        <v>798</v>
      </c>
      <c r="D107">
        <v>0</v>
      </c>
      <c r="E107">
        <v>0</v>
      </c>
      <c r="F107">
        <f>COUNTIFS(mdr_rate_cleaned!$A$2:$A$10,B107,mdr_rate_cleaned!$B$2:$B$10,"&lt;"&amp;C107,mdr_rate_cleaned!$F$2:$F$10,"&gt;="&amp;C107)</f>
        <v>1</v>
      </c>
      <c r="G107">
        <v>0</v>
      </c>
      <c r="H107">
        <v>0</v>
      </c>
      <c r="I107" t="s">
        <v>15</v>
      </c>
      <c r="J107" t="s">
        <v>15</v>
      </c>
      <c r="K107">
        <v>0</v>
      </c>
      <c r="L107">
        <v>0</v>
      </c>
    </row>
    <row r="108" spans="1:12" x14ac:dyDescent="0.3">
      <c r="A108" t="s">
        <v>124</v>
      </c>
      <c r="B108" t="s">
        <v>13</v>
      </c>
      <c r="C108">
        <v>499</v>
      </c>
      <c r="D108">
        <v>9.48</v>
      </c>
      <c r="E108">
        <v>1.71</v>
      </c>
      <c r="F108">
        <f>COUNTIFS(mdr_rate_cleaned!$A$2:$A$10,B108,mdr_rate_cleaned!$B$2:$B$10,"&lt;"&amp;C108,mdr_rate_cleaned!$F$2:$F$10,"&gt;="&amp;C108)</f>
        <v>1</v>
      </c>
      <c r="G108">
        <v>1.9E-2</v>
      </c>
      <c r="H108">
        <v>9.48</v>
      </c>
      <c r="I108" t="s">
        <v>15</v>
      </c>
      <c r="J108" t="s">
        <v>15</v>
      </c>
      <c r="K108">
        <v>1.71</v>
      </c>
      <c r="L108">
        <v>0</v>
      </c>
    </row>
    <row r="109" spans="1:12" x14ac:dyDescent="0.3">
      <c r="A109" t="s">
        <v>125</v>
      </c>
      <c r="B109" t="s">
        <v>39</v>
      </c>
      <c r="C109">
        <v>599</v>
      </c>
      <c r="D109">
        <v>8.99</v>
      </c>
      <c r="E109">
        <v>1.62</v>
      </c>
      <c r="F109">
        <f>COUNTIFS(mdr_rate_cleaned!$A$2:$A$10,B109,mdr_rate_cleaned!$B$2:$B$10,"&lt;"&amp;C109,mdr_rate_cleaned!$F$2:$F$10,"&gt;="&amp;C109)</f>
        <v>1</v>
      </c>
      <c r="G109">
        <v>1.4999999999999999E-2</v>
      </c>
      <c r="H109">
        <v>8.99</v>
      </c>
      <c r="I109" t="s">
        <v>15</v>
      </c>
      <c r="J109" t="s">
        <v>15</v>
      </c>
      <c r="K109">
        <v>1.62</v>
      </c>
      <c r="L109">
        <v>0</v>
      </c>
    </row>
    <row r="110" spans="1:12" x14ac:dyDescent="0.3">
      <c r="A110" t="s">
        <v>126</v>
      </c>
      <c r="B110" t="s">
        <v>13</v>
      </c>
      <c r="C110">
        <v>1499</v>
      </c>
      <c r="D110">
        <v>28.48</v>
      </c>
      <c r="E110">
        <v>5.13</v>
      </c>
      <c r="F110">
        <f>COUNTIFS(mdr_rate_cleaned!$A$2:$A$10,B110,mdr_rate_cleaned!$B$2:$B$10,"&lt;"&amp;C110,mdr_rate_cleaned!$F$2:$F$10,"&gt;="&amp;C110)</f>
        <v>1</v>
      </c>
      <c r="G110">
        <v>1.9E-2</v>
      </c>
      <c r="H110">
        <v>28.48</v>
      </c>
      <c r="I110" t="s">
        <v>15</v>
      </c>
      <c r="J110" t="s">
        <v>15</v>
      </c>
      <c r="K110">
        <v>5.13</v>
      </c>
      <c r="L110">
        <v>0</v>
      </c>
    </row>
    <row r="111" spans="1:12" x14ac:dyDescent="0.3">
      <c r="A111" t="s">
        <v>127</v>
      </c>
      <c r="B111" t="s">
        <v>39</v>
      </c>
      <c r="C111">
        <v>10797</v>
      </c>
      <c r="D111">
        <v>97.17</v>
      </c>
      <c r="E111">
        <v>17.489999999999998</v>
      </c>
      <c r="F111">
        <f>COUNTIFS(mdr_rate_cleaned!$A$2:$A$10,B111,mdr_rate_cleaned!$B$2:$B$10,"&lt;"&amp;C111,mdr_rate_cleaned!$F$2:$F$10,"&gt;="&amp;C111)</f>
        <v>1</v>
      </c>
      <c r="G111">
        <v>8.9999999999999993E-3</v>
      </c>
      <c r="H111">
        <v>97.17</v>
      </c>
      <c r="I111" t="s">
        <v>15</v>
      </c>
      <c r="J111" t="s">
        <v>15</v>
      </c>
      <c r="K111">
        <v>17.489999999999998</v>
      </c>
      <c r="L111">
        <v>0</v>
      </c>
    </row>
    <row r="112" spans="1:12" x14ac:dyDescent="0.3">
      <c r="A112" t="s">
        <v>128</v>
      </c>
      <c r="B112" t="s">
        <v>21</v>
      </c>
      <c r="C112">
        <v>7999</v>
      </c>
      <c r="D112">
        <v>24</v>
      </c>
      <c r="E112">
        <v>4.32</v>
      </c>
      <c r="F112">
        <f>COUNTIFS(mdr_rate_cleaned!$A$2:$A$10,B112,mdr_rate_cleaned!$B$2:$B$10,"&lt;"&amp;C112,mdr_rate_cleaned!$F$2:$F$10,"&gt;="&amp;C112)</f>
        <v>1</v>
      </c>
      <c r="G112">
        <v>3.0000000000000001E-3</v>
      </c>
      <c r="H112">
        <v>24</v>
      </c>
      <c r="I112" t="s">
        <v>15</v>
      </c>
      <c r="J112" t="s">
        <v>15</v>
      </c>
      <c r="K112">
        <v>4.32</v>
      </c>
      <c r="L112">
        <v>0</v>
      </c>
    </row>
    <row r="113" spans="1:12" x14ac:dyDescent="0.3">
      <c r="A113" t="s">
        <v>129</v>
      </c>
      <c r="B113" t="s">
        <v>21</v>
      </c>
      <c r="C113">
        <v>3848</v>
      </c>
      <c r="D113">
        <v>11.54</v>
      </c>
      <c r="E113">
        <v>2.08</v>
      </c>
      <c r="F113">
        <f>COUNTIFS(mdr_rate_cleaned!$A$2:$A$10,B113,mdr_rate_cleaned!$B$2:$B$10,"&lt;"&amp;C113,mdr_rate_cleaned!$F$2:$F$10,"&gt;="&amp;C113)</f>
        <v>1</v>
      </c>
      <c r="G113">
        <v>3.0000000000000001E-3</v>
      </c>
      <c r="H113">
        <v>11.54</v>
      </c>
      <c r="I113" t="s">
        <v>15</v>
      </c>
      <c r="J113" t="s">
        <v>15</v>
      </c>
      <c r="K113">
        <v>2.08</v>
      </c>
      <c r="L113">
        <v>0</v>
      </c>
    </row>
    <row r="114" spans="1:12" x14ac:dyDescent="0.3">
      <c r="A114" t="s">
        <v>130</v>
      </c>
      <c r="B114" t="s">
        <v>17</v>
      </c>
      <c r="C114">
        <v>2499</v>
      </c>
      <c r="D114">
        <v>39.979999999999997</v>
      </c>
      <c r="E114">
        <v>7.2</v>
      </c>
      <c r="F114">
        <f>COUNTIFS(mdr_rate_cleaned!$A$2:$A$10,B114,mdr_rate_cleaned!$B$2:$B$10,"&lt;"&amp;C114,mdr_rate_cleaned!$F$2:$F$10,"&gt;="&amp;C114)</f>
        <v>1</v>
      </c>
      <c r="G114">
        <v>1.6E-2</v>
      </c>
      <c r="H114">
        <v>39.979999999999997</v>
      </c>
      <c r="I114" t="s">
        <v>15</v>
      </c>
      <c r="J114" t="s">
        <v>15</v>
      </c>
      <c r="K114">
        <v>7.2</v>
      </c>
      <c r="L114">
        <v>0</v>
      </c>
    </row>
    <row r="115" spans="1:12" x14ac:dyDescent="0.3">
      <c r="A115" t="s">
        <v>131</v>
      </c>
      <c r="B115" t="s">
        <v>21</v>
      </c>
      <c r="C115">
        <v>898</v>
      </c>
      <c r="D115">
        <v>0</v>
      </c>
      <c r="E115">
        <v>0</v>
      </c>
      <c r="F115">
        <f>COUNTIFS(mdr_rate_cleaned!$A$2:$A$10,B115,mdr_rate_cleaned!$B$2:$B$10,"&lt;"&amp;C115,mdr_rate_cleaned!$F$2:$F$10,"&gt;="&amp;C115)</f>
        <v>1</v>
      </c>
      <c r="G115">
        <v>0</v>
      </c>
      <c r="H115">
        <v>0</v>
      </c>
      <c r="I115" t="s">
        <v>15</v>
      </c>
      <c r="J115" t="s">
        <v>15</v>
      </c>
      <c r="K115">
        <v>0</v>
      </c>
      <c r="L115">
        <v>0</v>
      </c>
    </row>
    <row r="116" spans="1:12" x14ac:dyDescent="0.3">
      <c r="A116" t="s">
        <v>132</v>
      </c>
      <c r="B116" t="s">
        <v>21</v>
      </c>
      <c r="C116">
        <v>2999</v>
      </c>
      <c r="D116">
        <v>9</v>
      </c>
      <c r="E116">
        <v>1.62</v>
      </c>
      <c r="F116">
        <f>COUNTIFS(mdr_rate_cleaned!$A$2:$A$10,B116,mdr_rate_cleaned!$B$2:$B$10,"&lt;"&amp;C116,mdr_rate_cleaned!$F$2:$F$10,"&gt;="&amp;C116)</f>
        <v>1</v>
      </c>
      <c r="G116">
        <v>3.0000000000000001E-3</v>
      </c>
      <c r="H116">
        <v>9</v>
      </c>
      <c r="I116" t="s">
        <v>15</v>
      </c>
      <c r="J116" t="s">
        <v>15</v>
      </c>
      <c r="K116">
        <v>1.62</v>
      </c>
      <c r="L116">
        <v>0</v>
      </c>
    </row>
    <row r="117" spans="1:12" x14ac:dyDescent="0.3">
      <c r="A117" t="s">
        <v>133</v>
      </c>
      <c r="B117" t="s">
        <v>21</v>
      </c>
      <c r="C117">
        <v>599</v>
      </c>
      <c r="D117">
        <v>0</v>
      </c>
      <c r="E117">
        <v>0</v>
      </c>
      <c r="F117">
        <f>COUNTIFS(mdr_rate_cleaned!$A$2:$A$10,B117,mdr_rate_cleaned!$B$2:$B$10,"&lt;"&amp;C117,mdr_rate_cleaned!$F$2:$F$10,"&gt;="&amp;C117)</f>
        <v>1</v>
      </c>
      <c r="G117">
        <v>0</v>
      </c>
      <c r="H117">
        <v>0</v>
      </c>
      <c r="I117" t="s">
        <v>15</v>
      </c>
      <c r="J117" t="s">
        <v>15</v>
      </c>
      <c r="K117">
        <v>0</v>
      </c>
      <c r="L117">
        <v>0</v>
      </c>
    </row>
    <row r="118" spans="1:12" x14ac:dyDescent="0.3">
      <c r="A118" t="s">
        <v>134</v>
      </c>
      <c r="B118" t="s">
        <v>21</v>
      </c>
      <c r="C118">
        <v>3997</v>
      </c>
      <c r="D118">
        <v>11.99</v>
      </c>
      <c r="E118">
        <v>2.16</v>
      </c>
      <c r="F118">
        <f>COUNTIFS(mdr_rate_cleaned!$A$2:$A$10,B118,mdr_rate_cleaned!$B$2:$B$10,"&lt;"&amp;C118,mdr_rate_cleaned!$F$2:$F$10,"&gt;="&amp;C118)</f>
        <v>1</v>
      </c>
      <c r="G118">
        <v>3.0000000000000001E-3</v>
      </c>
      <c r="H118">
        <v>11.99</v>
      </c>
      <c r="I118" t="s">
        <v>15</v>
      </c>
      <c r="J118" t="s">
        <v>15</v>
      </c>
      <c r="K118">
        <v>2.16</v>
      </c>
      <c r="L118">
        <v>0</v>
      </c>
    </row>
    <row r="119" spans="1:12" x14ac:dyDescent="0.3">
      <c r="A119" t="s">
        <v>135</v>
      </c>
      <c r="B119" t="s">
        <v>21</v>
      </c>
      <c r="C119">
        <v>3499</v>
      </c>
      <c r="D119">
        <v>10.5</v>
      </c>
      <c r="E119">
        <v>1.89</v>
      </c>
      <c r="F119">
        <f>COUNTIFS(mdr_rate_cleaned!$A$2:$A$10,B119,mdr_rate_cleaned!$B$2:$B$10,"&lt;"&amp;C119,mdr_rate_cleaned!$F$2:$F$10,"&gt;="&amp;C119)</f>
        <v>1</v>
      </c>
      <c r="G119">
        <v>3.0000000000000001E-3</v>
      </c>
      <c r="H119">
        <v>10.5</v>
      </c>
      <c r="I119" t="s">
        <v>15</v>
      </c>
      <c r="J119" t="s">
        <v>15</v>
      </c>
      <c r="K119">
        <v>1.89</v>
      </c>
      <c r="L119">
        <v>0</v>
      </c>
    </row>
    <row r="120" spans="1:12" x14ac:dyDescent="0.3">
      <c r="A120" t="s">
        <v>136</v>
      </c>
      <c r="B120" t="s">
        <v>21</v>
      </c>
      <c r="C120">
        <v>2098</v>
      </c>
      <c r="D120">
        <v>6.29</v>
      </c>
      <c r="E120">
        <v>1.1299999999999999</v>
      </c>
      <c r="F120">
        <f>COUNTIFS(mdr_rate_cleaned!$A$2:$A$10,B120,mdr_rate_cleaned!$B$2:$B$10,"&lt;"&amp;C120,mdr_rate_cleaned!$F$2:$F$10,"&gt;="&amp;C120)</f>
        <v>1</v>
      </c>
      <c r="G120">
        <v>3.0000000000000001E-3</v>
      </c>
      <c r="H120">
        <v>6.29</v>
      </c>
      <c r="I120" t="s">
        <v>15</v>
      </c>
      <c r="J120" t="s">
        <v>15</v>
      </c>
      <c r="K120">
        <v>1.1299999999999999</v>
      </c>
      <c r="L120">
        <v>0</v>
      </c>
    </row>
    <row r="121" spans="1:12" x14ac:dyDescent="0.3">
      <c r="A121" t="s">
        <v>137</v>
      </c>
      <c r="B121" t="s">
        <v>21</v>
      </c>
      <c r="C121">
        <v>5598</v>
      </c>
      <c r="D121">
        <v>16.79</v>
      </c>
      <c r="E121">
        <v>3.02</v>
      </c>
      <c r="F121">
        <f>COUNTIFS(mdr_rate_cleaned!$A$2:$A$10,B121,mdr_rate_cleaned!$B$2:$B$10,"&lt;"&amp;C121,mdr_rate_cleaned!$F$2:$F$10,"&gt;="&amp;C121)</f>
        <v>1</v>
      </c>
      <c r="G121">
        <v>3.0000000000000001E-3</v>
      </c>
      <c r="H121">
        <v>16.79</v>
      </c>
      <c r="I121" t="s">
        <v>15</v>
      </c>
      <c r="J121" t="s">
        <v>15</v>
      </c>
      <c r="K121">
        <v>3.02</v>
      </c>
      <c r="L121">
        <v>0</v>
      </c>
    </row>
    <row r="122" spans="1:12" x14ac:dyDescent="0.3">
      <c r="A122" t="s">
        <v>138</v>
      </c>
      <c r="B122" t="s">
        <v>21</v>
      </c>
      <c r="C122">
        <v>2798</v>
      </c>
      <c r="D122">
        <v>8.39</v>
      </c>
      <c r="E122">
        <v>1.51</v>
      </c>
      <c r="F122">
        <f>COUNTIFS(mdr_rate_cleaned!$A$2:$A$10,B122,mdr_rate_cleaned!$B$2:$B$10,"&lt;"&amp;C122,mdr_rate_cleaned!$F$2:$F$10,"&gt;="&amp;C122)</f>
        <v>1</v>
      </c>
      <c r="G122">
        <v>3.0000000000000001E-3</v>
      </c>
      <c r="H122">
        <v>8.39</v>
      </c>
      <c r="I122" t="s">
        <v>15</v>
      </c>
      <c r="J122" t="s">
        <v>15</v>
      </c>
      <c r="K122">
        <v>1.51</v>
      </c>
      <c r="L122">
        <v>0</v>
      </c>
    </row>
    <row r="123" spans="1:12" x14ac:dyDescent="0.3">
      <c r="A123" t="s">
        <v>139</v>
      </c>
      <c r="B123" t="s">
        <v>21</v>
      </c>
      <c r="C123">
        <v>1848</v>
      </c>
      <c r="D123">
        <v>0</v>
      </c>
      <c r="E123">
        <v>0</v>
      </c>
      <c r="F123">
        <f>COUNTIFS(mdr_rate_cleaned!$A$2:$A$10,B123,mdr_rate_cleaned!$B$2:$B$10,"&lt;"&amp;C123,mdr_rate_cleaned!$F$2:$F$10,"&gt;="&amp;C123)</f>
        <v>1</v>
      </c>
      <c r="G123">
        <v>0</v>
      </c>
      <c r="H123">
        <v>0</v>
      </c>
      <c r="I123" t="s">
        <v>15</v>
      </c>
      <c r="J123" t="s">
        <v>15</v>
      </c>
      <c r="K123">
        <v>0</v>
      </c>
      <c r="L123">
        <v>0</v>
      </c>
    </row>
    <row r="124" spans="1:12" x14ac:dyDescent="0.3">
      <c r="A124" t="s">
        <v>140</v>
      </c>
      <c r="B124" t="s">
        <v>21</v>
      </c>
      <c r="C124">
        <v>299</v>
      </c>
      <c r="D124">
        <v>0</v>
      </c>
      <c r="E124">
        <v>0</v>
      </c>
      <c r="F124">
        <f>COUNTIFS(mdr_rate_cleaned!$A$2:$A$10,B124,mdr_rate_cleaned!$B$2:$B$10,"&lt;"&amp;C124,mdr_rate_cleaned!$F$2:$F$10,"&gt;="&amp;C124)</f>
        <v>1</v>
      </c>
      <c r="G124">
        <v>0</v>
      </c>
      <c r="H124">
        <v>0</v>
      </c>
      <c r="I124" t="s">
        <v>15</v>
      </c>
      <c r="J124" t="s">
        <v>15</v>
      </c>
      <c r="K124">
        <v>0</v>
      </c>
      <c r="L124">
        <v>0</v>
      </c>
    </row>
    <row r="125" spans="1:12" x14ac:dyDescent="0.3">
      <c r="A125" t="s">
        <v>141</v>
      </c>
      <c r="B125" t="s">
        <v>21</v>
      </c>
      <c r="C125">
        <v>2897</v>
      </c>
      <c r="D125">
        <v>8.69</v>
      </c>
      <c r="E125">
        <v>1.56</v>
      </c>
      <c r="F125">
        <f>COUNTIFS(mdr_rate_cleaned!$A$2:$A$10,B125,mdr_rate_cleaned!$B$2:$B$10,"&lt;"&amp;C125,mdr_rate_cleaned!$F$2:$F$10,"&gt;="&amp;C125)</f>
        <v>1</v>
      </c>
      <c r="G125">
        <v>3.0000000000000001E-3</v>
      </c>
      <c r="H125">
        <v>8.69</v>
      </c>
      <c r="I125" t="s">
        <v>15</v>
      </c>
      <c r="J125" t="s">
        <v>15</v>
      </c>
      <c r="K125">
        <v>1.56</v>
      </c>
      <c r="L125">
        <v>0</v>
      </c>
    </row>
    <row r="126" spans="1:12" x14ac:dyDescent="0.3">
      <c r="A126" t="s">
        <v>142</v>
      </c>
      <c r="B126" t="s">
        <v>13</v>
      </c>
      <c r="C126">
        <v>4298</v>
      </c>
      <c r="D126">
        <v>73.069999999999993</v>
      </c>
      <c r="E126">
        <v>13.15</v>
      </c>
      <c r="F126">
        <f>COUNTIFS(mdr_rate_cleaned!$A$2:$A$10,B126,mdr_rate_cleaned!$B$2:$B$10,"&lt;"&amp;C126,mdr_rate_cleaned!$F$2:$F$10,"&gt;="&amp;C126)</f>
        <v>1</v>
      </c>
      <c r="G126">
        <v>1.7000000000000001E-2</v>
      </c>
      <c r="H126">
        <v>73.069999999999993</v>
      </c>
      <c r="I126" t="s">
        <v>15</v>
      </c>
      <c r="J126" t="s">
        <v>15</v>
      </c>
      <c r="K126">
        <v>13.15</v>
      </c>
      <c r="L126">
        <v>0</v>
      </c>
    </row>
    <row r="127" spans="1:12" x14ac:dyDescent="0.3">
      <c r="A127" t="s">
        <v>143</v>
      </c>
      <c r="B127" t="s">
        <v>17</v>
      </c>
      <c r="C127">
        <v>999</v>
      </c>
      <c r="D127">
        <v>17.98</v>
      </c>
      <c r="E127">
        <v>3.24</v>
      </c>
      <c r="F127">
        <f>COUNTIFS(mdr_rate_cleaned!$A$2:$A$10,B127,mdr_rate_cleaned!$B$2:$B$10,"&lt;"&amp;C127,mdr_rate_cleaned!$F$2:$F$10,"&gt;="&amp;C127)</f>
        <v>1</v>
      </c>
      <c r="G127">
        <v>1.7999999999999999E-2</v>
      </c>
      <c r="H127">
        <v>17.98</v>
      </c>
      <c r="I127" t="s">
        <v>15</v>
      </c>
      <c r="J127" t="s">
        <v>15</v>
      </c>
      <c r="K127">
        <v>3.24</v>
      </c>
      <c r="L127">
        <v>0</v>
      </c>
    </row>
    <row r="128" spans="1:12" x14ac:dyDescent="0.3">
      <c r="A128" t="s">
        <v>144</v>
      </c>
      <c r="B128" t="s">
        <v>17</v>
      </c>
      <c r="C128">
        <v>1798</v>
      </c>
      <c r="D128">
        <v>32.36</v>
      </c>
      <c r="E128">
        <v>5.82</v>
      </c>
      <c r="F128">
        <f>COUNTIFS(mdr_rate_cleaned!$A$2:$A$10,B128,mdr_rate_cleaned!$B$2:$B$10,"&lt;"&amp;C128,mdr_rate_cleaned!$F$2:$F$10,"&gt;="&amp;C128)</f>
        <v>1</v>
      </c>
      <c r="G128">
        <v>1.7999999999999999E-2</v>
      </c>
      <c r="H128">
        <v>32.36</v>
      </c>
      <c r="I128" t="s">
        <v>15</v>
      </c>
      <c r="J128" t="s">
        <v>15</v>
      </c>
      <c r="K128">
        <v>5.82</v>
      </c>
      <c r="L128">
        <v>0</v>
      </c>
    </row>
    <row r="129" spans="1:12" x14ac:dyDescent="0.3">
      <c r="A129" t="s">
        <v>145</v>
      </c>
      <c r="B129" t="s">
        <v>39</v>
      </c>
      <c r="C129">
        <v>3597</v>
      </c>
      <c r="D129">
        <v>43.16</v>
      </c>
      <c r="E129">
        <v>7.77</v>
      </c>
      <c r="F129">
        <f>COUNTIFS(mdr_rate_cleaned!$A$2:$A$10,B129,mdr_rate_cleaned!$B$2:$B$10,"&lt;"&amp;C129,mdr_rate_cleaned!$F$2:$F$10,"&gt;="&amp;C129)</f>
        <v>1</v>
      </c>
      <c r="G129">
        <v>1.2E-2</v>
      </c>
      <c r="H129">
        <v>43.16</v>
      </c>
      <c r="I129" t="s">
        <v>15</v>
      </c>
      <c r="J129" t="s">
        <v>15</v>
      </c>
      <c r="K129">
        <v>7.77</v>
      </c>
      <c r="L129">
        <v>0</v>
      </c>
    </row>
    <row r="130" spans="1:12" x14ac:dyDescent="0.3">
      <c r="A130" t="s">
        <v>146</v>
      </c>
      <c r="B130" t="s">
        <v>17</v>
      </c>
      <c r="C130">
        <v>7999</v>
      </c>
      <c r="D130">
        <v>127.98</v>
      </c>
      <c r="E130">
        <v>23.04</v>
      </c>
      <c r="F130">
        <f>COUNTIFS(mdr_rate_cleaned!$A$2:$A$10,B130,mdr_rate_cleaned!$B$2:$B$10,"&lt;"&amp;C130,mdr_rate_cleaned!$F$2:$F$10,"&gt;="&amp;C130)</f>
        <v>1</v>
      </c>
      <c r="G130">
        <v>1.6E-2</v>
      </c>
      <c r="H130">
        <v>127.98</v>
      </c>
      <c r="I130" t="s">
        <v>15</v>
      </c>
      <c r="J130" t="s">
        <v>15</v>
      </c>
      <c r="K130">
        <v>23.04</v>
      </c>
      <c r="L130">
        <v>0</v>
      </c>
    </row>
    <row r="131" spans="1:12" x14ac:dyDescent="0.3">
      <c r="A131" t="s">
        <v>147</v>
      </c>
      <c r="B131" t="s">
        <v>21</v>
      </c>
      <c r="C131">
        <v>4498</v>
      </c>
      <c r="D131">
        <v>13.49</v>
      </c>
      <c r="E131">
        <v>2.4300000000000002</v>
      </c>
      <c r="F131">
        <f>COUNTIFS(mdr_rate_cleaned!$A$2:$A$10,B131,mdr_rate_cleaned!$B$2:$B$10,"&lt;"&amp;C131,mdr_rate_cleaned!$F$2:$F$10,"&gt;="&amp;C131)</f>
        <v>1</v>
      </c>
      <c r="G131">
        <v>3.0000000000000001E-3</v>
      </c>
      <c r="H131">
        <v>13.49</v>
      </c>
      <c r="I131" t="s">
        <v>15</v>
      </c>
      <c r="J131" t="s">
        <v>15</v>
      </c>
      <c r="K131">
        <v>2.4300000000000002</v>
      </c>
      <c r="L131">
        <v>0</v>
      </c>
    </row>
    <row r="132" spans="1:12" x14ac:dyDescent="0.3">
      <c r="A132" t="s">
        <v>148</v>
      </c>
      <c r="B132" t="s">
        <v>21</v>
      </c>
      <c r="C132">
        <v>2499</v>
      </c>
      <c r="D132">
        <v>7.5</v>
      </c>
      <c r="E132">
        <v>1.35</v>
      </c>
      <c r="F132">
        <f>COUNTIFS(mdr_rate_cleaned!$A$2:$A$10,B132,mdr_rate_cleaned!$B$2:$B$10,"&lt;"&amp;C132,mdr_rate_cleaned!$F$2:$F$10,"&gt;="&amp;C132)</f>
        <v>1</v>
      </c>
      <c r="G132">
        <v>3.0000000000000001E-3</v>
      </c>
      <c r="H132">
        <v>7.5</v>
      </c>
      <c r="I132" t="s">
        <v>15</v>
      </c>
      <c r="J132" t="s">
        <v>15</v>
      </c>
      <c r="K132">
        <v>1.35</v>
      </c>
      <c r="L132">
        <v>0</v>
      </c>
    </row>
    <row r="133" spans="1:12" x14ac:dyDescent="0.3">
      <c r="A133" t="s">
        <v>149</v>
      </c>
      <c r="B133" t="s">
        <v>17</v>
      </c>
      <c r="C133">
        <v>2499</v>
      </c>
      <c r="D133">
        <v>39.979999999999997</v>
      </c>
      <c r="E133">
        <v>7.2</v>
      </c>
      <c r="F133">
        <f>COUNTIFS(mdr_rate_cleaned!$A$2:$A$10,B133,mdr_rate_cleaned!$B$2:$B$10,"&lt;"&amp;C133,mdr_rate_cleaned!$F$2:$F$10,"&gt;="&amp;C133)</f>
        <v>1</v>
      </c>
      <c r="G133">
        <v>1.6E-2</v>
      </c>
      <c r="H133">
        <v>39.979999999999997</v>
      </c>
      <c r="I133" t="s">
        <v>15</v>
      </c>
      <c r="J133" t="s">
        <v>15</v>
      </c>
      <c r="K133">
        <v>7.2</v>
      </c>
      <c r="L133">
        <v>0</v>
      </c>
    </row>
    <row r="134" spans="1:12" x14ac:dyDescent="0.3">
      <c r="A134" t="s">
        <v>150</v>
      </c>
      <c r="B134" t="s">
        <v>39</v>
      </c>
      <c r="C134">
        <v>799</v>
      </c>
      <c r="D134">
        <v>11.99</v>
      </c>
      <c r="E134">
        <v>2.16</v>
      </c>
      <c r="F134">
        <f>COUNTIFS(mdr_rate_cleaned!$A$2:$A$10,B134,mdr_rate_cleaned!$B$2:$B$10,"&lt;"&amp;C134,mdr_rate_cleaned!$F$2:$F$10,"&gt;="&amp;C134)</f>
        <v>1</v>
      </c>
      <c r="G134">
        <v>1.4999999999999999E-2</v>
      </c>
      <c r="H134">
        <v>11.99</v>
      </c>
      <c r="I134" t="s">
        <v>15</v>
      </c>
      <c r="J134" t="s">
        <v>15</v>
      </c>
      <c r="K134">
        <v>2.16</v>
      </c>
      <c r="L134">
        <v>0</v>
      </c>
    </row>
    <row r="135" spans="1:12" x14ac:dyDescent="0.3">
      <c r="A135" t="s">
        <v>151</v>
      </c>
      <c r="B135" t="s">
        <v>21</v>
      </c>
      <c r="C135">
        <v>1299</v>
      </c>
      <c r="D135">
        <v>0</v>
      </c>
      <c r="E135">
        <v>0</v>
      </c>
      <c r="F135">
        <f>COUNTIFS(mdr_rate_cleaned!$A$2:$A$10,B135,mdr_rate_cleaned!$B$2:$B$10,"&lt;"&amp;C135,mdr_rate_cleaned!$F$2:$F$10,"&gt;="&amp;C135)</f>
        <v>1</v>
      </c>
      <c r="G135">
        <v>0</v>
      </c>
      <c r="H135">
        <v>0</v>
      </c>
      <c r="I135" t="s">
        <v>15</v>
      </c>
      <c r="J135" t="s">
        <v>15</v>
      </c>
      <c r="K135">
        <v>0</v>
      </c>
      <c r="L135">
        <v>0</v>
      </c>
    </row>
    <row r="136" spans="1:12" x14ac:dyDescent="0.3">
      <c r="A136" t="s">
        <v>152</v>
      </c>
      <c r="B136" t="s">
        <v>13</v>
      </c>
      <c r="C136">
        <v>1799</v>
      </c>
      <c r="D136">
        <v>34.18</v>
      </c>
      <c r="E136">
        <v>6.15</v>
      </c>
      <c r="F136">
        <f>COUNTIFS(mdr_rate_cleaned!$A$2:$A$10,B136,mdr_rate_cleaned!$B$2:$B$10,"&lt;"&amp;C136,mdr_rate_cleaned!$F$2:$F$10,"&gt;="&amp;C136)</f>
        <v>1</v>
      </c>
      <c r="G136">
        <v>1.9E-2</v>
      </c>
      <c r="H136">
        <v>34.18</v>
      </c>
      <c r="I136" t="s">
        <v>15</v>
      </c>
      <c r="J136" t="s">
        <v>15</v>
      </c>
      <c r="K136">
        <v>6.15</v>
      </c>
      <c r="L136">
        <v>0</v>
      </c>
    </row>
    <row r="137" spans="1:12" x14ac:dyDescent="0.3">
      <c r="A137" t="s">
        <v>153</v>
      </c>
      <c r="B137" t="s">
        <v>39</v>
      </c>
      <c r="C137">
        <v>7999</v>
      </c>
      <c r="D137">
        <v>95.99</v>
      </c>
      <c r="E137">
        <v>17.28</v>
      </c>
      <c r="F137">
        <f>COUNTIFS(mdr_rate_cleaned!$A$2:$A$10,B137,mdr_rate_cleaned!$B$2:$B$10,"&lt;"&amp;C137,mdr_rate_cleaned!$F$2:$F$10,"&gt;="&amp;C137)</f>
        <v>1</v>
      </c>
      <c r="G137">
        <v>1.2E-2</v>
      </c>
      <c r="H137">
        <v>95.99</v>
      </c>
      <c r="I137" t="s">
        <v>15</v>
      </c>
      <c r="J137" t="s">
        <v>15</v>
      </c>
      <c r="K137">
        <v>17.28</v>
      </c>
      <c r="L137">
        <v>0</v>
      </c>
    </row>
    <row r="138" spans="1:12" x14ac:dyDescent="0.3">
      <c r="A138" t="s">
        <v>154</v>
      </c>
      <c r="B138" t="s">
        <v>17</v>
      </c>
      <c r="C138">
        <v>4999</v>
      </c>
      <c r="D138">
        <v>79.98</v>
      </c>
      <c r="E138">
        <v>14.4</v>
      </c>
      <c r="F138">
        <f>COUNTIFS(mdr_rate_cleaned!$A$2:$A$10,B138,mdr_rate_cleaned!$B$2:$B$10,"&lt;"&amp;C138,mdr_rate_cleaned!$F$2:$F$10,"&gt;="&amp;C138)</f>
        <v>1</v>
      </c>
      <c r="G138">
        <v>1.6E-2</v>
      </c>
      <c r="H138">
        <v>79.98</v>
      </c>
      <c r="I138" t="s">
        <v>15</v>
      </c>
      <c r="J138" t="s">
        <v>15</v>
      </c>
      <c r="K138">
        <v>14.4</v>
      </c>
      <c r="L138">
        <v>0</v>
      </c>
    </row>
    <row r="139" spans="1:12" x14ac:dyDescent="0.3">
      <c r="A139" t="s">
        <v>155</v>
      </c>
      <c r="B139" t="s">
        <v>13</v>
      </c>
      <c r="C139">
        <v>948</v>
      </c>
      <c r="D139">
        <v>18.010000000000002</v>
      </c>
      <c r="E139">
        <v>3.24</v>
      </c>
      <c r="F139">
        <f>COUNTIFS(mdr_rate_cleaned!$A$2:$A$10,B139,mdr_rate_cleaned!$B$2:$B$10,"&lt;"&amp;C139,mdr_rate_cleaned!$F$2:$F$10,"&gt;="&amp;C139)</f>
        <v>1</v>
      </c>
      <c r="G139">
        <v>1.9E-2</v>
      </c>
      <c r="H139">
        <v>18.010000000000002</v>
      </c>
      <c r="I139" t="s">
        <v>15</v>
      </c>
      <c r="J139" t="s">
        <v>15</v>
      </c>
      <c r="K139">
        <v>3.24</v>
      </c>
      <c r="L139">
        <v>0</v>
      </c>
    </row>
    <row r="140" spans="1:12" x14ac:dyDescent="0.3">
      <c r="A140" t="s">
        <v>156</v>
      </c>
      <c r="B140" t="s">
        <v>21</v>
      </c>
      <c r="C140">
        <v>15997</v>
      </c>
      <c r="D140">
        <v>47.99</v>
      </c>
      <c r="E140">
        <v>8.64</v>
      </c>
      <c r="F140">
        <f>COUNTIFS(mdr_rate_cleaned!$A$2:$A$10,B140,mdr_rate_cleaned!$B$2:$B$10,"&lt;"&amp;C140,mdr_rate_cleaned!$F$2:$F$10,"&gt;="&amp;C140)</f>
        <v>1</v>
      </c>
      <c r="G140">
        <v>3.0000000000000001E-3</v>
      </c>
      <c r="H140">
        <v>47.99</v>
      </c>
      <c r="I140" t="s">
        <v>15</v>
      </c>
      <c r="J140" t="s">
        <v>15</v>
      </c>
      <c r="K140">
        <v>8.64</v>
      </c>
      <c r="L140">
        <v>0</v>
      </c>
    </row>
    <row r="141" spans="1:12" x14ac:dyDescent="0.3">
      <c r="A141" t="s">
        <v>157</v>
      </c>
      <c r="B141" t="s">
        <v>21</v>
      </c>
      <c r="C141">
        <v>10998</v>
      </c>
      <c r="D141">
        <v>32.99</v>
      </c>
      <c r="E141">
        <v>5.94</v>
      </c>
      <c r="F141">
        <f>COUNTIFS(mdr_rate_cleaned!$A$2:$A$10,B141,mdr_rate_cleaned!$B$2:$B$10,"&lt;"&amp;C141,mdr_rate_cleaned!$F$2:$F$10,"&gt;="&amp;C141)</f>
        <v>1</v>
      </c>
      <c r="G141">
        <v>3.0000000000000001E-3</v>
      </c>
      <c r="H141">
        <v>32.99</v>
      </c>
      <c r="I141" t="s">
        <v>15</v>
      </c>
      <c r="J141" t="s">
        <v>15</v>
      </c>
      <c r="K141">
        <v>5.94</v>
      </c>
      <c r="L141">
        <v>0</v>
      </c>
    </row>
    <row r="142" spans="1:12" x14ac:dyDescent="0.3">
      <c r="A142" t="s">
        <v>158</v>
      </c>
      <c r="B142" t="s">
        <v>39</v>
      </c>
      <c r="C142">
        <v>7999</v>
      </c>
      <c r="D142">
        <v>95.99</v>
      </c>
      <c r="E142">
        <v>17.28</v>
      </c>
      <c r="F142">
        <f>COUNTIFS(mdr_rate_cleaned!$A$2:$A$10,B142,mdr_rate_cleaned!$B$2:$B$10,"&lt;"&amp;C142,mdr_rate_cleaned!$F$2:$F$10,"&gt;="&amp;C142)</f>
        <v>1</v>
      </c>
      <c r="G142">
        <v>1.2E-2</v>
      </c>
      <c r="H142">
        <v>95.99</v>
      </c>
      <c r="I142" t="s">
        <v>15</v>
      </c>
      <c r="J142" t="s">
        <v>15</v>
      </c>
      <c r="K142">
        <v>17.28</v>
      </c>
      <c r="L142">
        <v>0</v>
      </c>
    </row>
    <row r="143" spans="1:12" x14ac:dyDescent="0.3">
      <c r="A143" t="s">
        <v>159</v>
      </c>
      <c r="B143" t="s">
        <v>17</v>
      </c>
      <c r="C143">
        <v>1299</v>
      </c>
      <c r="D143">
        <v>23.38</v>
      </c>
      <c r="E143">
        <v>4.21</v>
      </c>
      <c r="F143">
        <f>COUNTIFS(mdr_rate_cleaned!$A$2:$A$10,B143,mdr_rate_cleaned!$B$2:$B$10,"&lt;"&amp;C143,mdr_rate_cleaned!$F$2:$F$10,"&gt;="&amp;C143)</f>
        <v>1</v>
      </c>
      <c r="G143">
        <v>1.7999999999999999E-2</v>
      </c>
      <c r="H143">
        <v>23.38</v>
      </c>
      <c r="I143" t="s">
        <v>15</v>
      </c>
      <c r="J143" t="s">
        <v>15</v>
      </c>
      <c r="K143">
        <v>4.21</v>
      </c>
      <c r="L143">
        <v>0</v>
      </c>
    </row>
    <row r="144" spans="1:12" x14ac:dyDescent="0.3">
      <c r="A144" t="s">
        <v>160</v>
      </c>
      <c r="B144" t="s">
        <v>17</v>
      </c>
      <c r="C144">
        <v>2298</v>
      </c>
      <c r="D144">
        <v>36.770000000000003</v>
      </c>
      <c r="E144">
        <v>6.62</v>
      </c>
      <c r="F144">
        <f>COUNTIFS(mdr_rate_cleaned!$A$2:$A$10,B144,mdr_rate_cleaned!$B$2:$B$10,"&lt;"&amp;C144,mdr_rate_cleaned!$F$2:$F$10,"&gt;="&amp;C144)</f>
        <v>1</v>
      </c>
      <c r="G144">
        <v>1.6E-2</v>
      </c>
      <c r="H144">
        <v>36.770000000000003</v>
      </c>
      <c r="I144" t="s">
        <v>15</v>
      </c>
      <c r="J144" t="s">
        <v>15</v>
      </c>
      <c r="K144">
        <v>6.62</v>
      </c>
      <c r="L144">
        <v>0</v>
      </c>
    </row>
    <row r="145" spans="1:12" x14ac:dyDescent="0.3">
      <c r="A145" t="s">
        <v>161</v>
      </c>
      <c r="B145" t="s">
        <v>21</v>
      </c>
      <c r="C145">
        <v>299</v>
      </c>
      <c r="D145">
        <v>0</v>
      </c>
      <c r="E145">
        <v>0</v>
      </c>
      <c r="F145">
        <f>COUNTIFS(mdr_rate_cleaned!$A$2:$A$10,B145,mdr_rate_cleaned!$B$2:$B$10,"&lt;"&amp;C145,mdr_rate_cleaned!$F$2:$F$10,"&gt;="&amp;C145)</f>
        <v>1</v>
      </c>
      <c r="G145">
        <v>0</v>
      </c>
      <c r="H145">
        <v>0</v>
      </c>
      <c r="I145" t="s">
        <v>15</v>
      </c>
      <c r="J145" t="s">
        <v>15</v>
      </c>
      <c r="K145">
        <v>0</v>
      </c>
      <c r="L145">
        <v>0</v>
      </c>
    </row>
    <row r="146" spans="1:12" x14ac:dyDescent="0.3">
      <c r="A146" t="s">
        <v>162</v>
      </c>
      <c r="B146" t="s">
        <v>17</v>
      </c>
      <c r="C146">
        <v>3798</v>
      </c>
      <c r="D146">
        <v>60.77</v>
      </c>
      <c r="E146">
        <v>10.94</v>
      </c>
      <c r="F146">
        <f>COUNTIFS(mdr_rate_cleaned!$A$2:$A$10,B146,mdr_rate_cleaned!$B$2:$B$10,"&lt;"&amp;C146,mdr_rate_cleaned!$F$2:$F$10,"&gt;="&amp;C146)</f>
        <v>1</v>
      </c>
      <c r="G146">
        <v>1.6E-2</v>
      </c>
      <c r="H146">
        <v>60.77</v>
      </c>
      <c r="I146" t="s">
        <v>15</v>
      </c>
      <c r="J146" t="s">
        <v>15</v>
      </c>
      <c r="K146">
        <v>10.94</v>
      </c>
      <c r="L146">
        <v>0</v>
      </c>
    </row>
    <row r="147" spans="1:12" x14ac:dyDescent="0.3">
      <c r="A147" t="s">
        <v>163</v>
      </c>
      <c r="B147" t="s">
        <v>21</v>
      </c>
      <c r="C147">
        <v>12797</v>
      </c>
      <c r="D147">
        <v>38.39</v>
      </c>
      <c r="E147">
        <v>6.91</v>
      </c>
      <c r="F147">
        <f>COUNTIFS(mdr_rate_cleaned!$A$2:$A$10,B147,mdr_rate_cleaned!$B$2:$B$10,"&lt;"&amp;C147,mdr_rate_cleaned!$F$2:$F$10,"&gt;="&amp;C147)</f>
        <v>1</v>
      </c>
      <c r="G147">
        <v>3.0000000000000001E-3</v>
      </c>
      <c r="H147">
        <v>38.39</v>
      </c>
      <c r="I147" t="s">
        <v>15</v>
      </c>
      <c r="J147" t="s">
        <v>15</v>
      </c>
      <c r="K147">
        <v>6.91</v>
      </c>
      <c r="L147">
        <v>0</v>
      </c>
    </row>
    <row r="148" spans="1:12" x14ac:dyDescent="0.3">
      <c r="A148" t="s">
        <v>164</v>
      </c>
      <c r="B148" t="s">
        <v>21</v>
      </c>
      <c r="C148">
        <v>4298</v>
      </c>
      <c r="D148">
        <v>12.89</v>
      </c>
      <c r="E148">
        <v>2.3199999999999998</v>
      </c>
      <c r="F148">
        <f>COUNTIFS(mdr_rate_cleaned!$A$2:$A$10,B148,mdr_rate_cleaned!$B$2:$B$10,"&lt;"&amp;C148,mdr_rate_cleaned!$F$2:$F$10,"&gt;="&amp;C148)</f>
        <v>1</v>
      </c>
      <c r="G148">
        <v>3.0000000000000001E-3</v>
      </c>
      <c r="H148">
        <v>12.89</v>
      </c>
      <c r="I148" t="s">
        <v>15</v>
      </c>
      <c r="J148" t="s">
        <v>15</v>
      </c>
      <c r="K148">
        <v>2.3199999999999998</v>
      </c>
      <c r="L148">
        <v>0</v>
      </c>
    </row>
    <row r="149" spans="1:12" x14ac:dyDescent="0.3">
      <c r="A149" t="s">
        <v>165</v>
      </c>
      <c r="B149" t="s">
        <v>21</v>
      </c>
      <c r="C149">
        <v>599</v>
      </c>
      <c r="D149">
        <v>0</v>
      </c>
      <c r="E149">
        <v>0</v>
      </c>
      <c r="F149">
        <f>COUNTIFS(mdr_rate_cleaned!$A$2:$A$10,B149,mdr_rate_cleaned!$B$2:$B$10,"&lt;"&amp;C149,mdr_rate_cleaned!$F$2:$F$10,"&gt;="&amp;C149)</f>
        <v>1</v>
      </c>
      <c r="G149">
        <v>0</v>
      </c>
      <c r="H149">
        <v>0</v>
      </c>
      <c r="I149" t="s">
        <v>15</v>
      </c>
      <c r="J149" t="s">
        <v>15</v>
      </c>
      <c r="K149">
        <v>0</v>
      </c>
      <c r="L149">
        <v>0</v>
      </c>
    </row>
    <row r="150" spans="1:12" x14ac:dyDescent="0.3">
      <c r="A150" t="s">
        <v>166</v>
      </c>
      <c r="B150" t="s">
        <v>21</v>
      </c>
      <c r="C150">
        <v>3499</v>
      </c>
      <c r="D150">
        <v>10.5</v>
      </c>
      <c r="E150">
        <v>1.89</v>
      </c>
      <c r="F150">
        <f>COUNTIFS(mdr_rate_cleaned!$A$2:$A$10,B150,mdr_rate_cleaned!$B$2:$B$10,"&lt;"&amp;C150,mdr_rate_cleaned!$F$2:$F$10,"&gt;="&amp;C150)</f>
        <v>1</v>
      </c>
      <c r="G150">
        <v>3.0000000000000001E-3</v>
      </c>
      <c r="H150">
        <v>10.5</v>
      </c>
      <c r="I150" t="s">
        <v>15</v>
      </c>
      <c r="J150" t="s">
        <v>15</v>
      </c>
      <c r="K150">
        <v>1.89</v>
      </c>
      <c r="L150">
        <v>0</v>
      </c>
    </row>
    <row r="151" spans="1:12" x14ac:dyDescent="0.3">
      <c r="A151" t="s">
        <v>167</v>
      </c>
      <c r="B151" t="s">
        <v>13</v>
      </c>
      <c r="C151">
        <v>7497</v>
      </c>
      <c r="D151">
        <v>127.45</v>
      </c>
      <c r="E151">
        <v>22.94</v>
      </c>
      <c r="F151">
        <f>COUNTIFS(mdr_rate_cleaned!$A$2:$A$10,B151,mdr_rate_cleaned!$B$2:$B$10,"&lt;"&amp;C151,mdr_rate_cleaned!$F$2:$F$10,"&gt;="&amp;C151)</f>
        <v>1</v>
      </c>
      <c r="G151">
        <v>1.7000000000000001E-2</v>
      </c>
      <c r="H151">
        <v>127.45</v>
      </c>
      <c r="I151" t="s">
        <v>15</v>
      </c>
      <c r="J151" t="s">
        <v>15</v>
      </c>
      <c r="K151">
        <v>22.94</v>
      </c>
      <c r="L151">
        <v>0</v>
      </c>
    </row>
    <row r="152" spans="1:12" x14ac:dyDescent="0.3">
      <c r="A152" t="s">
        <v>168</v>
      </c>
      <c r="B152" t="s">
        <v>21</v>
      </c>
      <c r="C152">
        <v>799</v>
      </c>
      <c r="D152">
        <v>2.4</v>
      </c>
      <c r="E152">
        <v>0.43</v>
      </c>
      <c r="F152">
        <f>COUNTIFS(mdr_rate_cleaned!$A$2:$A$10,B152,mdr_rate_cleaned!$B$2:$B$10,"&lt;"&amp;C152,mdr_rate_cleaned!$F$2:$F$10,"&gt;="&amp;C152)</f>
        <v>1</v>
      </c>
      <c r="G152">
        <v>0</v>
      </c>
      <c r="H152">
        <v>0</v>
      </c>
      <c r="I152" t="s">
        <v>14</v>
      </c>
      <c r="J152" t="s">
        <v>15</v>
      </c>
      <c r="K152">
        <v>0</v>
      </c>
      <c r="L152">
        <v>2.83</v>
      </c>
    </row>
    <row r="153" spans="1:12" x14ac:dyDescent="0.3">
      <c r="A153" t="s">
        <v>169</v>
      </c>
      <c r="B153" t="s">
        <v>21</v>
      </c>
      <c r="C153">
        <v>10297</v>
      </c>
      <c r="D153">
        <v>30.89</v>
      </c>
      <c r="E153">
        <v>5.56</v>
      </c>
      <c r="F153">
        <f>COUNTIFS(mdr_rate_cleaned!$A$2:$A$10,B153,mdr_rate_cleaned!$B$2:$B$10,"&lt;"&amp;C153,mdr_rate_cleaned!$F$2:$F$10,"&gt;="&amp;C153)</f>
        <v>1</v>
      </c>
      <c r="G153">
        <v>3.0000000000000001E-3</v>
      </c>
      <c r="H153">
        <v>30.89</v>
      </c>
      <c r="I153" t="s">
        <v>15</v>
      </c>
      <c r="J153" t="s">
        <v>15</v>
      </c>
      <c r="K153">
        <v>5.56</v>
      </c>
      <c r="L153">
        <v>0</v>
      </c>
    </row>
    <row r="154" spans="1:12" x14ac:dyDescent="0.3">
      <c r="A154" t="s">
        <v>170</v>
      </c>
      <c r="B154" t="s">
        <v>17</v>
      </c>
      <c r="C154">
        <v>3499</v>
      </c>
      <c r="D154">
        <v>55.98</v>
      </c>
      <c r="E154">
        <v>10.08</v>
      </c>
      <c r="F154">
        <f>COUNTIFS(mdr_rate_cleaned!$A$2:$A$10,B154,mdr_rate_cleaned!$B$2:$B$10,"&lt;"&amp;C154,mdr_rate_cleaned!$F$2:$F$10,"&gt;="&amp;C154)</f>
        <v>1</v>
      </c>
      <c r="G154">
        <v>1.6E-2</v>
      </c>
      <c r="H154">
        <v>55.98</v>
      </c>
      <c r="I154" t="s">
        <v>15</v>
      </c>
      <c r="J154" t="s">
        <v>15</v>
      </c>
      <c r="K154">
        <v>10.08</v>
      </c>
      <c r="L154">
        <v>0</v>
      </c>
    </row>
    <row r="155" spans="1:12" x14ac:dyDescent="0.3">
      <c r="A155" t="s">
        <v>171</v>
      </c>
      <c r="B155" t="s">
        <v>39</v>
      </c>
      <c r="C155">
        <v>12998</v>
      </c>
      <c r="D155">
        <v>116.98</v>
      </c>
      <c r="E155">
        <v>21.06</v>
      </c>
      <c r="F155">
        <f>COUNTIFS(mdr_rate_cleaned!$A$2:$A$10,B155,mdr_rate_cleaned!$B$2:$B$10,"&lt;"&amp;C155,mdr_rate_cleaned!$F$2:$F$10,"&gt;="&amp;C155)</f>
        <v>1</v>
      </c>
      <c r="G155">
        <v>8.9999999999999993E-3</v>
      </c>
      <c r="H155">
        <v>116.98</v>
      </c>
      <c r="I155" t="s">
        <v>15</v>
      </c>
      <c r="J155" t="s">
        <v>15</v>
      </c>
      <c r="K155">
        <v>21.06</v>
      </c>
      <c r="L155">
        <v>0</v>
      </c>
    </row>
    <row r="156" spans="1:12" x14ac:dyDescent="0.3">
      <c r="A156" t="s">
        <v>172</v>
      </c>
      <c r="B156" t="s">
        <v>21</v>
      </c>
      <c r="C156">
        <v>2999</v>
      </c>
      <c r="D156">
        <v>9</v>
      </c>
      <c r="E156">
        <v>1.62</v>
      </c>
      <c r="F156">
        <f>COUNTIFS(mdr_rate_cleaned!$A$2:$A$10,B156,mdr_rate_cleaned!$B$2:$B$10,"&lt;"&amp;C156,mdr_rate_cleaned!$F$2:$F$10,"&gt;="&amp;C156)</f>
        <v>1</v>
      </c>
      <c r="G156">
        <v>3.0000000000000001E-3</v>
      </c>
      <c r="H156">
        <v>9</v>
      </c>
      <c r="I156" t="s">
        <v>15</v>
      </c>
      <c r="J156" t="s">
        <v>15</v>
      </c>
      <c r="K156">
        <v>1.62</v>
      </c>
      <c r="L156">
        <v>0</v>
      </c>
    </row>
    <row r="157" spans="1:12" x14ac:dyDescent="0.3">
      <c r="A157" t="s">
        <v>173</v>
      </c>
      <c r="B157" t="s">
        <v>21</v>
      </c>
      <c r="C157">
        <v>6798</v>
      </c>
      <c r="D157">
        <v>20.39</v>
      </c>
      <c r="E157">
        <v>3.67</v>
      </c>
      <c r="F157">
        <f>COUNTIFS(mdr_rate_cleaned!$A$2:$A$10,B157,mdr_rate_cleaned!$B$2:$B$10,"&lt;"&amp;C157,mdr_rate_cleaned!$F$2:$F$10,"&gt;="&amp;C157)</f>
        <v>1</v>
      </c>
      <c r="G157">
        <v>3.0000000000000001E-3</v>
      </c>
      <c r="H157">
        <v>20.39</v>
      </c>
      <c r="I157" t="s">
        <v>15</v>
      </c>
      <c r="J157" t="s">
        <v>15</v>
      </c>
      <c r="K157">
        <v>3.67</v>
      </c>
      <c r="L157">
        <v>0</v>
      </c>
    </row>
    <row r="158" spans="1:12" x14ac:dyDescent="0.3">
      <c r="A158" t="s">
        <v>174</v>
      </c>
      <c r="B158" t="s">
        <v>13</v>
      </c>
      <c r="C158">
        <v>3498</v>
      </c>
      <c r="D158">
        <v>83.95</v>
      </c>
      <c r="E158">
        <v>15.11</v>
      </c>
      <c r="F158">
        <f>COUNTIFS(mdr_rate_cleaned!$A$2:$A$10,B158,mdr_rate_cleaned!$B$2:$B$10,"&lt;"&amp;C158,mdr_rate_cleaned!$F$2:$F$10,"&gt;="&amp;C158)</f>
        <v>1</v>
      </c>
      <c r="G158">
        <v>1.7000000000000001E-2</v>
      </c>
      <c r="H158">
        <v>59.47</v>
      </c>
      <c r="I158" t="s">
        <v>14</v>
      </c>
      <c r="J158" t="s">
        <v>15</v>
      </c>
      <c r="K158">
        <v>10.7</v>
      </c>
      <c r="L158">
        <v>28.89</v>
      </c>
    </row>
    <row r="159" spans="1:12" x14ac:dyDescent="0.3">
      <c r="A159" t="s">
        <v>175</v>
      </c>
      <c r="B159" t="s">
        <v>21</v>
      </c>
      <c r="C159">
        <v>9997</v>
      </c>
      <c r="D159">
        <v>29.99</v>
      </c>
      <c r="E159">
        <v>5.4</v>
      </c>
      <c r="F159">
        <f>COUNTIFS(mdr_rate_cleaned!$A$2:$A$10,B159,mdr_rate_cleaned!$B$2:$B$10,"&lt;"&amp;C159,mdr_rate_cleaned!$F$2:$F$10,"&gt;="&amp;C159)</f>
        <v>1</v>
      </c>
      <c r="G159">
        <v>3.0000000000000001E-3</v>
      </c>
      <c r="H159">
        <v>29.99</v>
      </c>
      <c r="I159" t="s">
        <v>15</v>
      </c>
      <c r="J159" t="s">
        <v>15</v>
      </c>
      <c r="K159">
        <v>5.4</v>
      </c>
      <c r="L159">
        <v>0</v>
      </c>
    </row>
    <row r="160" spans="1:12" x14ac:dyDescent="0.3">
      <c r="A160" t="s">
        <v>176</v>
      </c>
      <c r="B160" t="s">
        <v>17</v>
      </c>
      <c r="C160">
        <v>5798</v>
      </c>
      <c r="D160">
        <v>92.77</v>
      </c>
      <c r="E160">
        <v>16.7</v>
      </c>
      <c r="F160">
        <f>COUNTIFS(mdr_rate_cleaned!$A$2:$A$10,B160,mdr_rate_cleaned!$B$2:$B$10,"&lt;"&amp;C160,mdr_rate_cleaned!$F$2:$F$10,"&gt;="&amp;C160)</f>
        <v>1</v>
      </c>
      <c r="G160">
        <v>1.6E-2</v>
      </c>
      <c r="H160">
        <v>92.77</v>
      </c>
      <c r="I160" t="s">
        <v>15</v>
      </c>
      <c r="J160" t="s">
        <v>15</v>
      </c>
      <c r="K160">
        <v>16.7</v>
      </c>
      <c r="L160">
        <v>0</v>
      </c>
    </row>
    <row r="161" spans="1:12" x14ac:dyDescent="0.3">
      <c r="A161" t="s">
        <v>177</v>
      </c>
      <c r="B161" t="s">
        <v>21</v>
      </c>
      <c r="C161">
        <v>499</v>
      </c>
      <c r="D161">
        <v>0</v>
      </c>
      <c r="E161">
        <v>0</v>
      </c>
      <c r="F161">
        <f>COUNTIFS(mdr_rate_cleaned!$A$2:$A$10,B161,mdr_rate_cleaned!$B$2:$B$10,"&lt;"&amp;C161,mdr_rate_cleaned!$F$2:$F$10,"&gt;="&amp;C161)</f>
        <v>1</v>
      </c>
      <c r="G161">
        <v>0</v>
      </c>
      <c r="H161">
        <v>0</v>
      </c>
      <c r="I161" t="s">
        <v>15</v>
      </c>
      <c r="J161" t="s">
        <v>15</v>
      </c>
      <c r="K161">
        <v>0</v>
      </c>
      <c r="L161">
        <v>0</v>
      </c>
    </row>
    <row r="162" spans="1:12" x14ac:dyDescent="0.3">
      <c r="A162" t="s">
        <v>178</v>
      </c>
      <c r="B162" t="s">
        <v>21</v>
      </c>
      <c r="C162">
        <v>1799</v>
      </c>
      <c r="D162">
        <v>0</v>
      </c>
      <c r="E162">
        <v>0</v>
      </c>
      <c r="F162">
        <f>COUNTIFS(mdr_rate_cleaned!$A$2:$A$10,B162,mdr_rate_cleaned!$B$2:$B$10,"&lt;"&amp;C162,mdr_rate_cleaned!$F$2:$F$10,"&gt;="&amp;C162)</f>
        <v>1</v>
      </c>
      <c r="G162">
        <v>0</v>
      </c>
      <c r="H162">
        <v>0</v>
      </c>
      <c r="I162" t="s">
        <v>15</v>
      </c>
      <c r="J162" t="s">
        <v>15</v>
      </c>
      <c r="K162">
        <v>0</v>
      </c>
      <c r="L162">
        <v>0</v>
      </c>
    </row>
    <row r="163" spans="1:12" x14ac:dyDescent="0.3">
      <c r="A163" t="s">
        <v>179</v>
      </c>
      <c r="B163" t="s">
        <v>17</v>
      </c>
      <c r="C163">
        <v>6297</v>
      </c>
      <c r="D163">
        <v>100.75</v>
      </c>
      <c r="E163">
        <v>18.14</v>
      </c>
      <c r="F163">
        <f>COUNTIFS(mdr_rate_cleaned!$A$2:$A$10,B163,mdr_rate_cleaned!$B$2:$B$10,"&lt;"&amp;C163,mdr_rate_cleaned!$F$2:$F$10,"&gt;="&amp;C163)</f>
        <v>1</v>
      </c>
      <c r="G163">
        <v>1.6E-2</v>
      </c>
      <c r="H163">
        <v>100.75</v>
      </c>
      <c r="I163" t="s">
        <v>15</v>
      </c>
      <c r="J163" t="s">
        <v>15</v>
      </c>
      <c r="K163">
        <v>18.14</v>
      </c>
      <c r="L163">
        <v>0</v>
      </c>
    </row>
    <row r="164" spans="1:12" x14ac:dyDescent="0.3">
      <c r="A164" t="s">
        <v>180</v>
      </c>
      <c r="B164" t="s">
        <v>21</v>
      </c>
      <c r="C164">
        <v>4897</v>
      </c>
      <c r="D164">
        <v>14.69</v>
      </c>
      <c r="E164">
        <v>2.64</v>
      </c>
      <c r="F164">
        <f>COUNTIFS(mdr_rate_cleaned!$A$2:$A$10,B164,mdr_rate_cleaned!$B$2:$B$10,"&lt;"&amp;C164,mdr_rate_cleaned!$F$2:$F$10,"&gt;="&amp;C164)</f>
        <v>1</v>
      </c>
      <c r="G164">
        <v>3.0000000000000001E-3</v>
      </c>
      <c r="H164">
        <v>14.69</v>
      </c>
      <c r="I164" t="s">
        <v>15</v>
      </c>
      <c r="J164" t="s">
        <v>15</v>
      </c>
      <c r="K164">
        <v>2.64</v>
      </c>
      <c r="L164">
        <v>0</v>
      </c>
    </row>
    <row r="165" spans="1:12" x14ac:dyDescent="0.3">
      <c r="A165" t="s">
        <v>181</v>
      </c>
      <c r="B165" t="s">
        <v>17</v>
      </c>
      <c r="C165">
        <v>299</v>
      </c>
      <c r="D165">
        <v>5.38</v>
      </c>
      <c r="E165">
        <v>0.97</v>
      </c>
      <c r="F165">
        <f>COUNTIFS(mdr_rate_cleaned!$A$2:$A$10,B165,mdr_rate_cleaned!$B$2:$B$10,"&lt;"&amp;C165,mdr_rate_cleaned!$F$2:$F$10,"&gt;="&amp;C165)</f>
        <v>1</v>
      </c>
      <c r="G165">
        <v>1.7999999999999999E-2</v>
      </c>
      <c r="H165">
        <v>5.38</v>
      </c>
      <c r="I165" t="s">
        <v>15</v>
      </c>
      <c r="J165" t="s">
        <v>15</v>
      </c>
      <c r="K165">
        <v>0.97</v>
      </c>
      <c r="L165">
        <v>0</v>
      </c>
    </row>
    <row r="166" spans="1:12" x14ac:dyDescent="0.3">
      <c r="A166" t="s">
        <v>182</v>
      </c>
      <c r="B166" t="s">
        <v>17</v>
      </c>
      <c r="C166">
        <v>1299</v>
      </c>
      <c r="D166">
        <v>23.38</v>
      </c>
      <c r="E166">
        <v>4.21</v>
      </c>
      <c r="F166">
        <f>COUNTIFS(mdr_rate_cleaned!$A$2:$A$10,B166,mdr_rate_cleaned!$B$2:$B$10,"&lt;"&amp;C166,mdr_rate_cleaned!$F$2:$F$10,"&gt;="&amp;C166)</f>
        <v>1</v>
      </c>
      <c r="G166">
        <v>1.7999999999999999E-2</v>
      </c>
      <c r="H166">
        <v>23.38</v>
      </c>
      <c r="I166" t="s">
        <v>15</v>
      </c>
      <c r="J166" t="s">
        <v>15</v>
      </c>
      <c r="K166">
        <v>4.21</v>
      </c>
      <c r="L166">
        <v>0</v>
      </c>
    </row>
    <row r="167" spans="1:12" x14ac:dyDescent="0.3">
      <c r="A167" t="s">
        <v>183</v>
      </c>
      <c r="B167" t="s">
        <v>17</v>
      </c>
      <c r="C167">
        <v>299</v>
      </c>
      <c r="D167">
        <v>5.38</v>
      </c>
      <c r="E167">
        <v>0.97</v>
      </c>
      <c r="F167">
        <f>COUNTIFS(mdr_rate_cleaned!$A$2:$A$10,B167,mdr_rate_cleaned!$B$2:$B$10,"&lt;"&amp;C167,mdr_rate_cleaned!$F$2:$F$10,"&gt;="&amp;C167)</f>
        <v>1</v>
      </c>
      <c r="G167">
        <v>1.7999999999999999E-2</v>
      </c>
      <c r="H167">
        <v>5.38</v>
      </c>
      <c r="I167" t="s">
        <v>15</v>
      </c>
      <c r="J167" t="s">
        <v>15</v>
      </c>
      <c r="K167">
        <v>0.97</v>
      </c>
      <c r="L167">
        <v>0</v>
      </c>
    </row>
    <row r="168" spans="1:12" x14ac:dyDescent="0.3">
      <c r="A168" t="s">
        <v>184</v>
      </c>
      <c r="B168" t="s">
        <v>17</v>
      </c>
      <c r="C168">
        <v>299</v>
      </c>
      <c r="D168">
        <v>5.38</v>
      </c>
      <c r="E168">
        <v>0.97</v>
      </c>
      <c r="F168">
        <f>COUNTIFS(mdr_rate_cleaned!$A$2:$A$10,B168,mdr_rate_cleaned!$B$2:$B$10,"&lt;"&amp;C168,mdr_rate_cleaned!$F$2:$F$10,"&gt;="&amp;C168)</f>
        <v>1</v>
      </c>
      <c r="G168">
        <v>1.7999999999999999E-2</v>
      </c>
      <c r="H168">
        <v>5.38</v>
      </c>
      <c r="I168" t="s">
        <v>15</v>
      </c>
      <c r="J168" t="s">
        <v>15</v>
      </c>
      <c r="K168">
        <v>0.97</v>
      </c>
      <c r="L168">
        <v>0</v>
      </c>
    </row>
    <row r="169" spans="1:12" x14ac:dyDescent="0.3">
      <c r="A169" t="s">
        <v>185</v>
      </c>
      <c r="B169" t="s">
        <v>21</v>
      </c>
      <c r="C169">
        <v>12797</v>
      </c>
      <c r="D169">
        <v>38.39</v>
      </c>
      <c r="E169">
        <v>6.91</v>
      </c>
      <c r="F169">
        <f>COUNTIFS(mdr_rate_cleaned!$A$2:$A$10,B169,mdr_rate_cleaned!$B$2:$B$10,"&lt;"&amp;C169,mdr_rate_cleaned!$F$2:$F$10,"&gt;="&amp;C169)</f>
        <v>1</v>
      </c>
      <c r="G169">
        <v>3.0000000000000001E-3</v>
      </c>
      <c r="H169">
        <v>38.39</v>
      </c>
      <c r="I169" t="s">
        <v>15</v>
      </c>
      <c r="J169" t="s">
        <v>15</v>
      </c>
      <c r="K169">
        <v>6.91</v>
      </c>
      <c r="L169">
        <v>0</v>
      </c>
    </row>
    <row r="170" spans="1:12" x14ac:dyDescent="0.3">
      <c r="A170" t="s">
        <v>186</v>
      </c>
      <c r="B170" t="s">
        <v>17</v>
      </c>
      <c r="C170">
        <v>1299</v>
      </c>
      <c r="D170">
        <v>23.38</v>
      </c>
      <c r="E170">
        <v>4.21</v>
      </c>
      <c r="F170">
        <f>COUNTIFS(mdr_rate_cleaned!$A$2:$A$10,B170,mdr_rate_cleaned!$B$2:$B$10,"&lt;"&amp;C170,mdr_rate_cleaned!$F$2:$F$10,"&gt;="&amp;C170)</f>
        <v>1</v>
      </c>
      <c r="G170">
        <v>1.7999999999999999E-2</v>
      </c>
      <c r="H170">
        <v>23.38</v>
      </c>
      <c r="I170" t="s">
        <v>15</v>
      </c>
      <c r="J170" t="s">
        <v>15</v>
      </c>
      <c r="K170">
        <v>4.21</v>
      </c>
      <c r="L170">
        <v>0</v>
      </c>
    </row>
    <row r="171" spans="1:12" x14ac:dyDescent="0.3">
      <c r="A171" t="s">
        <v>187</v>
      </c>
      <c r="B171" t="s">
        <v>39</v>
      </c>
      <c r="C171">
        <v>1499</v>
      </c>
      <c r="D171">
        <v>22.49</v>
      </c>
      <c r="E171">
        <v>4.05</v>
      </c>
      <c r="F171">
        <f>COUNTIFS(mdr_rate_cleaned!$A$2:$A$10,B171,mdr_rate_cleaned!$B$2:$B$10,"&lt;"&amp;C171,mdr_rate_cleaned!$F$2:$F$10,"&gt;="&amp;C171)</f>
        <v>1</v>
      </c>
      <c r="G171">
        <v>1.4999999999999999E-2</v>
      </c>
      <c r="H171">
        <v>22.49</v>
      </c>
      <c r="I171" t="s">
        <v>15</v>
      </c>
      <c r="J171" t="s">
        <v>15</v>
      </c>
      <c r="K171">
        <v>4.05</v>
      </c>
      <c r="L171">
        <v>0</v>
      </c>
    </row>
    <row r="172" spans="1:12" x14ac:dyDescent="0.3">
      <c r="A172" t="s">
        <v>188</v>
      </c>
      <c r="B172" t="s">
        <v>21</v>
      </c>
      <c r="C172">
        <v>1298</v>
      </c>
      <c r="D172">
        <v>0</v>
      </c>
      <c r="E172">
        <v>0</v>
      </c>
      <c r="F172">
        <f>COUNTIFS(mdr_rate_cleaned!$A$2:$A$10,B172,mdr_rate_cleaned!$B$2:$B$10,"&lt;"&amp;C172,mdr_rate_cleaned!$F$2:$F$10,"&gt;="&amp;C172)</f>
        <v>1</v>
      </c>
      <c r="G172">
        <v>0</v>
      </c>
      <c r="H172">
        <v>0</v>
      </c>
      <c r="I172" t="s">
        <v>15</v>
      </c>
      <c r="J172" t="s">
        <v>15</v>
      </c>
      <c r="K172">
        <v>0</v>
      </c>
      <c r="L172">
        <v>0</v>
      </c>
    </row>
    <row r="173" spans="1:12" x14ac:dyDescent="0.3">
      <c r="A173" t="s">
        <v>189</v>
      </c>
      <c r="B173" t="s">
        <v>21</v>
      </c>
      <c r="C173">
        <v>499</v>
      </c>
      <c r="D173">
        <v>0</v>
      </c>
      <c r="E173">
        <v>0</v>
      </c>
      <c r="F173">
        <f>COUNTIFS(mdr_rate_cleaned!$A$2:$A$10,B173,mdr_rate_cleaned!$B$2:$B$10,"&lt;"&amp;C173,mdr_rate_cleaned!$F$2:$F$10,"&gt;="&amp;C173)</f>
        <v>1</v>
      </c>
      <c r="G173">
        <v>0</v>
      </c>
      <c r="H173">
        <v>0</v>
      </c>
      <c r="I173" t="s">
        <v>15</v>
      </c>
      <c r="J173" t="s">
        <v>15</v>
      </c>
      <c r="K173">
        <v>0</v>
      </c>
      <c r="L173">
        <v>0</v>
      </c>
    </row>
    <row r="174" spans="1:12" x14ac:dyDescent="0.3">
      <c r="A174" t="s">
        <v>190</v>
      </c>
      <c r="B174" t="s">
        <v>39</v>
      </c>
      <c r="C174">
        <v>848</v>
      </c>
      <c r="D174">
        <v>12.72</v>
      </c>
      <c r="E174">
        <v>2.29</v>
      </c>
      <c r="F174">
        <f>COUNTIFS(mdr_rate_cleaned!$A$2:$A$10,B174,mdr_rate_cleaned!$B$2:$B$10,"&lt;"&amp;C174,mdr_rate_cleaned!$F$2:$F$10,"&gt;="&amp;C174)</f>
        <v>1</v>
      </c>
      <c r="G174">
        <v>1.4999999999999999E-2</v>
      </c>
      <c r="H174">
        <v>12.72</v>
      </c>
      <c r="I174" t="s">
        <v>15</v>
      </c>
      <c r="J174" t="s">
        <v>15</v>
      </c>
      <c r="K174">
        <v>2.29</v>
      </c>
      <c r="L174">
        <v>0</v>
      </c>
    </row>
    <row r="175" spans="1:12" x14ac:dyDescent="0.3">
      <c r="A175" t="s">
        <v>191</v>
      </c>
      <c r="B175" t="s">
        <v>21</v>
      </c>
      <c r="C175">
        <v>1799</v>
      </c>
      <c r="D175">
        <v>0</v>
      </c>
      <c r="E175">
        <v>0</v>
      </c>
      <c r="F175">
        <f>COUNTIFS(mdr_rate_cleaned!$A$2:$A$10,B175,mdr_rate_cleaned!$B$2:$B$10,"&lt;"&amp;C175,mdr_rate_cleaned!$F$2:$F$10,"&gt;="&amp;C175)</f>
        <v>1</v>
      </c>
      <c r="G175">
        <v>0</v>
      </c>
      <c r="H175">
        <v>0</v>
      </c>
      <c r="I175" t="s">
        <v>15</v>
      </c>
      <c r="J175" t="s">
        <v>15</v>
      </c>
      <c r="K175">
        <v>0</v>
      </c>
      <c r="L175">
        <v>0</v>
      </c>
    </row>
    <row r="176" spans="1:12" x14ac:dyDescent="0.3">
      <c r="A176" t="s">
        <v>192</v>
      </c>
      <c r="B176" t="s">
        <v>39</v>
      </c>
      <c r="C176">
        <v>7999</v>
      </c>
      <c r="D176">
        <v>95.99</v>
      </c>
      <c r="E176">
        <v>17.28</v>
      </c>
      <c r="F176">
        <f>COUNTIFS(mdr_rate_cleaned!$A$2:$A$10,B176,mdr_rate_cleaned!$B$2:$B$10,"&lt;"&amp;C176,mdr_rate_cleaned!$F$2:$F$10,"&gt;="&amp;C176)</f>
        <v>1</v>
      </c>
      <c r="G176">
        <v>1.2E-2</v>
      </c>
      <c r="H176">
        <v>95.99</v>
      </c>
      <c r="I176" t="s">
        <v>15</v>
      </c>
      <c r="J176" t="s">
        <v>15</v>
      </c>
      <c r="K176">
        <v>17.28</v>
      </c>
      <c r="L176">
        <v>0</v>
      </c>
    </row>
    <row r="177" spans="1:12" x14ac:dyDescent="0.3">
      <c r="A177" t="s">
        <v>193</v>
      </c>
      <c r="B177" t="s">
        <v>21</v>
      </c>
      <c r="C177">
        <v>7999</v>
      </c>
      <c r="D177">
        <v>24</v>
      </c>
      <c r="E177">
        <v>4.32</v>
      </c>
      <c r="F177">
        <f>COUNTIFS(mdr_rate_cleaned!$A$2:$A$10,B177,mdr_rate_cleaned!$B$2:$B$10,"&lt;"&amp;C177,mdr_rate_cleaned!$F$2:$F$10,"&gt;="&amp;C177)</f>
        <v>1</v>
      </c>
      <c r="G177">
        <v>3.0000000000000001E-3</v>
      </c>
      <c r="H177">
        <v>24</v>
      </c>
      <c r="I177" t="s">
        <v>15</v>
      </c>
      <c r="J177" t="s">
        <v>15</v>
      </c>
      <c r="K177">
        <v>4.32</v>
      </c>
      <c r="L177">
        <v>0</v>
      </c>
    </row>
    <row r="178" spans="1:12" x14ac:dyDescent="0.3">
      <c r="A178" t="s">
        <v>194</v>
      </c>
      <c r="B178" t="s">
        <v>21</v>
      </c>
      <c r="C178">
        <v>1098</v>
      </c>
      <c r="D178">
        <v>0</v>
      </c>
      <c r="E178">
        <v>0</v>
      </c>
      <c r="F178">
        <f>COUNTIFS(mdr_rate_cleaned!$A$2:$A$10,B178,mdr_rate_cleaned!$B$2:$B$10,"&lt;"&amp;C178,mdr_rate_cleaned!$F$2:$F$10,"&gt;="&amp;C178)</f>
        <v>1</v>
      </c>
      <c r="G178">
        <v>0</v>
      </c>
      <c r="H178">
        <v>0</v>
      </c>
      <c r="I178" t="s">
        <v>15</v>
      </c>
      <c r="J178" t="s">
        <v>15</v>
      </c>
      <c r="K178">
        <v>0</v>
      </c>
      <c r="L178">
        <v>0</v>
      </c>
    </row>
    <row r="179" spans="1:12" x14ac:dyDescent="0.3">
      <c r="A179" t="s">
        <v>195</v>
      </c>
      <c r="B179" t="s">
        <v>21</v>
      </c>
      <c r="C179">
        <v>599</v>
      </c>
      <c r="D179">
        <v>0</v>
      </c>
      <c r="E179">
        <v>0</v>
      </c>
      <c r="F179">
        <f>COUNTIFS(mdr_rate_cleaned!$A$2:$A$10,B179,mdr_rate_cleaned!$B$2:$B$10,"&lt;"&amp;C179,mdr_rate_cleaned!$F$2:$F$10,"&gt;="&amp;C179)</f>
        <v>1</v>
      </c>
      <c r="G179">
        <v>0</v>
      </c>
      <c r="H179">
        <v>0</v>
      </c>
      <c r="I179" t="s">
        <v>15</v>
      </c>
      <c r="J179" t="s">
        <v>15</v>
      </c>
      <c r="K179">
        <v>0</v>
      </c>
      <c r="L179">
        <v>0</v>
      </c>
    </row>
    <row r="180" spans="1:12" x14ac:dyDescent="0.3">
      <c r="A180" t="s">
        <v>196</v>
      </c>
      <c r="B180" t="s">
        <v>21</v>
      </c>
      <c r="C180">
        <v>1598</v>
      </c>
      <c r="D180">
        <v>0</v>
      </c>
      <c r="E180">
        <v>0</v>
      </c>
      <c r="F180">
        <f>COUNTIFS(mdr_rate_cleaned!$A$2:$A$10,B180,mdr_rate_cleaned!$B$2:$B$10,"&lt;"&amp;C180,mdr_rate_cleaned!$F$2:$F$10,"&gt;="&amp;C180)</f>
        <v>1</v>
      </c>
      <c r="G180">
        <v>0</v>
      </c>
      <c r="H180">
        <v>0</v>
      </c>
      <c r="I180" t="s">
        <v>15</v>
      </c>
      <c r="J180" t="s">
        <v>15</v>
      </c>
      <c r="K180">
        <v>0</v>
      </c>
      <c r="L180">
        <v>0</v>
      </c>
    </row>
    <row r="181" spans="1:12" x14ac:dyDescent="0.3">
      <c r="A181" t="s">
        <v>197</v>
      </c>
      <c r="B181" t="s">
        <v>13</v>
      </c>
      <c r="C181">
        <v>799</v>
      </c>
      <c r="D181">
        <v>15.18</v>
      </c>
      <c r="E181">
        <v>2.73</v>
      </c>
      <c r="F181">
        <f>COUNTIFS(mdr_rate_cleaned!$A$2:$A$10,B181,mdr_rate_cleaned!$B$2:$B$10,"&lt;"&amp;C181,mdr_rate_cleaned!$F$2:$F$10,"&gt;="&amp;C181)</f>
        <v>1</v>
      </c>
      <c r="G181">
        <v>1.9E-2</v>
      </c>
      <c r="H181">
        <v>15.18</v>
      </c>
      <c r="I181" t="s">
        <v>15</v>
      </c>
      <c r="J181" t="s">
        <v>15</v>
      </c>
      <c r="K181">
        <v>2.73</v>
      </c>
      <c r="L181">
        <v>0</v>
      </c>
    </row>
    <row r="182" spans="1:12" x14ac:dyDescent="0.3">
      <c r="A182" t="s">
        <v>198</v>
      </c>
      <c r="B182" t="s">
        <v>17</v>
      </c>
      <c r="C182">
        <v>999</v>
      </c>
      <c r="D182">
        <v>17.98</v>
      </c>
      <c r="E182">
        <v>3.24</v>
      </c>
      <c r="F182">
        <f>COUNTIFS(mdr_rate_cleaned!$A$2:$A$10,B182,mdr_rate_cleaned!$B$2:$B$10,"&lt;"&amp;C182,mdr_rate_cleaned!$F$2:$F$10,"&gt;="&amp;C182)</f>
        <v>1</v>
      </c>
      <c r="G182">
        <v>1.7999999999999999E-2</v>
      </c>
      <c r="H182">
        <v>17.98</v>
      </c>
      <c r="I182" t="s">
        <v>15</v>
      </c>
      <c r="J182" t="s">
        <v>15</v>
      </c>
      <c r="K182">
        <v>3.24</v>
      </c>
      <c r="L182">
        <v>0</v>
      </c>
    </row>
    <row r="183" spans="1:12" x14ac:dyDescent="0.3">
      <c r="A183" t="s">
        <v>199</v>
      </c>
      <c r="B183" t="s">
        <v>21</v>
      </c>
      <c r="C183">
        <v>349</v>
      </c>
      <c r="D183">
        <v>0</v>
      </c>
      <c r="E183">
        <v>0</v>
      </c>
      <c r="F183">
        <f>COUNTIFS(mdr_rate_cleaned!$A$2:$A$10,B183,mdr_rate_cleaned!$B$2:$B$10,"&lt;"&amp;C183,mdr_rate_cleaned!$F$2:$F$10,"&gt;="&amp;C183)</f>
        <v>1</v>
      </c>
      <c r="G183">
        <v>0</v>
      </c>
      <c r="H183">
        <v>0</v>
      </c>
      <c r="I183" t="s">
        <v>15</v>
      </c>
      <c r="J183" t="s">
        <v>15</v>
      </c>
      <c r="K183">
        <v>0</v>
      </c>
      <c r="L183">
        <v>0</v>
      </c>
    </row>
    <row r="184" spans="1:12" x14ac:dyDescent="0.3">
      <c r="A184" t="s">
        <v>200</v>
      </c>
      <c r="B184" t="s">
        <v>21</v>
      </c>
      <c r="C184">
        <v>1499</v>
      </c>
      <c r="D184">
        <v>0</v>
      </c>
      <c r="E184">
        <v>0</v>
      </c>
      <c r="F184">
        <f>COUNTIFS(mdr_rate_cleaned!$A$2:$A$10,B184,mdr_rate_cleaned!$B$2:$B$10,"&lt;"&amp;C184,mdr_rate_cleaned!$F$2:$F$10,"&gt;="&amp;C184)</f>
        <v>1</v>
      </c>
      <c r="G184">
        <v>0</v>
      </c>
      <c r="H184">
        <v>0</v>
      </c>
      <c r="I184" t="s">
        <v>15</v>
      </c>
      <c r="J184" t="s">
        <v>15</v>
      </c>
      <c r="K184">
        <v>0</v>
      </c>
      <c r="L184">
        <v>0</v>
      </c>
    </row>
    <row r="185" spans="1:12" x14ac:dyDescent="0.3">
      <c r="A185" t="s">
        <v>201</v>
      </c>
      <c r="B185" t="s">
        <v>13</v>
      </c>
      <c r="C185">
        <v>2398</v>
      </c>
      <c r="D185">
        <v>57.55</v>
      </c>
      <c r="E185">
        <v>10.36</v>
      </c>
      <c r="F185">
        <f>COUNTIFS(mdr_rate_cleaned!$A$2:$A$10,B185,mdr_rate_cleaned!$B$2:$B$10,"&lt;"&amp;C185,mdr_rate_cleaned!$F$2:$F$10,"&gt;="&amp;C185)</f>
        <v>1</v>
      </c>
      <c r="G185">
        <v>1.7000000000000001E-2</v>
      </c>
      <c r="H185">
        <v>40.770000000000003</v>
      </c>
      <c r="I185" t="s">
        <v>14</v>
      </c>
      <c r="J185" t="s">
        <v>15</v>
      </c>
      <c r="K185">
        <v>7.34</v>
      </c>
      <c r="L185">
        <v>19.8</v>
      </c>
    </row>
    <row r="186" spans="1:12" x14ac:dyDescent="0.3">
      <c r="A186" t="s">
        <v>202</v>
      </c>
      <c r="B186" t="s">
        <v>13</v>
      </c>
      <c r="C186">
        <v>1998</v>
      </c>
      <c r="D186">
        <v>37.96</v>
      </c>
      <c r="E186">
        <v>6.83</v>
      </c>
      <c r="F186">
        <f>COUNTIFS(mdr_rate_cleaned!$A$2:$A$10,B186,mdr_rate_cleaned!$B$2:$B$10,"&lt;"&amp;C186,mdr_rate_cleaned!$F$2:$F$10,"&gt;="&amp;C186)</f>
        <v>1</v>
      </c>
      <c r="G186">
        <v>1.9E-2</v>
      </c>
      <c r="H186">
        <v>37.96</v>
      </c>
      <c r="I186" t="s">
        <v>15</v>
      </c>
      <c r="J186" t="s">
        <v>15</v>
      </c>
      <c r="K186">
        <v>6.83</v>
      </c>
      <c r="L186">
        <v>0</v>
      </c>
    </row>
    <row r="187" spans="1:12" x14ac:dyDescent="0.3">
      <c r="A187" t="s">
        <v>203</v>
      </c>
      <c r="B187" t="s">
        <v>17</v>
      </c>
      <c r="C187">
        <v>4999</v>
      </c>
      <c r="D187">
        <v>79.98</v>
      </c>
      <c r="E187">
        <v>14.4</v>
      </c>
      <c r="F187">
        <f>COUNTIFS(mdr_rate_cleaned!$A$2:$A$10,B187,mdr_rate_cleaned!$B$2:$B$10,"&lt;"&amp;C187,mdr_rate_cleaned!$F$2:$F$10,"&gt;="&amp;C187)</f>
        <v>1</v>
      </c>
      <c r="G187">
        <v>1.6E-2</v>
      </c>
      <c r="H187">
        <v>79.98</v>
      </c>
      <c r="I187" t="s">
        <v>15</v>
      </c>
      <c r="J187" t="s">
        <v>15</v>
      </c>
      <c r="K187">
        <v>14.4</v>
      </c>
      <c r="L187">
        <v>0</v>
      </c>
    </row>
    <row r="188" spans="1:12" x14ac:dyDescent="0.3">
      <c r="A188" t="s">
        <v>204</v>
      </c>
      <c r="B188" t="s">
        <v>21</v>
      </c>
      <c r="C188">
        <v>7797</v>
      </c>
      <c r="D188">
        <v>23.39</v>
      </c>
      <c r="E188">
        <v>4.21</v>
      </c>
      <c r="F188">
        <f>COUNTIFS(mdr_rate_cleaned!$A$2:$A$10,B188,mdr_rate_cleaned!$B$2:$B$10,"&lt;"&amp;C188,mdr_rate_cleaned!$F$2:$F$10,"&gt;="&amp;C188)</f>
        <v>1</v>
      </c>
      <c r="G188">
        <v>3.0000000000000001E-3</v>
      </c>
      <c r="H188">
        <v>23.39</v>
      </c>
      <c r="I188" t="s">
        <v>15</v>
      </c>
      <c r="J188" t="s">
        <v>15</v>
      </c>
      <c r="K188">
        <v>4.21</v>
      </c>
      <c r="L188">
        <v>0</v>
      </c>
    </row>
    <row r="189" spans="1:12" x14ac:dyDescent="0.3">
      <c r="A189" t="s">
        <v>205</v>
      </c>
      <c r="B189" t="s">
        <v>21</v>
      </c>
      <c r="C189">
        <v>1798</v>
      </c>
      <c r="D189">
        <v>0</v>
      </c>
      <c r="E189">
        <v>0</v>
      </c>
      <c r="F189">
        <f>COUNTIFS(mdr_rate_cleaned!$A$2:$A$10,B189,mdr_rate_cleaned!$B$2:$B$10,"&lt;"&amp;C189,mdr_rate_cleaned!$F$2:$F$10,"&gt;="&amp;C189)</f>
        <v>1</v>
      </c>
      <c r="G189">
        <v>0</v>
      </c>
      <c r="H189">
        <v>0</v>
      </c>
      <c r="I189" t="s">
        <v>15</v>
      </c>
      <c r="J189" t="s">
        <v>15</v>
      </c>
      <c r="K189">
        <v>0</v>
      </c>
      <c r="L189">
        <v>0</v>
      </c>
    </row>
    <row r="190" spans="1:12" x14ac:dyDescent="0.3">
      <c r="A190" t="s">
        <v>206</v>
      </c>
      <c r="B190" t="s">
        <v>17</v>
      </c>
      <c r="C190">
        <v>499</v>
      </c>
      <c r="D190">
        <v>8.98</v>
      </c>
      <c r="E190">
        <v>1.62</v>
      </c>
      <c r="F190">
        <f>COUNTIFS(mdr_rate_cleaned!$A$2:$A$10,B190,mdr_rate_cleaned!$B$2:$B$10,"&lt;"&amp;C190,mdr_rate_cleaned!$F$2:$F$10,"&gt;="&amp;C190)</f>
        <v>1</v>
      </c>
      <c r="G190">
        <v>1.7999999999999999E-2</v>
      </c>
      <c r="H190">
        <v>8.98</v>
      </c>
      <c r="I190" t="s">
        <v>15</v>
      </c>
      <c r="J190" t="s">
        <v>15</v>
      </c>
      <c r="K190">
        <v>1.62</v>
      </c>
      <c r="L190">
        <v>0</v>
      </c>
    </row>
    <row r="191" spans="1:12" x14ac:dyDescent="0.3">
      <c r="A191" t="s">
        <v>207</v>
      </c>
      <c r="B191" t="s">
        <v>17</v>
      </c>
      <c r="C191">
        <v>1148</v>
      </c>
      <c r="D191">
        <v>20.66</v>
      </c>
      <c r="E191">
        <v>3.72</v>
      </c>
      <c r="F191">
        <f>COUNTIFS(mdr_rate_cleaned!$A$2:$A$10,B191,mdr_rate_cleaned!$B$2:$B$10,"&lt;"&amp;C191,mdr_rate_cleaned!$F$2:$F$10,"&gt;="&amp;C191)</f>
        <v>1</v>
      </c>
      <c r="G191">
        <v>1.7999999999999999E-2</v>
      </c>
      <c r="H191">
        <v>20.66</v>
      </c>
      <c r="I191" t="s">
        <v>15</v>
      </c>
      <c r="J191" t="s">
        <v>15</v>
      </c>
      <c r="K191">
        <v>3.72</v>
      </c>
      <c r="L191">
        <v>0</v>
      </c>
    </row>
    <row r="192" spans="1:12" x14ac:dyDescent="0.3">
      <c r="A192" t="s">
        <v>208</v>
      </c>
      <c r="B192" t="s">
        <v>17</v>
      </c>
      <c r="C192">
        <v>5297</v>
      </c>
      <c r="D192">
        <v>84.75</v>
      </c>
      <c r="E192">
        <v>15.26</v>
      </c>
      <c r="F192">
        <f>COUNTIFS(mdr_rate_cleaned!$A$2:$A$10,B192,mdr_rate_cleaned!$B$2:$B$10,"&lt;"&amp;C192,mdr_rate_cleaned!$F$2:$F$10,"&gt;="&amp;C192)</f>
        <v>1</v>
      </c>
      <c r="G192">
        <v>1.6E-2</v>
      </c>
      <c r="H192">
        <v>84.75</v>
      </c>
      <c r="I192" t="s">
        <v>15</v>
      </c>
      <c r="J192" t="s">
        <v>15</v>
      </c>
      <c r="K192">
        <v>15.26</v>
      </c>
      <c r="L192">
        <v>0</v>
      </c>
    </row>
    <row r="193" spans="1:12" x14ac:dyDescent="0.3">
      <c r="A193" t="s">
        <v>209</v>
      </c>
      <c r="B193" t="s">
        <v>21</v>
      </c>
      <c r="C193">
        <v>5998</v>
      </c>
      <c r="D193">
        <v>17.989999999999998</v>
      </c>
      <c r="E193">
        <v>3.24</v>
      </c>
      <c r="F193">
        <f>COUNTIFS(mdr_rate_cleaned!$A$2:$A$10,B193,mdr_rate_cleaned!$B$2:$B$10,"&lt;"&amp;C193,mdr_rate_cleaned!$F$2:$F$10,"&gt;="&amp;C193)</f>
        <v>1</v>
      </c>
      <c r="G193">
        <v>3.0000000000000001E-3</v>
      </c>
      <c r="H193">
        <v>17.989999999999998</v>
      </c>
      <c r="I193" t="s">
        <v>15</v>
      </c>
      <c r="J193" t="s">
        <v>15</v>
      </c>
      <c r="K193">
        <v>3.24</v>
      </c>
      <c r="L193">
        <v>0</v>
      </c>
    </row>
    <row r="194" spans="1:12" x14ac:dyDescent="0.3">
      <c r="A194" t="s">
        <v>210</v>
      </c>
      <c r="B194" t="s">
        <v>21</v>
      </c>
      <c r="C194">
        <v>1798</v>
      </c>
      <c r="D194">
        <v>0</v>
      </c>
      <c r="E194">
        <v>0</v>
      </c>
      <c r="F194">
        <f>COUNTIFS(mdr_rate_cleaned!$A$2:$A$10,B194,mdr_rate_cleaned!$B$2:$B$10,"&lt;"&amp;C194,mdr_rate_cleaned!$F$2:$F$10,"&gt;="&amp;C194)</f>
        <v>1</v>
      </c>
      <c r="G194">
        <v>0</v>
      </c>
      <c r="H194">
        <v>0</v>
      </c>
      <c r="I194" t="s">
        <v>15</v>
      </c>
      <c r="J194" t="s">
        <v>15</v>
      </c>
      <c r="K194">
        <v>0</v>
      </c>
      <c r="L194">
        <v>0</v>
      </c>
    </row>
    <row r="195" spans="1:12" x14ac:dyDescent="0.3">
      <c r="A195" t="s">
        <v>211</v>
      </c>
      <c r="B195" t="s">
        <v>13</v>
      </c>
      <c r="C195">
        <v>3998</v>
      </c>
      <c r="D195">
        <v>67.97</v>
      </c>
      <c r="E195">
        <v>12.23</v>
      </c>
      <c r="F195">
        <f>COUNTIFS(mdr_rate_cleaned!$A$2:$A$10,B195,mdr_rate_cleaned!$B$2:$B$10,"&lt;"&amp;C195,mdr_rate_cleaned!$F$2:$F$10,"&gt;="&amp;C195)</f>
        <v>1</v>
      </c>
      <c r="G195">
        <v>1.7000000000000001E-2</v>
      </c>
      <c r="H195">
        <v>67.97</v>
      </c>
      <c r="I195" t="s">
        <v>15</v>
      </c>
      <c r="J195" t="s">
        <v>15</v>
      </c>
      <c r="K195">
        <v>12.23</v>
      </c>
      <c r="L195">
        <v>0</v>
      </c>
    </row>
    <row r="196" spans="1:12" x14ac:dyDescent="0.3">
      <c r="A196" t="s">
        <v>212</v>
      </c>
      <c r="B196" t="s">
        <v>13</v>
      </c>
      <c r="C196">
        <v>3597</v>
      </c>
      <c r="D196">
        <v>61.15</v>
      </c>
      <c r="E196">
        <v>11.01</v>
      </c>
      <c r="F196">
        <f>COUNTIFS(mdr_rate_cleaned!$A$2:$A$10,B196,mdr_rate_cleaned!$B$2:$B$10,"&lt;"&amp;C196,mdr_rate_cleaned!$F$2:$F$10,"&gt;="&amp;C196)</f>
        <v>1</v>
      </c>
      <c r="G196">
        <v>1.7000000000000001E-2</v>
      </c>
      <c r="H196">
        <v>61.15</v>
      </c>
      <c r="I196" t="s">
        <v>15</v>
      </c>
      <c r="J196" t="s">
        <v>15</v>
      </c>
      <c r="K196">
        <v>11.01</v>
      </c>
      <c r="L196">
        <v>0</v>
      </c>
    </row>
    <row r="197" spans="1:12" x14ac:dyDescent="0.3">
      <c r="A197" t="s">
        <v>213</v>
      </c>
      <c r="B197" t="s">
        <v>17</v>
      </c>
      <c r="C197">
        <v>2798</v>
      </c>
      <c r="D197">
        <v>44.77</v>
      </c>
      <c r="E197">
        <v>8.06</v>
      </c>
      <c r="F197">
        <f>COUNTIFS(mdr_rate_cleaned!$A$2:$A$10,B197,mdr_rate_cleaned!$B$2:$B$10,"&lt;"&amp;C197,mdr_rate_cleaned!$F$2:$F$10,"&gt;="&amp;C197)</f>
        <v>1</v>
      </c>
      <c r="G197">
        <v>1.6E-2</v>
      </c>
      <c r="H197">
        <v>44.77</v>
      </c>
      <c r="I197" t="s">
        <v>15</v>
      </c>
      <c r="J197" t="s">
        <v>15</v>
      </c>
      <c r="K197">
        <v>8.06</v>
      </c>
      <c r="L197">
        <v>0</v>
      </c>
    </row>
    <row r="198" spans="1:12" x14ac:dyDescent="0.3">
      <c r="A198" t="s">
        <v>214</v>
      </c>
      <c r="B198" t="s">
        <v>17</v>
      </c>
      <c r="C198">
        <v>5598</v>
      </c>
      <c r="D198">
        <v>89.57</v>
      </c>
      <c r="E198">
        <v>16.12</v>
      </c>
      <c r="F198">
        <f>COUNTIFS(mdr_rate_cleaned!$A$2:$A$10,B198,mdr_rate_cleaned!$B$2:$B$10,"&lt;"&amp;C198,mdr_rate_cleaned!$F$2:$F$10,"&gt;="&amp;C198)</f>
        <v>1</v>
      </c>
      <c r="G198">
        <v>1.6E-2</v>
      </c>
      <c r="H198">
        <v>89.57</v>
      </c>
      <c r="I198" t="s">
        <v>15</v>
      </c>
      <c r="J198" t="s">
        <v>15</v>
      </c>
      <c r="K198">
        <v>16.12</v>
      </c>
      <c r="L198">
        <v>0</v>
      </c>
    </row>
    <row r="199" spans="1:12" x14ac:dyDescent="0.3">
      <c r="A199" t="s">
        <v>215</v>
      </c>
      <c r="B199" t="s">
        <v>13</v>
      </c>
      <c r="C199">
        <v>2798</v>
      </c>
      <c r="D199">
        <v>47.57</v>
      </c>
      <c r="E199">
        <v>8.56</v>
      </c>
      <c r="F199">
        <f>COUNTIFS(mdr_rate_cleaned!$A$2:$A$10,B199,mdr_rate_cleaned!$B$2:$B$10,"&lt;"&amp;C199,mdr_rate_cleaned!$F$2:$F$10,"&gt;="&amp;C199)</f>
        <v>1</v>
      </c>
      <c r="G199">
        <v>1.7000000000000001E-2</v>
      </c>
      <c r="H199">
        <v>47.57</v>
      </c>
      <c r="I199" t="s">
        <v>15</v>
      </c>
      <c r="J199" t="s">
        <v>15</v>
      </c>
      <c r="K199">
        <v>8.56</v>
      </c>
      <c r="L199">
        <v>0</v>
      </c>
    </row>
    <row r="200" spans="1:12" x14ac:dyDescent="0.3">
      <c r="A200" t="s">
        <v>216</v>
      </c>
      <c r="B200" t="s">
        <v>17</v>
      </c>
      <c r="C200">
        <v>2848</v>
      </c>
      <c r="D200">
        <v>45.57</v>
      </c>
      <c r="E200">
        <v>8.1999999999999993</v>
      </c>
      <c r="F200">
        <f>COUNTIFS(mdr_rate_cleaned!$A$2:$A$10,B200,mdr_rate_cleaned!$B$2:$B$10,"&lt;"&amp;C200,mdr_rate_cleaned!$F$2:$F$10,"&gt;="&amp;C200)</f>
        <v>1</v>
      </c>
      <c r="G200">
        <v>1.6E-2</v>
      </c>
      <c r="H200">
        <v>45.57</v>
      </c>
      <c r="I200" t="s">
        <v>15</v>
      </c>
      <c r="J200" t="s">
        <v>15</v>
      </c>
      <c r="K200">
        <v>8.1999999999999993</v>
      </c>
      <c r="L200">
        <v>0</v>
      </c>
    </row>
    <row r="201" spans="1:12" x14ac:dyDescent="0.3">
      <c r="A201" t="s">
        <v>217</v>
      </c>
      <c r="B201" t="s">
        <v>21</v>
      </c>
      <c r="C201">
        <v>1848</v>
      </c>
      <c r="D201">
        <v>0</v>
      </c>
      <c r="E201">
        <v>0</v>
      </c>
      <c r="F201">
        <f>COUNTIFS(mdr_rate_cleaned!$A$2:$A$10,B201,mdr_rate_cleaned!$B$2:$B$10,"&lt;"&amp;C201,mdr_rate_cleaned!$F$2:$F$10,"&gt;="&amp;C201)</f>
        <v>1</v>
      </c>
      <c r="G201">
        <v>0</v>
      </c>
      <c r="H201">
        <v>0</v>
      </c>
      <c r="I201" t="s">
        <v>15</v>
      </c>
      <c r="J201" t="s">
        <v>15</v>
      </c>
      <c r="K201">
        <v>0</v>
      </c>
      <c r="L201">
        <v>0</v>
      </c>
    </row>
    <row r="202" spans="1:12" x14ac:dyDescent="0.3">
      <c r="A202" t="s">
        <v>218</v>
      </c>
      <c r="B202" t="s">
        <v>17</v>
      </c>
      <c r="C202">
        <v>8298</v>
      </c>
      <c r="D202">
        <v>132.77000000000001</v>
      </c>
      <c r="E202">
        <v>23.9</v>
      </c>
      <c r="F202">
        <f>COUNTIFS(mdr_rate_cleaned!$A$2:$A$10,B202,mdr_rate_cleaned!$B$2:$B$10,"&lt;"&amp;C202,mdr_rate_cleaned!$F$2:$F$10,"&gt;="&amp;C202)</f>
        <v>1</v>
      </c>
      <c r="G202">
        <v>1.6E-2</v>
      </c>
      <c r="H202">
        <v>132.77000000000001</v>
      </c>
      <c r="I202" t="s">
        <v>15</v>
      </c>
      <c r="J202" t="s">
        <v>15</v>
      </c>
      <c r="K202">
        <v>23.9</v>
      </c>
      <c r="L202">
        <v>0</v>
      </c>
    </row>
    <row r="203" spans="1:12" x14ac:dyDescent="0.3">
      <c r="A203" t="s">
        <v>219</v>
      </c>
      <c r="B203" t="s">
        <v>39</v>
      </c>
      <c r="C203">
        <v>4798</v>
      </c>
      <c r="D203">
        <v>57.58</v>
      </c>
      <c r="E203">
        <v>10.36</v>
      </c>
      <c r="F203">
        <f>COUNTIFS(mdr_rate_cleaned!$A$2:$A$10,B203,mdr_rate_cleaned!$B$2:$B$10,"&lt;"&amp;C203,mdr_rate_cleaned!$F$2:$F$10,"&gt;="&amp;C203)</f>
        <v>1</v>
      </c>
      <c r="G203">
        <v>1.2E-2</v>
      </c>
      <c r="H203">
        <v>57.58</v>
      </c>
      <c r="I203" t="s">
        <v>15</v>
      </c>
      <c r="J203" t="s">
        <v>15</v>
      </c>
      <c r="K203">
        <v>10.36</v>
      </c>
      <c r="L203">
        <v>0</v>
      </c>
    </row>
    <row r="204" spans="1:12" x14ac:dyDescent="0.3">
      <c r="A204" t="s">
        <v>220</v>
      </c>
      <c r="B204" t="s">
        <v>21</v>
      </c>
      <c r="C204">
        <v>7297</v>
      </c>
      <c r="D204">
        <v>21.89</v>
      </c>
      <c r="E204">
        <v>3.94</v>
      </c>
      <c r="F204">
        <f>COUNTIFS(mdr_rate_cleaned!$A$2:$A$10,B204,mdr_rate_cleaned!$B$2:$B$10,"&lt;"&amp;C204,mdr_rate_cleaned!$F$2:$F$10,"&gt;="&amp;C204)</f>
        <v>1</v>
      </c>
      <c r="G204">
        <v>3.0000000000000001E-3</v>
      </c>
      <c r="H204">
        <v>21.89</v>
      </c>
      <c r="I204" t="s">
        <v>15</v>
      </c>
      <c r="J204" t="s">
        <v>15</v>
      </c>
      <c r="K204">
        <v>3.94</v>
      </c>
      <c r="L204">
        <v>0</v>
      </c>
    </row>
    <row r="205" spans="1:12" x14ac:dyDescent="0.3">
      <c r="A205" t="s">
        <v>221</v>
      </c>
      <c r="B205" t="s">
        <v>21</v>
      </c>
      <c r="C205">
        <v>3797</v>
      </c>
      <c r="D205">
        <v>11.39</v>
      </c>
      <c r="E205">
        <v>2.0499999999999998</v>
      </c>
      <c r="F205">
        <f>COUNTIFS(mdr_rate_cleaned!$A$2:$A$10,B205,mdr_rate_cleaned!$B$2:$B$10,"&lt;"&amp;C205,mdr_rate_cleaned!$F$2:$F$10,"&gt;="&amp;C205)</f>
        <v>1</v>
      </c>
      <c r="G205">
        <v>3.0000000000000001E-3</v>
      </c>
      <c r="H205">
        <v>11.39</v>
      </c>
      <c r="I205" t="s">
        <v>15</v>
      </c>
      <c r="J205" t="s">
        <v>15</v>
      </c>
      <c r="K205">
        <v>2.0499999999999998</v>
      </c>
      <c r="L205">
        <v>0</v>
      </c>
    </row>
    <row r="206" spans="1:12" x14ac:dyDescent="0.3">
      <c r="A206" t="s">
        <v>222</v>
      </c>
      <c r="B206" t="s">
        <v>13</v>
      </c>
      <c r="C206">
        <v>3499</v>
      </c>
      <c r="D206">
        <v>59.48</v>
      </c>
      <c r="E206">
        <v>10.71</v>
      </c>
      <c r="F206">
        <f>COUNTIFS(mdr_rate_cleaned!$A$2:$A$10,B206,mdr_rate_cleaned!$B$2:$B$10,"&lt;"&amp;C206,mdr_rate_cleaned!$F$2:$F$10,"&gt;="&amp;C206)</f>
        <v>1</v>
      </c>
      <c r="G206">
        <v>1.7000000000000001E-2</v>
      </c>
      <c r="H206">
        <v>59.48</v>
      </c>
      <c r="I206" t="s">
        <v>15</v>
      </c>
      <c r="J206" t="s">
        <v>15</v>
      </c>
      <c r="K206">
        <v>10.71</v>
      </c>
      <c r="L206">
        <v>0</v>
      </c>
    </row>
    <row r="207" spans="1:12" x14ac:dyDescent="0.3">
      <c r="A207" t="s">
        <v>223</v>
      </c>
      <c r="B207" t="s">
        <v>21</v>
      </c>
      <c r="C207">
        <v>4297</v>
      </c>
      <c r="D207">
        <v>12.89</v>
      </c>
      <c r="E207">
        <v>2.3199999999999998</v>
      </c>
      <c r="F207">
        <f>COUNTIFS(mdr_rate_cleaned!$A$2:$A$10,B207,mdr_rate_cleaned!$B$2:$B$10,"&lt;"&amp;C207,mdr_rate_cleaned!$F$2:$F$10,"&gt;="&amp;C207)</f>
        <v>1</v>
      </c>
      <c r="G207">
        <v>3.0000000000000001E-3</v>
      </c>
      <c r="H207">
        <v>12.89</v>
      </c>
      <c r="I207" t="s">
        <v>15</v>
      </c>
      <c r="J207" t="s">
        <v>15</v>
      </c>
      <c r="K207">
        <v>2.3199999999999998</v>
      </c>
      <c r="L207">
        <v>0</v>
      </c>
    </row>
    <row r="208" spans="1:12" x14ac:dyDescent="0.3">
      <c r="A208" t="s">
        <v>224</v>
      </c>
      <c r="B208" t="s">
        <v>21</v>
      </c>
      <c r="C208">
        <v>599</v>
      </c>
      <c r="D208">
        <v>0</v>
      </c>
      <c r="E208">
        <v>0</v>
      </c>
      <c r="F208">
        <f>COUNTIFS(mdr_rate_cleaned!$A$2:$A$10,B208,mdr_rate_cleaned!$B$2:$B$10,"&lt;"&amp;C208,mdr_rate_cleaned!$F$2:$F$10,"&gt;="&amp;C208)</f>
        <v>1</v>
      </c>
      <c r="G208">
        <v>0</v>
      </c>
      <c r="H208">
        <v>0</v>
      </c>
      <c r="I208" t="s">
        <v>15</v>
      </c>
      <c r="J208" t="s">
        <v>15</v>
      </c>
      <c r="K208">
        <v>0</v>
      </c>
      <c r="L208">
        <v>0</v>
      </c>
    </row>
    <row r="209" spans="1:12" x14ac:dyDescent="0.3">
      <c r="A209" t="s">
        <v>225</v>
      </c>
      <c r="B209" t="s">
        <v>21</v>
      </c>
      <c r="C209">
        <v>4498</v>
      </c>
      <c r="D209">
        <v>13.49</v>
      </c>
      <c r="E209">
        <v>2.4300000000000002</v>
      </c>
      <c r="F209">
        <f>COUNTIFS(mdr_rate_cleaned!$A$2:$A$10,B209,mdr_rate_cleaned!$B$2:$B$10,"&lt;"&amp;C209,mdr_rate_cleaned!$F$2:$F$10,"&gt;="&amp;C209)</f>
        <v>1</v>
      </c>
      <c r="G209">
        <v>3.0000000000000001E-3</v>
      </c>
      <c r="H209">
        <v>13.49</v>
      </c>
      <c r="I209" t="s">
        <v>15</v>
      </c>
      <c r="J209" t="s">
        <v>15</v>
      </c>
      <c r="K209">
        <v>2.4300000000000002</v>
      </c>
      <c r="L209">
        <v>0</v>
      </c>
    </row>
    <row r="210" spans="1:12" x14ac:dyDescent="0.3">
      <c r="A210" t="s">
        <v>226</v>
      </c>
      <c r="B210" t="s">
        <v>21</v>
      </c>
      <c r="C210">
        <v>349</v>
      </c>
      <c r="D210">
        <v>0</v>
      </c>
      <c r="E210">
        <v>0</v>
      </c>
      <c r="F210">
        <f>COUNTIFS(mdr_rate_cleaned!$A$2:$A$10,B210,mdr_rate_cleaned!$B$2:$B$10,"&lt;"&amp;C210,mdr_rate_cleaned!$F$2:$F$10,"&gt;="&amp;C210)</f>
        <v>1</v>
      </c>
      <c r="G210">
        <v>0</v>
      </c>
      <c r="H210">
        <v>0</v>
      </c>
      <c r="I210" t="s">
        <v>15</v>
      </c>
      <c r="J210" t="s">
        <v>15</v>
      </c>
      <c r="K210">
        <v>0</v>
      </c>
      <c r="L210">
        <v>0</v>
      </c>
    </row>
    <row r="211" spans="1:12" x14ac:dyDescent="0.3">
      <c r="A211" t="s">
        <v>227</v>
      </c>
      <c r="B211" t="s">
        <v>21</v>
      </c>
      <c r="C211">
        <v>1499</v>
      </c>
      <c r="D211">
        <v>0</v>
      </c>
      <c r="E211">
        <v>0</v>
      </c>
      <c r="F211">
        <f>COUNTIFS(mdr_rate_cleaned!$A$2:$A$10,B211,mdr_rate_cleaned!$B$2:$B$10,"&lt;"&amp;C211,mdr_rate_cleaned!$F$2:$F$10,"&gt;="&amp;C211)</f>
        <v>1</v>
      </c>
      <c r="G211">
        <v>0</v>
      </c>
      <c r="H211">
        <v>0</v>
      </c>
      <c r="I211" t="s">
        <v>15</v>
      </c>
      <c r="J211" t="s">
        <v>15</v>
      </c>
      <c r="K211">
        <v>0</v>
      </c>
      <c r="L211">
        <v>0</v>
      </c>
    </row>
    <row r="212" spans="1:12" x14ac:dyDescent="0.3">
      <c r="A212" t="s">
        <v>228</v>
      </c>
      <c r="B212" t="s">
        <v>21</v>
      </c>
      <c r="C212">
        <v>299</v>
      </c>
      <c r="D212">
        <v>0</v>
      </c>
      <c r="E212">
        <v>0</v>
      </c>
      <c r="F212">
        <f>COUNTIFS(mdr_rate_cleaned!$A$2:$A$10,B212,mdr_rate_cleaned!$B$2:$B$10,"&lt;"&amp;C212,mdr_rate_cleaned!$F$2:$F$10,"&gt;="&amp;C212)</f>
        <v>1</v>
      </c>
      <c r="G212">
        <v>0</v>
      </c>
      <c r="H212">
        <v>0</v>
      </c>
      <c r="I212" t="s">
        <v>15</v>
      </c>
      <c r="J212" t="s">
        <v>15</v>
      </c>
      <c r="K212">
        <v>0</v>
      </c>
      <c r="L212">
        <v>0</v>
      </c>
    </row>
    <row r="213" spans="1:12" x14ac:dyDescent="0.3">
      <c r="A213" t="s">
        <v>229</v>
      </c>
      <c r="B213" t="s">
        <v>17</v>
      </c>
      <c r="C213">
        <v>799</v>
      </c>
      <c r="D213">
        <v>14.38</v>
      </c>
      <c r="E213">
        <v>2.59</v>
      </c>
      <c r="F213">
        <f>COUNTIFS(mdr_rate_cleaned!$A$2:$A$10,B213,mdr_rate_cleaned!$B$2:$B$10,"&lt;"&amp;C213,mdr_rate_cleaned!$F$2:$F$10,"&gt;="&amp;C213)</f>
        <v>1</v>
      </c>
      <c r="G213">
        <v>1.7999999999999999E-2</v>
      </c>
      <c r="H213">
        <v>14.38</v>
      </c>
      <c r="I213" t="s">
        <v>15</v>
      </c>
      <c r="J213" t="s">
        <v>15</v>
      </c>
      <c r="K213">
        <v>2.59</v>
      </c>
      <c r="L213">
        <v>0</v>
      </c>
    </row>
    <row r="214" spans="1:12" x14ac:dyDescent="0.3">
      <c r="A214" t="s">
        <v>230</v>
      </c>
      <c r="B214" t="s">
        <v>21</v>
      </c>
      <c r="C214">
        <v>3499</v>
      </c>
      <c r="D214">
        <v>10.5</v>
      </c>
      <c r="E214">
        <v>1.89</v>
      </c>
      <c r="F214">
        <f>COUNTIFS(mdr_rate_cleaned!$A$2:$A$10,B214,mdr_rate_cleaned!$B$2:$B$10,"&lt;"&amp;C214,mdr_rate_cleaned!$F$2:$F$10,"&gt;="&amp;C214)</f>
        <v>1</v>
      </c>
      <c r="G214">
        <v>3.0000000000000001E-3</v>
      </c>
      <c r="H214">
        <v>10.5</v>
      </c>
      <c r="I214" t="s">
        <v>15</v>
      </c>
      <c r="J214" t="s">
        <v>15</v>
      </c>
      <c r="K214">
        <v>1.89</v>
      </c>
      <c r="L214">
        <v>0</v>
      </c>
    </row>
    <row r="215" spans="1:12" x14ac:dyDescent="0.3">
      <c r="A215" t="s">
        <v>231</v>
      </c>
      <c r="B215" t="s">
        <v>17</v>
      </c>
      <c r="C215">
        <v>4999</v>
      </c>
      <c r="D215">
        <v>79.98</v>
      </c>
      <c r="E215">
        <v>14.4</v>
      </c>
      <c r="F215">
        <f>COUNTIFS(mdr_rate_cleaned!$A$2:$A$10,B215,mdr_rate_cleaned!$B$2:$B$10,"&lt;"&amp;C215,mdr_rate_cleaned!$F$2:$F$10,"&gt;="&amp;C215)</f>
        <v>1</v>
      </c>
      <c r="G215">
        <v>1.6E-2</v>
      </c>
      <c r="H215">
        <v>79.98</v>
      </c>
      <c r="I215" t="s">
        <v>15</v>
      </c>
      <c r="J215" t="s">
        <v>15</v>
      </c>
      <c r="K215">
        <v>14.4</v>
      </c>
      <c r="L215">
        <v>0</v>
      </c>
    </row>
    <row r="216" spans="1:12" x14ac:dyDescent="0.3">
      <c r="A216" t="s">
        <v>232</v>
      </c>
      <c r="B216" t="s">
        <v>13</v>
      </c>
      <c r="C216">
        <v>6297</v>
      </c>
      <c r="D216">
        <v>107.05</v>
      </c>
      <c r="E216">
        <v>19.27</v>
      </c>
      <c r="F216">
        <f>COUNTIFS(mdr_rate_cleaned!$A$2:$A$10,B216,mdr_rate_cleaned!$B$2:$B$10,"&lt;"&amp;C216,mdr_rate_cleaned!$F$2:$F$10,"&gt;="&amp;C216)</f>
        <v>1</v>
      </c>
      <c r="G216">
        <v>1.7000000000000001E-2</v>
      </c>
      <c r="H216">
        <v>107.05</v>
      </c>
      <c r="I216" t="s">
        <v>15</v>
      </c>
      <c r="J216" t="s">
        <v>15</v>
      </c>
      <c r="K216">
        <v>19.27</v>
      </c>
      <c r="L216">
        <v>0</v>
      </c>
    </row>
    <row r="217" spans="1:12" x14ac:dyDescent="0.3">
      <c r="A217" t="s">
        <v>233</v>
      </c>
      <c r="B217" t="s">
        <v>17</v>
      </c>
      <c r="C217">
        <v>2798</v>
      </c>
      <c r="D217">
        <v>44.77</v>
      </c>
      <c r="E217">
        <v>8.06</v>
      </c>
      <c r="F217">
        <f>COUNTIFS(mdr_rate_cleaned!$A$2:$A$10,B217,mdr_rate_cleaned!$B$2:$B$10,"&lt;"&amp;C217,mdr_rate_cleaned!$F$2:$F$10,"&gt;="&amp;C217)</f>
        <v>1</v>
      </c>
      <c r="G217">
        <v>1.6E-2</v>
      </c>
      <c r="H217">
        <v>44.77</v>
      </c>
      <c r="I217" t="s">
        <v>15</v>
      </c>
      <c r="J217" t="s">
        <v>15</v>
      </c>
      <c r="K217">
        <v>8.06</v>
      </c>
      <c r="L217">
        <v>0</v>
      </c>
    </row>
    <row r="218" spans="1:12" x14ac:dyDescent="0.3">
      <c r="A218" t="s">
        <v>234</v>
      </c>
      <c r="B218" t="s">
        <v>17</v>
      </c>
      <c r="C218">
        <v>1299</v>
      </c>
      <c r="D218">
        <v>23.38</v>
      </c>
      <c r="E218">
        <v>4.21</v>
      </c>
      <c r="F218">
        <f>COUNTIFS(mdr_rate_cleaned!$A$2:$A$10,B218,mdr_rate_cleaned!$B$2:$B$10,"&lt;"&amp;C218,mdr_rate_cleaned!$F$2:$F$10,"&gt;="&amp;C218)</f>
        <v>1</v>
      </c>
      <c r="G218">
        <v>1.7999999999999999E-2</v>
      </c>
      <c r="H218">
        <v>23.38</v>
      </c>
      <c r="I218" t="s">
        <v>15</v>
      </c>
      <c r="J218" t="s">
        <v>15</v>
      </c>
      <c r="K218">
        <v>4.21</v>
      </c>
      <c r="L218">
        <v>0</v>
      </c>
    </row>
    <row r="219" spans="1:12" x14ac:dyDescent="0.3">
      <c r="A219" t="s">
        <v>235</v>
      </c>
      <c r="B219" t="s">
        <v>21</v>
      </c>
      <c r="C219">
        <v>4597</v>
      </c>
      <c r="D219">
        <v>13.79</v>
      </c>
      <c r="E219">
        <v>2.48</v>
      </c>
      <c r="F219">
        <f>COUNTIFS(mdr_rate_cleaned!$A$2:$A$10,B219,mdr_rate_cleaned!$B$2:$B$10,"&lt;"&amp;C219,mdr_rate_cleaned!$F$2:$F$10,"&gt;="&amp;C219)</f>
        <v>1</v>
      </c>
      <c r="G219">
        <v>3.0000000000000001E-3</v>
      </c>
      <c r="H219">
        <v>13.79</v>
      </c>
      <c r="I219" t="s">
        <v>15</v>
      </c>
      <c r="J219" t="s">
        <v>15</v>
      </c>
      <c r="K219">
        <v>2.48</v>
      </c>
      <c r="L219">
        <v>0</v>
      </c>
    </row>
    <row r="220" spans="1:12" x14ac:dyDescent="0.3">
      <c r="A220" t="s">
        <v>236</v>
      </c>
      <c r="B220" t="s">
        <v>21</v>
      </c>
      <c r="C220">
        <v>2298</v>
      </c>
      <c r="D220">
        <v>6.89</v>
      </c>
      <c r="E220">
        <v>1.24</v>
      </c>
      <c r="F220">
        <f>COUNTIFS(mdr_rate_cleaned!$A$2:$A$10,B220,mdr_rate_cleaned!$B$2:$B$10,"&lt;"&amp;C220,mdr_rate_cleaned!$F$2:$F$10,"&gt;="&amp;C220)</f>
        <v>1</v>
      </c>
      <c r="G220">
        <v>3.0000000000000001E-3</v>
      </c>
      <c r="H220">
        <v>6.89</v>
      </c>
      <c r="I220" t="s">
        <v>15</v>
      </c>
      <c r="J220" t="s">
        <v>15</v>
      </c>
      <c r="K220">
        <v>1.24</v>
      </c>
      <c r="L220">
        <v>0</v>
      </c>
    </row>
    <row r="221" spans="1:12" x14ac:dyDescent="0.3">
      <c r="A221" t="s">
        <v>237</v>
      </c>
      <c r="B221" t="s">
        <v>21</v>
      </c>
      <c r="C221">
        <v>799</v>
      </c>
      <c r="D221">
        <v>0</v>
      </c>
      <c r="E221">
        <v>0</v>
      </c>
      <c r="F221">
        <f>COUNTIFS(mdr_rate_cleaned!$A$2:$A$10,B221,mdr_rate_cleaned!$B$2:$B$10,"&lt;"&amp;C221,mdr_rate_cleaned!$F$2:$F$10,"&gt;="&amp;C221)</f>
        <v>1</v>
      </c>
      <c r="G221">
        <v>0</v>
      </c>
      <c r="H221">
        <v>0</v>
      </c>
      <c r="I221" t="s">
        <v>15</v>
      </c>
      <c r="J221" t="s">
        <v>15</v>
      </c>
      <c r="K221">
        <v>0</v>
      </c>
      <c r="L221">
        <v>0</v>
      </c>
    </row>
    <row r="222" spans="1:12" x14ac:dyDescent="0.3">
      <c r="A222" t="s">
        <v>238</v>
      </c>
      <c r="B222" t="s">
        <v>21</v>
      </c>
      <c r="C222">
        <v>2499</v>
      </c>
      <c r="D222">
        <v>7.5</v>
      </c>
      <c r="E222">
        <v>1.35</v>
      </c>
      <c r="F222">
        <f>COUNTIFS(mdr_rate_cleaned!$A$2:$A$10,B222,mdr_rate_cleaned!$B$2:$B$10,"&lt;"&amp;C222,mdr_rate_cleaned!$F$2:$F$10,"&gt;="&amp;C222)</f>
        <v>1</v>
      </c>
      <c r="G222">
        <v>3.0000000000000001E-3</v>
      </c>
      <c r="H222">
        <v>7.5</v>
      </c>
      <c r="I222" t="s">
        <v>15</v>
      </c>
      <c r="J222" t="s">
        <v>15</v>
      </c>
      <c r="K222">
        <v>1.35</v>
      </c>
      <c r="L222">
        <v>0</v>
      </c>
    </row>
    <row r="223" spans="1:12" x14ac:dyDescent="0.3">
      <c r="A223" t="s">
        <v>239</v>
      </c>
      <c r="B223" t="s">
        <v>17</v>
      </c>
      <c r="C223">
        <v>299</v>
      </c>
      <c r="D223">
        <v>5.38</v>
      </c>
      <c r="E223">
        <v>0.97</v>
      </c>
      <c r="F223">
        <f>COUNTIFS(mdr_rate_cleaned!$A$2:$A$10,B223,mdr_rate_cleaned!$B$2:$B$10,"&lt;"&amp;C223,mdr_rate_cleaned!$F$2:$F$10,"&gt;="&amp;C223)</f>
        <v>1</v>
      </c>
      <c r="G223">
        <v>1.7999999999999999E-2</v>
      </c>
      <c r="H223">
        <v>5.38</v>
      </c>
      <c r="I223" t="s">
        <v>15</v>
      </c>
      <c r="J223" t="s">
        <v>15</v>
      </c>
      <c r="K223">
        <v>0.97</v>
      </c>
      <c r="L223">
        <v>0</v>
      </c>
    </row>
    <row r="224" spans="1:12" x14ac:dyDescent="0.3">
      <c r="A224" t="s">
        <v>240</v>
      </c>
      <c r="B224" t="s">
        <v>21</v>
      </c>
      <c r="C224">
        <v>799</v>
      </c>
      <c r="D224">
        <v>0</v>
      </c>
      <c r="E224">
        <v>0</v>
      </c>
      <c r="F224">
        <f>COUNTIFS(mdr_rate_cleaned!$A$2:$A$10,B224,mdr_rate_cleaned!$B$2:$B$10,"&lt;"&amp;C224,mdr_rate_cleaned!$F$2:$F$10,"&gt;="&amp;C224)</f>
        <v>1</v>
      </c>
      <c r="G224">
        <v>0</v>
      </c>
      <c r="H224">
        <v>0</v>
      </c>
      <c r="I224" t="s">
        <v>15</v>
      </c>
      <c r="J224" t="s">
        <v>15</v>
      </c>
      <c r="K224">
        <v>0</v>
      </c>
      <c r="L224">
        <v>0</v>
      </c>
    </row>
    <row r="225" spans="1:12" x14ac:dyDescent="0.3">
      <c r="A225" t="s">
        <v>241</v>
      </c>
      <c r="B225" t="s">
        <v>21</v>
      </c>
      <c r="C225">
        <v>7498</v>
      </c>
      <c r="D225">
        <v>22.49</v>
      </c>
      <c r="E225">
        <v>4.05</v>
      </c>
      <c r="F225">
        <f>COUNTIFS(mdr_rate_cleaned!$A$2:$A$10,B225,mdr_rate_cleaned!$B$2:$B$10,"&lt;"&amp;C225,mdr_rate_cleaned!$F$2:$F$10,"&gt;="&amp;C225)</f>
        <v>1</v>
      </c>
      <c r="G225">
        <v>3.0000000000000001E-3</v>
      </c>
      <c r="H225">
        <v>22.49</v>
      </c>
      <c r="I225" t="s">
        <v>15</v>
      </c>
      <c r="J225" t="s">
        <v>15</v>
      </c>
      <c r="K225">
        <v>4.05</v>
      </c>
      <c r="L225">
        <v>0</v>
      </c>
    </row>
    <row r="226" spans="1:12" x14ac:dyDescent="0.3">
      <c r="A226" t="s">
        <v>242</v>
      </c>
      <c r="B226" t="s">
        <v>17</v>
      </c>
      <c r="C226">
        <v>2499</v>
      </c>
      <c r="D226">
        <v>39.979999999999997</v>
      </c>
      <c r="E226">
        <v>7.2</v>
      </c>
      <c r="F226">
        <f>COUNTIFS(mdr_rate_cleaned!$A$2:$A$10,B226,mdr_rate_cleaned!$B$2:$B$10,"&lt;"&amp;C226,mdr_rate_cleaned!$F$2:$F$10,"&gt;="&amp;C226)</f>
        <v>1</v>
      </c>
      <c r="G226">
        <v>1.6E-2</v>
      </c>
      <c r="H226">
        <v>39.979999999999997</v>
      </c>
      <c r="I226" t="s">
        <v>15</v>
      </c>
      <c r="J226" t="s">
        <v>15</v>
      </c>
      <c r="K226">
        <v>7.2</v>
      </c>
      <c r="L226">
        <v>0</v>
      </c>
    </row>
    <row r="227" spans="1:12" x14ac:dyDescent="0.3">
      <c r="A227" t="s">
        <v>243</v>
      </c>
      <c r="B227" t="s">
        <v>17</v>
      </c>
      <c r="C227">
        <v>1299</v>
      </c>
      <c r="D227">
        <v>23.38</v>
      </c>
      <c r="E227">
        <v>4.21</v>
      </c>
      <c r="F227">
        <f>COUNTIFS(mdr_rate_cleaned!$A$2:$A$10,B227,mdr_rate_cleaned!$B$2:$B$10,"&lt;"&amp;C227,mdr_rate_cleaned!$F$2:$F$10,"&gt;="&amp;C227)</f>
        <v>1</v>
      </c>
      <c r="G227">
        <v>1.7999999999999999E-2</v>
      </c>
      <c r="H227">
        <v>23.38</v>
      </c>
      <c r="I227" t="s">
        <v>15</v>
      </c>
      <c r="J227" t="s">
        <v>15</v>
      </c>
      <c r="K227">
        <v>4.21</v>
      </c>
      <c r="L227">
        <v>0</v>
      </c>
    </row>
    <row r="228" spans="1:12" x14ac:dyDescent="0.3">
      <c r="A228" t="s">
        <v>244</v>
      </c>
      <c r="B228" t="s">
        <v>21</v>
      </c>
      <c r="C228">
        <v>2897</v>
      </c>
      <c r="D228">
        <v>8.69</v>
      </c>
      <c r="E228">
        <v>1.56</v>
      </c>
      <c r="F228">
        <f>COUNTIFS(mdr_rate_cleaned!$A$2:$A$10,B228,mdr_rate_cleaned!$B$2:$B$10,"&lt;"&amp;C228,mdr_rate_cleaned!$F$2:$F$10,"&gt;="&amp;C228)</f>
        <v>1</v>
      </c>
      <c r="G228">
        <v>3.0000000000000001E-3</v>
      </c>
      <c r="H228">
        <v>8.69</v>
      </c>
      <c r="I228" t="s">
        <v>15</v>
      </c>
      <c r="J228" t="s">
        <v>15</v>
      </c>
      <c r="K228">
        <v>1.56</v>
      </c>
      <c r="L228">
        <v>0</v>
      </c>
    </row>
    <row r="229" spans="1:12" x14ac:dyDescent="0.3">
      <c r="A229" t="s">
        <v>245</v>
      </c>
      <c r="B229" t="s">
        <v>13</v>
      </c>
      <c r="C229">
        <v>2499</v>
      </c>
      <c r="D229">
        <v>59.98</v>
      </c>
      <c r="E229">
        <v>10.8</v>
      </c>
      <c r="F229">
        <f>COUNTIFS(mdr_rate_cleaned!$A$2:$A$10,B229,mdr_rate_cleaned!$B$2:$B$10,"&lt;"&amp;C229,mdr_rate_cleaned!$F$2:$F$10,"&gt;="&amp;C229)</f>
        <v>1</v>
      </c>
      <c r="G229">
        <v>1.7000000000000001E-2</v>
      </c>
      <c r="H229">
        <v>42.48</v>
      </c>
      <c r="I229" t="s">
        <v>14</v>
      </c>
      <c r="J229" t="s">
        <v>15</v>
      </c>
      <c r="K229">
        <v>7.65</v>
      </c>
      <c r="L229">
        <v>20.65</v>
      </c>
    </row>
    <row r="230" spans="1:12" x14ac:dyDescent="0.3">
      <c r="A230" t="s">
        <v>246</v>
      </c>
      <c r="B230" t="s">
        <v>13</v>
      </c>
      <c r="C230">
        <v>599</v>
      </c>
      <c r="D230">
        <v>11.38</v>
      </c>
      <c r="E230">
        <v>2.0499999999999998</v>
      </c>
      <c r="F230">
        <f>COUNTIFS(mdr_rate_cleaned!$A$2:$A$10,B230,mdr_rate_cleaned!$B$2:$B$10,"&lt;"&amp;C230,mdr_rate_cleaned!$F$2:$F$10,"&gt;="&amp;C230)</f>
        <v>1</v>
      </c>
      <c r="G230">
        <v>1.9E-2</v>
      </c>
      <c r="H230">
        <v>11.38</v>
      </c>
      <c r="I230" t="s">
        <v>15</v>
      </c>
      <c r="J230" t="s">
        <v>15</v>
      </c>
      <c r="K230">
        <v>2.0499999999999998</v>
      </c>
      <c r="L230">
        <v>0</v>
      </c>
    </row>
    <row r="231" spans="1:12" x14ac:dyDescent="0.3">
      <c r="A231" t="s">
        <v>247</v>
      </c>
      <c r="B231" t="s">
        <v>17</v>
      </c>
      <c r="C231">
        <v>2798</v>
      </c>
      <c r="D231">
        <v>44.77</v>
      </c>
      <c r="E231">
        <v>8.06</v>
      </c>
      <c r="F231">
        <f>COUNTIFS(mdr_rate_cleaned!$A$2:$A$10,B231,mdr_rate_cleaned!$B$2:$B$10,"&lt;"&amp;C231,mdr_rate_cleaned!$F$2:$F$10,"&gt;="&amp;C231)</f>
        <v>1</v>
      </c>
      <c r="G231">
        <v>1.6E-2</v>
      </c>
      <c r="H231">
        <v>44.77</v>
      </c>
      <c r="I231" t="s">
        <v>15</v>
      </c>
      <c r="J231" t="s">
        <v>15</v>
      </c>
      <c r="K231">
        <v>8.06</v>
      </c>
      <c r="L231">
        <v>0</v>
      </c>
    </row>
    <row r="232" spans="1:12" x14ac:dyDescent="0.3">
      <c r="A232" t="s">
        <v>248</v>
      </c>
      <c r="B232" t="s">
        <v>13</v>
      </c>
      <c r="C232">
        <v>1499</v>
      </c>
      <c r="D232">
        <v>28.48</v>
      </c>
      <c r="E232">
        <v>5.13</v>
      </c>
      <c r="F232">
        <f>COUNTIFS(mdr_rate_cleaned!$A$2:$A$10,B232,mdr_rate_cleaned!$B$2:$B$10,"&lt;"&amp;C232,mdr_rate_cleaned!$F$2:$F$10,"&gt;="&amp;C232)</f>
        <v>1</v>
      </c>
      <c r="G232">
        <v>1.9E-2</v>
      </c>
      <c r="H232">
        <v>28.48</v>
      </c>
      <c r="I232" t="s">
        <v>15</v>
      </c>
      <c r="J232" t="s">
        <v>15</v>
      </c>
      <c r="K232">
        <v>5.13</v>
      </c>
      <c r="L232">
        <v>0</v>
      </c>
    </row>
    <row r="233" spans="1:12" x14ac:dyDescent="0.3">
      <c r="A233" t="s">
        <v>249</v>
      </c>
      <c r="B233" t="s">
        <v>21</v>
      </c>
      <c r="C233">
        <v>1098</v>
      </c>
      <c r="D233">
        <v>0</v>
      </c>
      <c r="E233">
        <v>0</v>
      </c>
      <c r="F233">
        <f>COUNTIFS(mdr_rate_cleaned!$A$2:$A$10,B233,mdr_rate_cleaned!$B$2:$B$10,"&lt;"&amp;C233,mdr_rate_cleaned!$F$2:$F$10,"&gt;="&amp;C233)</f>
        <v>1</v>
      </c>
      <c r="G233">
        <v>0</v>
      </c>
      <c r="H233">
        <v>0</v>
      </c>
      <c r="I233" t="s">
        <v>15</v>
      </c>
      <c r="J233" t="s">
        <v>15</v>
      </c>
      <c r="K233">
        <v>0</v>
      </c>
      <c r="L233">
        <v>0</v>
      </c>
    </row>
    <row r="234" spans="1:12" x14ac:dyDescent="0.3">
      <c r="A234" t="s">
        <v>250</v>
      </c>
      <c r="B234" t="s">
        <v>21</v>
      </c>
      <c r="C234">
        <v>6498</v>
      </c>
      <c r="D234">
        <v>19.489999999999998</v>
      </c>
      <c r="E234">
        <v>3.51</v>
      </c>
      <c r="F234">
        <f>COUNTIFS(mdr_rate_cleaned!$A$2:$A$10,B234,mdr_rate_cleaned!$B$2:$B$10,"&lt;"&amp;C234,mdr_rate_cleaned!$F$2:$F$10,"&gt;="&amp;C234)</f>
        <v>1</v>
      </c>
      <c r="G234">
        <v>3.0000000000000001E-3</v>
      </c>
      <c r="H234">
        <v>19.489999999999998</v>
      </c>
      <c r="I234" t="s">
        <v>15</v>
      </c>
      <c r="J234" t="s">
        <v>15</v>
      </c>
      <c r="K234">
        <v>3.51</v>
      </c>
      <c r="L234">
        <v>0</v>
      </c>
    </row>
    <row r="235" spans="1:12" x14ac:dyDescent="0.3">
      <c r="A235" t="s">
        <v>251</v>
      </c>
      <c r="B235" t="s">
        <v>17</v>
      </c>
      <c r="C235">
        <v>3897</v>
      </c>
      <c r="D235">
        <v>62.35</v>
      </c>
      <c r="E235">
        <v>11.22</v>
      </c>
      <c r="F235">
        <f>COUNTIFS(mdr_rate_cleaned!$A$2:$A$10,B235,mdr_rate_cleaned!$B$2:$B$10,"&lt;"&amp;C235,mdr_rate_cleaned!$F$2:$F$10,"&gt;="&amp;C235)</f>
        <v>1</v>
      </c>
      <c r="G235">
        <v>1.6E-2</v>
      </c>
      <c r="H235">
        <v>62.35</v>
      </c>
      <c r="I235" t="s">
        <v>15</v>
      </c>
      <c r="J235" t="s">
        <v>15</v>
      </c>
      <c r="K235">
        <v>11.22</v>
      </c>
      <c r="L235">
        <v>0</v>
      </c>
    </row>
    <row r="236" spans="1:12" x14ac:dyDescent="0.3">
      <c r="A236" t="s">
        <v>252</v>
      </c>
      <c r="B236" t="s">
        <v>17</v>
      </c>
      <c r="C236">
        <v>999</v>
      </c>
      <c r="D236">
        <v>17.98</v>
      </c>
      <c r="E236">
        <v>3.24</v>
      </c>
      <c r="F236">
        <f>COUNTIFS(mdr_rate_cleaned!$A$2:$A$10,B236,mdr_rate_cleaned!$B$2:$B$10,"&lt;"&amp;C236,mdr_rate_cleaned!$F$2:$F$10,"&gt;="&amp;C236)</f>
        <v>1</v>
      </c>
      <c r="G236">
        <v>1.7999999999999999E-2</v>
      </c>
      <c r="H236">
        <v>17.98</v>
      </c>
      <c r="I236" t="s">
        <v>15</v>
      </c>
      <c r="J236" t="s">
        <v>15</v>
      </c>
      <c r="K236">
        <v>3.24</v>
      </c>
      <c r="L236">
        <v>0</v>
      </c>
    </row>
    <row r="237" spans="1:12" x14ac:dyDescent="0.3">
      <c r="A237" t="s">
        <v>253</v>
      </c>
      <c r="B237" t="s">
        <v>17</v>
      </c>
      <c r="C237">
        <v>7998</v>
      </c>
      <c r="D237">
        <v>127.97</v>
      </c>
      <c r="E237">
        <v>23.03</v>
      </c>
      <c r="F237">
        <f>COUNTIFS(mdr_rate_cleaned!$A$2:$A$10,B237,mdr_rate_cleaned!$B$2:$B$10,"&lt;"&amp;C237,mdr_rate_cleaned!$F$2:$F$10,"&gt;="&amp;C237)</f>
        <v>1</v>
      </c>
      <c r="G237">
        <v>1.6E-2</v>
      </c>
      <c r="H237">
        <v>127.97</v>
      </c>
      <c r="I237" t="s">
        <v>15</v>
      </c>
      <c r="J237" t="s">
        <v>15</v>
      </c>
      <c r="K237">
        <v>23.03</v>
      </c>
      <c r="L237">
        <v>0</v>
      </c>
    </row>
    <row r="238" spans="1:12" x14ac:dyDescent="0.3">
      <c r="A238" t="s">
        <v>254</v>
      </c>
      <c r="B238" t="s">
        <v>21</v>
      </c>
      <c r="C238">
        <v>599</v>
      </c>
      <c r="D238">
        <v>0</v>
      </c>
      <c r="E238">
        <v>0</v>
      </c>
      <c r="F238">
        <f>COUNTIFS(mdr_rate_cleaned!$A$2:$A$10,B238,mdr_rate_cleaned!$B$2:$B$10,"&lt;"&amp;C238,mdr_rate_cleaned!$F$2:$F$10,"&gt;="&amp;C238)</f>
        <v>1</v>
      </c>
      <c r="G238">
        <v>0</v>
      </c>
      <c r="H238">
        <v>0</v>
      </c>
      <c r="I238" t="s">
        <v>15</v>
      </c>
      <c r="J238" t="s">
        <v>15</v>
      </c>
      <c r="K238">
        <v>0</v>
      </c>
      <c r="L238">
        <v>0</v>
      </c>
    </row>
    <row r="239" spans="1:12" x14ac:dyDescent="0.3">
      <c r="A239" t="s">
        <v>255</v>
      </c>
      <c r="B239" t="s">
        <v>17</v>
      </c>
      <c r="C239">
        <v>2499</v>
      </c>
      <c r="D239">
        <v>39.979999999999997</v>
      </c>
      <c r="E239">
        <v>7.2</v>
      </c>
      <c r="F239">
        <f>COUNTIFS(mdr_rate_cleaned!$A$2:$A$10,B239,mdr_rate_cleaned!$B$2:$B$10,"&lt;"&amp;C239,mdr_rate_cleaned!$F$2:$F$10,"&gt;="&amp;C239)</f>
        <v>1</v>
      </c>
      <c r="G239">
        <v>1.6E-2</v>
      </c>
      <c r="H239">
        <v>39.979999999999997</v>
      </c>
      <c r="I239" t="s">
        <v>15</v>
      </c>
      <c r="J239" t="s">
        <v>15</v>
      </c>
      <c r="K239">
        <v>7.2</v>
      </c>
      <c r="L239">
        <v>0</v>
      </c>
    </row>
    <row r="240" spans="1:12" x14ac:dyDescent="0.3">
      <c r="A240" t="s">
        <v>256</v>
      </c>
      <c r="B240" t="s">
        <v>21</v>
      </c>
      <c r="C240">
        <v>599</v>
      </c>
      <c r="D240">
        <v>0</v>
      </c>
      <c r="E240">
        <v>0</v>
      </c>
      <c r="F240">
        <f>COUNTIFS(mdr_rate_cleaned!$A$2:$A$10,B240,mdr_rate_cleaned!$B$2:$B$10,"&lt;"&amp;C240,mdr_rate_cleaned!$F$2:$F$10,"&gt;="&amp;C240)</f>
        <v>1</v>
      </c>
      <c r="G240">
        <v>0</v>
      </c>
      <c r="H240">
        <v>0</v>
      </c>
      <c r="I240" t="s">
        <v>15</v>
      </c>
      <c r="J240" t="s">
        <v>15</v>
      </c>
      <c r="K240">
        <v>0</v>
      </c>
      <c r="L240">
        <v>0</v>
      </c>
    </row>
    <row r="241" spans="1:12" x14ac:dyDescent="0.3">
      <c r="A241" t="s">
        <v>257</v>
      </c>
      <c r="B241" t="s">
        <v>17</v>
      </c>
      <c r="C241">
        <v>1299</v>
      </c>
      <c r="D241">
        <v>23.38</v>
      </c>
      <c r="E241">
        <v>4.21</v>
      </c>
      <c r="F241">
        <f>COUNTIFS(mdr_rate_cleaned!$A$2:$A$10,B241,mdr_rate_cleaned!$B$2:$B$10,"&lt;"&amp;C241,mdr_rate_cleaned!$F$2:$F$10,"&gt;="&amp;C241)</f>
        <v>1</v>
      </c>
      <c r="G241">
        <v>1.7999999999999999E-2</v>
      </c>
      <c r="H241">
        <v>23.38</v>
      </c>
      <c r="I241" t="s">
        <v>15</v>
      </c>
      <c r="J241" t="s">
        <v>15</v>
      </c>
      <c r="K241">
        <v>4.21</v>
      </c>
      <c r="L241">
        <v>0</v>
      </c>
    </row>
    <row r="242" spans="1:12" x14ac:dyDescent="0.3">
      <c r="A242" t="s">
        <v>258</v>
      </c>
      <c r="B242" t="s">
        <v>13</v>
      </c>
      <c r="C242">
        <v>2298</v>
      </c>
      <c r="D242">
        <v>39.07</v>
      </c>
      <c r="E242">
        <v>7.03</v>
      </c>
      <c r="F242">
        <f>COUNTIFS(mdr_rate_cleaned!$A$2:$A$10,B242,mdr_rate_cleaned!$B$2:$B$10,"&lt;"&amp;C242,mdr_rate_cleaned!$F$2:$F$10,"&gt;="&amp;C242)</f>
        <v>1</v>
      </c>
      <c r="G242">
        <v>1.7000000000000001E-2</v>
      </c>
      <c r="H242">
        <v>39.07</v>
      </c>
      <c r="I242" t="s">
        <v>15</v>
      </c>
      <c r="J242" t="s">
        <v>15</v>
      </c>
      <c r="K242">
        <v>7.03</v>
      </c>
      <c r="L242">
        <v>0</v>
      </c>
    </row>
    <row r="243" spans="1:12" x14ac:dyDescent="0.3">
      <c r="A243" t="s">
        <v>259</v>
      </c>
      <c r="B243" t="s">
        <v>39</v>
      </c>
      <c r="C243">
        <v>999</v>
      </c>
      <c r="D243">
        <v>14.99</v>
      </c>
      <c r="E243">
        <v>2.7</v>
      </c>
      <c r="F243">
        <f>COUNTIFS(mdr_rate_cleaned!$A$2:$A$10,B243,mdr_rate_cleaned!$B$2:$B$10,"&lt;"&amp;C243,mdr_rate_cleaned!$F$2:$F$10,"&gt;="&amp;C243)</f>
        <v>1</v>
      </c>
      <c r="G243">
        <v>1.4999999999999999E-2</v>
      </c>
      <c r="H243">
        <v>14.99</v>
      </c>
      <c r="I243" t="s">
        <v>15</v>
      </c>
      <c r="J243" t="s">
        <v>15</v>
      </c>
      <c r="K243">
        <v>2.7</v>
      </c>
      <c r="L243">
        <v>0</v>
      </c>
    </row>
    <row r="244" spans="1:12" x14ac:dyDescent="0.3">
      <c r="A244" t="s">
        <v>260</v>
      </c>
      <c r="B244" t="s">
        <v>21</v>
      </c>
      <c r="C244">
        <v>1499</v>
      </c>
      <c r="D244">
        <v>0</v>
      </c>
      <c r="E244">
        <v>0</v>
      </c>
      <c r="F244">
        <f>COUNTIFS(mdr_rate_cleaned!$A$2:$A$10,B244,mdr_rate_cleaned!$B$2:$B$10,"&lt;"&amp;C244,mdr_rate_cleaned!$F$2:$F$10,"&gt;="&amp;C244)</f>
        <v>1</v>
      </c>
      <c r="G244">
        <v>0</v>
      </c>
      <c r="H244">
        <v>0</v>
      </c>
      <c r="I244" t="s">
        <v>15</v>
      </c>
      <c r="J244" t="s">
        <v>15</v>
      </c>
      <c r="K244">
        <v>0</v>
      </c>
      <c r="L244">
        <v>0</v>
      </c>
    </row>
    <row r="245" spans="1:12" x14ac:dyDescent="0.3">
      <c r="A245" t="s">
        <v>261</v>
      </c>
      <c r="B245" t="s">
        <v>17</v>
      </c>
      <c r="C245">
        <v>999</v>
      </c>
      <c r="D245">
        <v>17.98</v>
      </c>
      <c r="E245">
        <v>3.24</v>
      </c>
      <c r="F245">
        <f>COUNTIFS(mdr_rate_cleaned!$A$2:$A$10,B245,mdr_rate_cleaned!$B$2:$B$10,"&lt;"&amp;C245,mdr_rate_cleaned!$F$2:$F$10,"&gt;="&amp;C245)</f>
        <v>1</v>
      </c>
      <c r="G245">
        <v>1.7999999999999999E-2</v>
      </c>
      <c r="H245">
        <v>17.98</v>
      </c>
      <c r="I245" t="s">
        <v>15</v>
      </c>
      <c r="J245" t="s">
        <v>15</v>
      </c>
      <c r="K245">
        <v>3.24</v>
      </c>
      <c r="L245">
        <v>0</v>
      </c>
    </row>
    <row r="246" spans="1:12" x14ac:dyDescent="0.3">
      <c r="A246" t="s">
        <v>262</v>
      </c>
      <c r="B246" t="s">
        <v>21</v>
      </c>
      <c r="C246">
        <v>1799</v>
      </c>
      <c r="D246">
        <v>0</v>
      </c>
      <c r="E246">
        <v>0</v>
      </c>
      <c r="F246">
        <f>COUNTIFS(mdr_rate_cleaned!$A$2:$A$10,B246,mdr_rate_cleaned!$B$2:$B$10,"&lt;"&amp;C246,mdr_rate_cleaned!$F$2:$F$10,"&gt;="&amp;C246)</f>
        <v>1</v>
      </c>
      <c r="G246">
        <v>0</v>
      </c>
      <c r="H246">
        <v>0</v>
      </c>
      <c r="I246" t="s">
        <v>15</v>
      </c>
      <c r="J246" t="s">
        <v>15</v>
      </c>
      <c r="K246">
        <v>0</v>
      </c>
      <c r="L246">
        <v>0</v>
      </c>
    </row>
    <row r="247" spans="1:12" x14ac:dyDescent="0.3">
      <c r="A247" t="s">
        <v>263</v>
      </c>
      <c r="B247" t="s">
        <v>21</v>
      </c>
      <c r="C247">
        <v>1799</v>
      </c>
      <c r="D247">
        <v>0</v>
      </c>
      <c r="E247">
        <v>0</v>
      </c>
      <c r="F247">
        <f>COUNTIFS(mdr_rate_cleaned!$A$2:$A$10,B247,mdr_rate_cleaned!$B$2:$B$10,"&lt;"&amp;C247,mdr_rate_cleaned!$F$2:$F$10,"&gt;="&amp;C247)</f>
        <v>1</v>
      </c>
      <c r="G247">
        <v>0</v>
      </c>
      <c r="H247">
        <v>0</v>
      </c>
      <c r="I247" t="s">
        <v>15</v>
      </c>
      <c r="J247" t="s">
        <v>15</v>
      </c>
      <c r="K247">
        <v>0</v>
      </c>
      <c r="L247">
        <v>0</v>
      </c>
    </row>
    <row r="248" spans="1:12" x14ac:dyDescent="0.3">
      <c r="A248" t="s">
        <v>264</v>
      </c>
      <c r="B248" t="s">
        <v>21</v>
      </c>
      <c r="C248">
        <v>4798</v>
      </c>
      <c r="D248">
        <v>14.39</v>
      </c>
      <c r="E248">
        <v>2.59</v>
      </c>
      <c r="F248">
        <f>COUNTIFS(mdr_rate_cleaned!$A$2:$A$10,B248,mdr_rate_cleaned!$B$2:$B$10,"&lt;"&amp;C248,mdr_rate_cleaned!$F$2:$F$10,"&gt;="&amp;C248)</f>
        <v>1</v>
      </c>
      <c r="G248">
        <v>3.0000000000000001E-3</v>
      </c>
      <c r="H248">
        <v>14.39</v>
      </c>
      <c r="I248" t="s">
        <v>15</v>
      </c>
      <c r="J248" t="s">
        <v>15</v>
      </c>
      <c r="K248">
        <v>2.59</v>
      </c>
      <c r="L248">
        <v>0</v>
      </c>
    </row>
    <row r="249" spans="1:12" x14ac:dyDescent="0.3">
      <c r="A249" t="s">
        <v>265</v>
      </c>
      <c r="B249" t="s">
        <v>39</v>
      </c>
      <c r="C249">
        <v>3447</v>
      </c>
      <c r="D249">
        <v>41.36</v>
      </c>
      <c r="E249">
        <v>7.44</v>
      </c>
      <c r="F249">
        <f>COUNTIFS(mdr_rate_cleaned!$A$2:$A$10,B249,mdr_rate_cleaned!$B$2:$B$10,"&lt;"&amp;C249,mdr_rate_cleaned!$F$2:$F$10,"&gt;="&amp;C249)</f>
        <v>1</v>
      </c>
      <c r="G249">
        <v>1.2E-2</v>
      </c>
      <c r="H249">
        <v>41.36</v>
      </c>
      <c r="I249" t="s">
        <v>15</v>
      </c>
      <c r="J249" t="s">
        <v>15</v>
      </c>
      <c r="K249">
        <v>7.44</v>
      </c>
      <c r="L249">
        <v>0</v>
      </c>
    </row>
    <row r="250" spans="1:12" x14ac:dyDescent="0.3">
      <c r="A250" t="s">
        <v>266</v>
      </c>
      <c r="B250" t="s">
        <v>21</v>
      </c>
      <c r="C250">
        <v>349</v>
      </c>
      <c r="D250">
        <v>0</v>
      </c>
      <c r="E250">
        <v>0</v>
      </c>
      <c r="F250">
        <f>COUNTIFS(mdr_rate_cleaned!$A$2:$A$10,B250,mdr_rate_cleaned!$B$2:$B$10,"&lt;"&amp;C250,mdr_rate_cleaned!$F$2:$F$10,"&gt;="&amp;C250)</f>
        <v>1</v>
      </c>
      <c r="G250">
        <v>0</v>
      </c>
      <c r="H250">
        <v>0</v>
      </c>
      <c r="I250" t="s">
        <v>15</v>
      </c>
      <c r="J250" t="s">
        <v>15</v>
      </c>
      <c r="K250">
        <v>0</v>
      </c>
      <c r="L250">
        <v>0</v>
      </c>
    </row>
    <row r="251" spans="1:12" x14ac:dyDescent="0.3">
      <c r="A251" t="s">
        <v>267</v>
      </c>
      <c r="B251" t="s">
        <v>21</v>
      </c>
      <c r="C251">
        <v>2499</v>
      </c>
      <c r="D251">
        <v>7.5</v>
      </c>
      <c r="E251">
        <v>1.35</v>
      </c>
      <c r="F251">
        <f>COUNTIFS(mdr_rate_cleaned!$A$2:$A$10,B251,mdr_rate_cleaned!$B$2:$B$10,"&lt;"&amp;C251,mdr_rate_cleaned!$F$2:$F$10,"&gt;="&amp;C251)</f>
        <v>1</v>
      </c>
      <c r="G251">
        <v>3.0000000000000001E-3</v>
      </c>
      <c r="H251">
        <v>7.5</v>
      </c>
      <c r="I251" t="s">
        <v>15</v>
      </c>
      <c r="J251" t="s">
        <v>15</v>
      </c>
      <c r="K251">
        <v>1.35</v>
      </c>
      <c r="L251">
        <v>0</v>
      </c>
    </row>
    <row r="252" spans="1:12" x14ac:dyDescent="0.3">
      <c r="A252" t="s">
        <v>268</v>
      </c>
      <c r="B252" t="s">
        <v>17</v>
      </c>
      <c r="C252">
        <v>999</v>
      </c>
      <c r="D252">
        <v>17.98</v>
      </c>
      <c r="E252">
        <v>3.24</v>
      </c>
      <c r="F252">
        <f>COUNTIFS(mdr_rate_cleaned!$A$2:$A$10,B252,mdr_rate_cleaned!$B$2:$B$10,"&lt;"&amp;C252,mdr_rate_cleaned!$F$2:$F$10,"&gt;="&amp;C252)</f>
        <v>1</v>
      </c>
      <c r="G252">
        <v>1.7999999999999999E-2</v>
      </c>
      <c r="H252">
        <v>17.98</v>
      </c>
      <c r="I252" t="s">
        <v>15</v>
      </c>
      <c r="J252" t="s">
        <v>15</v>
      </c>
      <c r="K252">
        <v>3.24</v>
      </c>
      <c r="L252">
        <v>0</v>
      </c>
    </row>
    <row r="253" spans="1:12" x14ac:dyDescent="0.3">
      <c r="A253" t="s">
        <v>269</v>
      </c>
      <c r="B253" t="s">
        <v>17</v>
      </c>
      <c r="C253">
        <v>4999</v>
      </c>
      <c r="D253">
        <v>79.98</v>
      </c>
      <c r="E253">
        <v>14.4</v>
      </c>
      <c r="F253">
        <f>COUNTIFS(mdr_rate_cleaned!$A$2:$A$10,B253,mdr_rate_cleaned!$B$2:$B$10,"&lt;"&amp;C253,mdr_rate_cleaned!$F$2:$F$10,"&gt;="&amp;C253)</f>
        <v>1</v>
      </c>
      <c r="G253">
        <v>1.6E-2</v>
      </c>
      <c r="H253">
        <v>79.98</v>
      </c>
      <c r="I253" t="s">
        <v>15</v>
      </c>
      <c r="J253" t="s">
        <v>15</v>
      </c>
      <c r="K253">
        <v>14.4</v>
      </c>
      <c r="L253">
        <v>0</v>
      </c>
    </row>
    <row r="254" spans="1:12" x14ac:dyDescent="0.3">
      <c r="A254" t="s">
        <v>270</v>
      </c>
      <c r="B254" t="s">
        <v>17</v>
      </c>
      <c r="C254">
        <v>349</v>
      </c>
      <c r="D254">
        <v>6.28</v>
      </c>
      <c r="E254">
        <v>1.1299999999999999</v>
      </c>
      <c r="F254">
        <f>COUNTIFS(mdr_rate_cleaned!$A$2:$A$10,B254,mdr_rate_cleaned!$B$2:$B$10,"&lt;"&amp;C254,mdr_rate_cleaned!$F$2:$F$10,"&gt;="&amp;C254)</f>
        <v>1</v>
      </c>
      <c r="G254">
        <v>1.7999999999999999E-2</v>
      </c>
      <c r="H254">
        <v>6.28</v>
      </c>
      <c r="I254" t="s">
        <v>15</v>
      </c>
      <c r="J254" t="s">
        <v>15</v>
      </c>
      <c r="K254">
        <v>1.1299999999999999</v>
      </c>
      <c r="L254">
        <v>0</v>
      </c>
    </row>
    <row r="255" spans="1:12" x14ac:dyDescent="0.3">
      <c r="A255" t="s">
        <v>271</v>
      </c>
      <c r="B255" t="s">
        <v>21</v>
      </c>
      <c r="C255">
        <v>2998</v>
      </c>
      <c r="D255">
        <v>8.99</v>
      </c>
      <c r="E255">
        <v>1.62</v>
      </c>
      <c r="F255">
        <f>COUNTIFS(mdr_rate_cleaned!$A$2:$A$10,B255,mdr_rate_cleaned!$B$2:$B$10,"&lt;"&amp;C255,mdr_rate_cleaned!$F$2:$F$10,"&gt;="&amp;C255)</f>
        <v>1</v>
      </c>
      <c r="G255">
        <v>3.0000000000000001E-3</v>
      </c>
      <c r="H255">
        <v>8.99</v>
      </c>
      <c r="I255" t="s">
        <v>15</v>
      </c>
      <c r="J255" t="s">
        <v>15</v>
      </c>
      <c r="K255">
        <v>1.62</v>
      </c>
      <c r="L255">
        <v>0</v>
      </c>
    </row>
    <row r="256" spans="1:12" x14ac:dyDescent="0.3">
      <c r="A256" t="s">
        <v>272</v>
      </c>
      <c r="B256" t="s">
        <v>17</v>
      </c>
      <c r="C256">
        <v>1299</v>
      </c>
      <c r="D256">
        <v>23.38</v>
      </c>
      <c r="E256">
        <v>4.21</v>
      </c>
      <c r="F256">
        <f>COUNTIFS(mdr_rate_cleaned!$A$2:$A$10,B256,mdr_rate_cleaned!$B$2:$B$10,"&lt;"&amp;C256,mdr_rate_cleaned!$F$2:$F$10,"&gt;="&amp;C256)</f>
        <v>1</v>
      </c>
      <c r="G256">
        <v>1.7999999999999999E-2</v>
      </c>
      <c r="H256">
        <v>23.38</v>
      </c>
      <c r="I256" t="s">
        <v>15</v>
      </c>
      <c r="J256" t="s">
        <v>15</v>
      </c>
      <c r="K256">
        <v>4.21</v>
      </c>
      <c r="L256">
        <v>0</v>
      </c>
    </row>
    <row r="257" spans="1:12" x14ac:dyDescent="0.3">
      <c r="A257" t="s">
        <v>273</v>
      </c>
      <c r="B257" t="s">
        <v>17</v>
      </c>
      <c r="C257">
        <v>3499</v>
      </c>
      <c r="D257">
        <v>55.98</v>
      </c>
      <c r="E257">
        <v>10.08</v>
      </c>
      <c r="F257">
        <f>COUNTIFS(mdr_rate_cleaned!$A$2:$A$10,B257,mdr_rate_cleaned!$B$2:$B$10,"&lt;"&amp;C257,mdr_rate_cleaned!$F$2:$F$10,"&gt;="&amp;C257)</f>
        <v>1</v>
      </c>
      <c r="G257">
        <v>1.6E-2</v>
      </c>
      <c r="H257">
        <v>55.98</v>
      </c>
      <c r="I257" t="s">
        <v>15</v>
      </c>
      <c r="J257" t="s">
        <v>15</v>
      </c>
      <c r="K257">
        <v>10.08</v>
      </c>
      <c r="L257">
        <v>0</v>
      </c>
    </row>
    <row r="258" spans="1:12" x14ac:dyDescent="0.3">
      <c r="A258" t="s">
        <v>274</v>
      </c>
      <c r="B258" t="s">
        <v>39</v>
      </c>
      <c r="C258">
        <v>799</v>
      </c>
      <c r="D258">
        <v>11.99</v>
      </c>
      <c r="E258">
        <v>2.16</v>
      </c>
      <c r="F258">
        <f>COUNTIFS(mdr_rate_cleaned!$A$2:$A$10,B258,mdr_rate_cleaned!$B$2:$B$10,"&lt;"&amp;C258,mdr_rate_cleaned!$F$2:$F$10,"&gt;="&amp;C258)</f>
        <v>1</v>
      </c>
      <c r="G258">
        <v>1.4999999999999999E-2</v>
      </c>
      <c r="H258">
        <v>11.99</v>
      </c>
      <c r="I258" t="s">
        <v>15</v>
      </c>
      <c r="J258" t="s">
        <v>15</v>
      </c>
      <c r="K258">
        <v>2.16</v>
      </c>
      <c r="L258">
        <v>0</v>
      </c>
    </row>
    <row r="259" spans="1:12" x14ac:dyDescent="0.3">
      <c r="A259" t="s">
        <v>275</v>
      </c>
      <c r="B259" t="s">
        <v>21</v>
      </c>
      <c r="C259">
        <v>5298</v>
      </c>
      <c r="D259">
        <v>15.89</v>
      </c>
      <c r="E259">
        <v>2.86</v>
      </c>
      <c r="F259">
        <f>COUNTIFS(mdr_rate_cleaned!$A$2:$A$10,B259,mdr_rate_cleaned!$B$2:$B$10,"&lt;"&amp;C259,mdr_rate_cleaned!$F$2:$F$10,"&gt;="&amp;C259)</f>
        <v>1</v>
      </c>
      <c r="G259">
        <v>3.0000000000000001E-3</v>
      </c>
      <c r="H259">
        <v>15.89</v>
      </c>
      <c r="I259" t="s">
        <v>15</v>
      </c>
      <c r="J259" t="s">
        <v>15</v>
      </c>
      <c r="K259">
        <v>2.86</v>
      </c>
      <c r="L259">
        <v>0</v>
      </c>
    </row>
    <row r="260" spans="1:12" x14ac:dyDescent="0.3">
      <c r="A260" t="s">
        <v>276</v>
      </c>
      <c r="B260" t="s">
        <v>21</v>
      </c>
      <c r="C260">
        <v>799</v>
      </c>
      <c r="D260">
        <v>0</v>
      </c>
      <c r="E260">
        <v>0</v>
      </c>
      <c r="F260">
        <f>COUNTIFS(mdr_rate_cleaned!$A$2:$A$10,B260,mdr_rate_cleaned!$B$2:$B$10,"&lt;"&amp;C260,mdr_rate_cleaned!$F$2:$F$10,"&gt;="&amp;C260)</f>
        <v>1</v>
      </c>
      <c r="G260">
        <v>0</v>
      </c>
      <c r="H260">
        <v>0</v>
      </c>
      <c r="I260" t="s">
        <v>15</v>
      </c>
      <c r="J260" t="s">
        <v>15</v>
      </c>
      <c r="K260">
        <v>0</v>
      </c>
      <c r="L260">
        <v>0</v>
      </c>
    </row>
    <row r="261" spans="1:12" x14ac:dyDescent="0.3">
      <c r="A261" t="s">
        <v>277</v>
      </c>
      <c r="B261" t="s">
        <v>21</v>
      </c>
      <c r="C261">
        <v>2499</v>
      </c>
      <c r="D261">
        <v>7.5</v>
      </c>
      <c r="E261">
        <v>1.35</v>
      </c>
      <c r="F261">
        <f>COUNTIFS(mdr_rate_cleaned!$A$2:$A$10,B261,mdr_rate_cleaned!$B$2:$B$10,"&lt;"&amp;C261,mdr_rate_cleaned!$F$2:$F$10,"&gt;="&amp;C261)</f>
        <v>1</v>
      </c>
      <c r="G261">
        <v>3.0000000000000001E-3</v>
      </c>
      <c r="H261">
        <v>7.5</v>
      </c>
      <c r="I261" t="s">
        <v>15</v>
      </c>
      <c r="J261" t="s">
        <v>15</v>
      </c>
      <c r="K261">
        <v>1.35</v>
      </c>
      <c r="L261">
        <v>0</v>
      </c>
    </row>
    <row r="262" spans="1:12" x14ac:dyDescent="0.3">
      <c r="A262" t="s">
        <v>278</v>
      </c>
      <c r="B262" t="s">
        <v>21</v>
      </c>
      <c r="C262">
        <v>499</v>
      </c>
      <c r="D262">
        <v>0</v>
      </c>
      <c r="E262">
        <v>0</v>
      </c>
      <c r="F262">
        <f>COUNTIFS(mdr_rate_cleaned!$A$2:$A$10,B262,mdr_rate_cleaned!$B$2:$B$10,"&lt;"&amp;C262,mdr_rate_cleaned!$F$2:$F$10,"&gt;="&amp;C262)</f>
        <v>1</v>
      </c>
      <c r="G262">
        <v>0</v>
      </c>
      <c r="H262">
        <v>0</v>
      </c>
      <c r="I262" t="s">
        <v>15</v>
      </c>
      <c r="J262" t="s">
        <v>15</v>
      </c>
      <c r="K262">
        <v>0</v>
      </c>
      <c r="L262">
        <v>0</v>
      </c>
    </row>
    <row r="263" spans="1:12" x14ac:dyDescent="0.3">
      <c r="A263" t="s">
        <v>279</v>
      </c>
      <c r="B263" t="s">
        <v>17</v>
      </c>
      <c r="C263">
        <v>999</v>
      </c>
      <c r="D263">
        <v>17.98</v>
      </c>
      <c r="E263">
        <v>3.24</v>
      </c>
      <c r="F263">
        <f>COUNTIFS(mdr_rate_cleaned!$A$2:$A$10,B263,mdr_rate_cleaned!$B$2:$B$10,"&lt;"&amp;C263,mdr_rate_cleaned!$F$2:$F$10,"&gt;="&amp;C263)</f>
        <v>1</v>
      </c>
      <c r="G263">
        <v>1.7999999999999999E-2</v>
      </c>
      <c r="H263">
        <v>17.98</v>
      </c>
      <c r="I263" t="s">
        <v>15</v>
      </c>
      <c r="J263" t="s">
        <v>15</v>
      </c>
      <c r="K263">
        <v>3.24</v>
      </c>
      <c r="L263">
        <v>0</v>
      </c>
    </row>
    <row r="264" spans="1:12" x14ac:dyDescent="0.3">
      <c r="A264" t="s">
        <v>280</v>
      </c>
      <c r="B264" t="s">
        <v>17</v>
      </c>
      <c r="C264">
        <v>1098</v>
      </c>
      <c r="D264">
        <v>19.760000000000002</v>
      </c>
      <c r="E264">
        <v>3.56</v>
      </c>
      <c r="F264">
        <f>COUNTIFS(mdr_rate_cleaned!$A$2:$A$10,B264,mdr_rate_cleaned!$B$2:$B$10,"&lt;"&amp;C264,mdr_rate_cleaned!$F$2:$F$10,"&gt;="&amp;C264)</f>
        <v>1</v>
      </c>
      <c r="G264">
        <v>1.7999999999999999E-2</v>
      </c>
      <c r="H264">
        <v>19.760000000000002</v>
      </c>
      <c r="I264" t="s">
        <v>15</v>
      </c>
      <c r="J264" t="s">
        <v>15</v>
      </c>
      <c r="K264">
        <v>3.56</v>
      </c>
      <c r="L264">
        <v>0</v>
      </c>
    </row>
    <row r="265" spans="1:12" x14ac:dyDescent="0.3">
      <c r="A265" t="s">
        <v>281</v>
      </c>
      <c r="B265" t="s">
        <v>21</v>
      </c>
      <c r="C265">
        <v>499</v>
      </c>
      <c r="D265">
        <v>0</v>
      </c>
      <c r="E265">
        <v>0</v>
      </c>
      <c r="F265">
        <f>COUNTIFS(mdr_rate_cleaned!$A$2:$A$10,B265,mdr_rate_cleaned!$B$2:$B$10,"&lt;"&amp;C265,mdr_rate_cleaned!$F$2:$F$10,"&gt;="&amp;C265)</f>
        <v>1</v>
      </c>
      <c r="G265">
        <v>0</v>
      </c>
      <c r="H265">
        <v>0</v>
      </c>
      <c r="I265" t="s">
        <v>15</v>
      </c>
      <c r="J265" t="s">
        <v>15</v>
      </c>
      <c r="K265">
        <v>0</v>
      </c>
      <c r="L265">
        <v>0</v>
      </c>
    </row>
    <row r="266" spans="1:12" x14ac:dyDescent="0.3">
      <c r="A266" t="s">
        <v>282</v>
      </c>
      <c r="B266" t="s">
        <v>17</v>
      </c>
      <c r="C266">
        <v>3499</v>
      </c>
      <c r="D266">
        <v>55.98</v>
      </c>
      <c r="E266">
        <v>10.08</v>
      </c>
      <c r="F266">
        <f>COUNTIFS(mdr_rate_cleaned!$A$2:$A$10,B266,mdr_rate_cleaned!$B$2:$B$10,"&lt;"&amp;C266,mdr_rate_cleaned!$F$2:$F$10,"&gt;="&amp;C266)</f>
        <v>1</v>
      </c>
      <c r="G266">
        <v>1.6E-2</v>
      </c>
      <c r="H266">
        <v>55.98</v>
      </c>
      <c r="I266" t="s">
        <v>15</v>
      </c>
      <c r="J266" t="s">
        <v>15</v>
      </c>
      <c r="K266">
        <v>10.08</v>
      </c>
      <c r="L266">
        <v>0</v>
      </c>
    </row>
    <row r="267" spans="1:12" x14ac:dyDescent="0.3">
      <c r="A267" t="s">
        <v>283</v>
      </c>
      <c r="B267" t="s">
        <v>17</v>
      </c>
      <c r="C267">
        <v>2298</v>
      </c>
      <c r="D267">
        <v>36.770000000000003</v>
      </c>
      <c r="E267">
        <v>6.62</v>
      </c>
      <c r="F267">
        <f>COUNTIFS(mdr_rate_cleaned!$A$2:$A$10,B267,mdr_rate_cleaned!$B$2:$B$10,"&lt;"&amp;C267,mdr_rate_cleaned!$F$2:$F$10,"&gt;="&amp;C267)</f>
        <v>1</v>
      </c>
      <c r="G267">
        <v>1.6E-2</v>
      </c>
      <c r="H267">
        <v>36.770000000000003</v>
      </c>
      <c r="I267" t="s">
        <v>15</v>
      </c>
      <c r="J267" t="s">
        <v>15</v>
      </c>
      <c r="K267">
        <v>6.62</v>
      </c>
      <c r="L267">
        <v>0</v>
      </c>
    </row>
    <row r="268" spans="1:12" x14ac:dyDescent="0.3">
      <c r="A268" t="s">
        <v>284</v>
      </c>
      <c r="B268" t="s">
        <v>21</v>
      </c>
      <c r="C268">
        <v>898</v>
      </c>
      <c r="D268">
        <v>0</v>
      </c>
      <c r="E268">
        <v>0</v>
      </c>
      <c r="F268">
        <f>COUNTIFS(mdr_rate_cleaned!$A$2:$A$10,B268,mdr_rate_cleaned!$B$2:$B$10,"&lt;"&amp;C268,mdr_rate_cleaned!$F$2:$F$10,"&gt;="&amp;C268)</f>
        <v>1</v>
      </c>
      <c r="G268">
        <v>0</v>
      </c>
      <c r="H268">
        <v>0</v>
      </c>
      <c r="I268" t="s">
        <v>15</v>
      </c>
      <c r="J268" t="s">
        <v>15</v>
      </c>
      <c r="K268">
        <v>0</v>
      </c>
      <c r="L268">
        <v>0</v>
      </c>
    </row>
    <row r="269" spans="1:12" x14ac:dyDescent="0.3">
      <c r="A269" t="s">
        <v>285</v>
      </c>
      <c r="B269" t="s">
        <v>39</v>
      </c>
      <c r="C269">
        <v>2999</v>
      </c>
      <c r="D269">
        <v>35.99</v>
      </c>
      <c r="E269">
        <v>6.48</v>
      </c>
      <c r="F269">
        <f>COUNTIFS(mdr_rate_cleaned!$A$2:$A$10,B269,mdr_rate_cleaned!$B$2:$B$10,"&lt;"&amp;C269,mdr_rate_cleaned!$F$2:$F$10,"&gt;="&amp;C269)</f>
        <v>1</v>
      </c>
      <c r="G269">
        <v>1.2E-2</v>
      </c>
      <c r="H269">
        <v>35.99</v>
      </c>
      <c r="I269" t="s">
        <v>15</v>
      </c>
      <c r="J269" t="s">
        <v>15</v>
      </c>
      <c r="K269">
        <v>6.48</v>
      </c>
      <c r="L269">
        <v>0</v>
      </c>
    </row>
    <row r="270" spans="1:12" x14ac:dyDescent="0.3">
      <c r="A270" t="s">
        <v>286</v>
      </c>
      <c r="B270" t="s">
        <v>21</v>
      </c>
      <c r="C270">
        <v>7597</v>
      </c>
      <c r="D270">
        <v>22.79</v>
      </c>
      <c r="E270">
        <v>4.0999999999999996</v>
      </c>
      <c r="F270">
        <f>COUNTIFS(mdr_rate_cleaned!$A$2:$A$10,B270,mdr_rate_cleaned!$B$2:$B$10,"&lt;"&amp;C270,mdr_rate_cleaned!$F$2:$F$10,"&gt;="&amp;C270)</f>
        <v>1</v>
      </c>
      <c r="G270">
        <v>3.0000000000000001E-3</v>
      </c>
      <c r="H270">
        <v>22.79</v>
      </c>
      <c r="I270" t="s">
        <v>15</v>
      </c>
      <c r="J270" t="s">
        <v>15</v>
      </c>
      <c r="K270">
        <v>4.0999999999999996</v>
      </c>
      <c r="L270">
        <v>0</v>
      </c>
    </row>
    <row r="271" spans="1:12" x14ac:dyDescent="0.3">
      <c r="A271" t="s">
        <v>287</v>
      </c>
      <c r="B271" t="s">
        <v>21</v>
      </c>
      <c r="C271">
        <v>3499</v>
      </c>
      <c r="D271">
        <v>10.5</v>
      </c>
      <c r="E271">
        <v>1.89</v>
      </c>
      <c r="F271">
        <f>COUNTIFS(mdr_rate_cleaned!$A$2:$A$10,B271,mdr_rate_cleaned!$B$2:$B$10,"&lt;"&amp;C271,mdr_rate_cleaned!$F$2:$F$10,"&gt;="&amp;C271)</f>
        <v>1</v>
      </c>
      <c r="G271">
        <v>3.0000000000000001E-3</v>
      </c>
      <c r="H271">
        <v>10.5</v>
      </c>
      <c r="I271" t="s">
        <v>15</v>
      </c>
      <c r="J271" t="s">
        <v>15</v>
      </c>
      <c r="K271">
        <v>1.89</v>
      </c>
      <c r="L271">
        <v>0</v>
      </c>
    </row>
    <row r="272" spans="1:12" x14ac:dyDescent="0.3">
      <c r="A272" t="s">
        <v>288</v>
      </c>
      <c r="B272" t="s">
        <v>21</v>
      </c>
      <c r="C272">
        <v>499</v>
      </c>
      <c r="D272">
        <v>0</v>
      </c>
      <c r="E272">
        <v>0</v>
      </c>
      <c r="F272">
        <f>COUNTIFS(mdr_rate_cleaned!$A$2:$A$10,B272,mdr_rate_cleaned!$B$2:$B$10,"&lt;"&amp;C272,mdr_rate_cleaned!$F$2:$F$10,"&gt;="&amp;C272)</f>
        <v>1</v>
      </c>
      <c r="G272">
        <v>0</v>
      </c>
      <c r="H272">
        <v>0</v>
      </c>
      <c r="I272" t="s">
        <v>15</v>
      </c>
      <c r="J272" t="s">
        <v>15</v>
      </c>
      <c r="K272">
        <v>0</v>
      </c>
      <c r="L272">
        <v>0</v>
      </c>
    </row>
    <row r="273" spans="1:12" x14ac:dyDescent="0.3">
      <c r="A273" t="s">
        <v>289</v>
      </c>
      <c r="B273" t="s">
        <v>17</v>
      </c>
      <c r="C273">
        <v>349</v>
      </c>
      <c r="D273">
        <v>6.28</v>
      </c>
      <c r="E273">
        <v>1.1299999999999999</v>
      </c>
      <c r="F273">
        <f>COUNTIFS(mdr_rate_cleaned!$A$2:$A$10,B273,mdr_rate_cleaned!$B$2:$B$10,"&lt;"&amp;C273,mdr_rate_cleaned!$F$2:$F$10,"&gt;="&amp;C273)</f>
        <v>1</v>
      </c>
      <c r="G273">
        <v>1.7999999999999999E-2</v>
      </c>
      <c r="H273">
        <v>6.28</v>
      </c>
      <c r="I273" t="s">
        <v>15</v>
      </c>
      <c r="J273" t="s">
        <v>15</v>
      </c>
      <c r="K273">
        <v>1.1299999999999999</v>
      </c>
      <c r="L273">
        <v>0</v>
      </c>
    </row>
    <row r="274" spans="1:12" x14ac:dyDescent="0.3">
      <c r="A274" t="s">
        <v>290</v>
      </c>
      <c r="B274" t="s">
        <v>21</v>
      </c>
      <c r="C274">
        <v>2499</v>
      </c>
      <c r="D274">
        <v>7.5</v>
      </c>
      <c r="E274">
        <v>1.35</v>
      </c>
      <c r="F274">
        <f>COUNTIFS(mdr_rate_cleaned!$A$2:$A$10,B274,mdr_rate_cleaned!$B$2:$B$10,"&lt;"&amp;C274,mdr_rate_cleaned!$F$2:$F$10,"&gt;="&amp;C274)</f>
        <v>1</v>
      </c>
      <c r="G274">
        <v>3.0000000000000001E-3</v>
      </c>
      <c r="H274">
        <v>7.5</v>
      </c>
      <c r="I274" t="s">
        <v>15</v>
      </c>
      <c r="J274" t="s">
        <v>15</v>
      </c>
      <c r="K274">
        <v>1.35</v>
      </c>
      <c r="L274">
        <v>0</v>
      </c>
    </row>
    <row r="275" spans="1:12" x14ac:dyDescent="0.3">
      <c r="A275" t="s">
        <v>291</v>
      </c>
      <c r="B275" t="s">
        <v>21</v>
      </c>
      <c r="C275">
        <v>299</v>
      </c>
      <c r="D275">
        <v>0</v>
      </c>
      <c r="E275">
        <v>0</v>
      </c>
      <c r="F275">
        <f>COUNTIFS(mdr_rate_cleaned!$A$2:$A$10,B275,mdr_rate_cleaned!$B$2:$B$10,"&lt;"&amp;C275,mdr_rate_cleaned!$F$2:$F$10,"&gt;="&amp;C275)</f>
        <v>1</v>
      </c>
      <c r="G275">
        <v>0</v>
      </c>
      <c r="H275">
        <v>0</v>
      </c>
      <c r="I275" t="s">
        <v>15</v>
      </c>
      <c r="J275" t="s">
        <v>15</v>
      </c>
      <c r="K275">
        <v>0</v>
      </c>
      <c r="L275">
        <v>0</v>
      </c>
    </row>
    <row r="276" spans="1:12" x14ac:dyDescent="0.3">
      <c r="A276" t="s">
        <v>292</v>
      </c>
      <c r="B276" t="s">
        <v>21</v>
      </c>
      <c r="C276">
        <v>4298</v>
      </c>
      <c r="D276">
        <v>12.89</v>
      </c>
      <c r="E276">
        <v>2.3199999999999998</v>
      </c>
      <c r="F276">
        <f>COUNTIFS(mdr_rate_cleaned!$A$2:$A$10,B276,mdr_rate_cleaned!$B$2:$B$10,"&lt;"&amp;C276,mdr_rate_cleaned!$F$2:$F$10,"&gt;="&amp;C276)</f>
        <v>1</v>
      </c>
      <c r="G276">
        <v>3.0000000000000001E-3</v>
      </c>
      <c r="H276">
        <v>12.89</v>
      </c>
      <c r="I276" t="s">
        <v>15</v>
      </c>
      <c r="J276" t="s">
        <v>15</v>
      </c>
      <c r="K276">
        <v>2.3199999999999998</v>
      </c>
      <c r="L276">
        <v>0</v>
      </c>
    </row>
    <row r="277" spans="1:12" x14ac:dyDescent="0.3">
      <c r="A277" t="s">
        <v>293</v>
      </c>
      <c r="B277" t="s">
        <v>17</v>
      </c>
      <c r="C277">
        <v>7999</v>
      </c>
      <c r="D277">
        <v>127.98</v>
      </c>
      <c r="E277">
        <v>23.04</v>
      </c>
      <c r="F277">
        <f>COUNTIFS(mdr_rate_cleaned!$A$2:$A$10,B277,mdr_rate_cleaned!$B$2:$B$10,"&lt;"&amp;C277,mdr_rate_cleaned!$F$2:$F$10,"&gt;="&amp;C277)</f>
        <v>1</v>
      </c>
      <c r="G277">
        <v>1.6E-2</v>
      </c>
      <c r="H277">
        <v>127.98</v>
      </c>
      <c r="I277" t="s">
        <v>15</v>
      </c>
      <c r="J277" t="s">
        <v>15</v>
      </c>
      <c r="K277">
        <v>23.04</v>
      </c>
      <c r="L277">
        <v>0</v>
      </c>
    </row>
    <row r="278" spans="1:12" x14ac:dyDescent="0.3">
      <c r="A278" t="s">
        <v>294</v>
      </c>
      <c r="B278" t="s">
        <v>21</v>
      </c>
      <c r="C278">
        <v>999</v>
      </c>
      <c r="D278">
        <v>0</v>
      </c>
      <c r="E278">
        <v>0</v>
      </c>
      <c r="F278">
        <f>COUNTIFS(mdr_rate_cleaned!$A$2:$A$10,B278,mdr_rate_cleaned!$B$2:$B$10,"&lt;"&amp;C278,mdr_rate_cleaned!$F$2:$F$10,"&gt;="&amp;C278)</f>
        <v>1</v>
      </c>
      <c r="G278">
        <v>0</v>
      </c>
      <c r="H278">
        <v>0</v>
      </c>
      <c r="I278" t="s">
        <v>15</v>
      </c>
      <c r="J278" t="s">
        <v>15</v>
      </c>
      <c r="K278">
        <v>0</v>
      </c>
      <c r="L278">
        <v>0</v>
      </c>
    </row>
    <row r="279" spans="1:12" x14ac:dyDescent="0.3">
      <c r="A279" t="s">
        <v>295</v>
      </c>
      <c r="B279" t="s">
        <v>21</v>
      </c>
      <c r="C279">
        <v>2999</v>
      </c>
      <c r="D279">
        <v>9</v>
      </c>
      <c r="E279">
        <v>1.62</v>
      </c>
      <c r="F279">
        <f>COUNTIFS(mdr_rate_cleaned!$A$2:$A$10,B279,mdr_rate_cleaned!$B$2:$B$10,"&lt;"&amp;C279,mdr_rate_cleaned!$F$2:$F$10,"&gt;="&amp;C279)</f>
        <v>1</v>
      </c>
      <c r="G279">
        <v>3.0000000000000001E-3</v>
      </c>
      <c r="H279">
        <v>9</v>
      </c>
      <c r="I279" t="s">
        <v>15</v>
      </c>
      <c r="J279" t="s">
        <v>15</v>
      </c>
      <c r="K279">
        <v>1.62</v>
      </c>
      <c r="L279">
        <v>0</v>
      </c>
    </row>
    <row r="280" spans="1:12" x14ac:dyDescent="0.3">
      <c r="A280" t="s">
        <v>296</v>
      </c>
      <c r="B280" t="s">
        <v>21</v>
      </c>
      <c r="C280">
        <v>349</v>
      </c>
      <c r="D280">
        <v>0</v>
      </c>
      <c r="E280">
        <v>0</v>
      </c>
      <c r="F280">
        <f>COUNTIFS(mdr_rate_cleaned!$A$2:$A$10,B280,mdr_rate_cleaned!$B$2:$B$10,"&lt;"&amp;C280,mdr_rate_cleaned!$F$2:$F$10,"&gt;="&amp;C280)</f>
        <v>1</v>
      </c>
      <c r="G280">
        <v>0</v>
      </c>
      <c r="H280">
        <v>0</v>
      </c>
      <c r="I280" t="s">
        <v>15</v>
      </c>
      <c r="J280" t="s">
        <v>15</v>
      </c>
      <c r="K280">
        <v>0</v>
      </c>
      <c r="L280">
        <v>0</v>
      </c>
    </row>
    <row r="281" spans="1:12" x14ac:dyDescent="0.3">
      <c r="A281" t="s">
        <v>297</v>
      </c>
      <c r="B281" t="s">
        <v>17</v>
      </c>
      <c r="C281">
        <v>1799</v>
      </c>
      <c r="D281">
        <v>32.380000000000003</v>
      </c>
      <c r="E281">
        <v>5.83</v>
      </c>
      <c r="F281">
        <f>COUNTIFS(mdr_rate_cleaned!$A$2:$A$10,B281,mdr_rate_cleaned!$B$2:$B$10,"&lt;"&amp;C281,mdr_rate_cleaned!$F$2:$F$10,"&gt;="&amp;C281)</f>
        <v>1</v>
      </c>
      <c r="G281">
        <v>1.7999999999999999E-2</v>
      </c>
      <c r="H281">
        <v>32.380000000000003</v>
      </c>
      <c r="I281" t="s">
        <v>15</v>
      </c>
      <c r="J281" t="s">
        <v>15</v>
      </c>
      <c r="K281">
        <v>5.83</v>
      </c>
      <c r="L281">
        <v>0</v>
      </c>
    </row>
    <row r="282" spans="1:12" x14ac:dyDescent="0.3">
      <c r="A282" t="s">
        <v>298</v>
      </c>
      <c r="B282" t="s">
        <v>21</v>
      </c>
      <c r="C282">
        <v>2597</v>
      </c>
      <c r="D282">
        <v>7.79</v>
      </c>
      <c r="E282">
        <v>1.4</v>
      </c>
      <c r="F282">
        <f>COUNTIFS(mdr_rate_cleaned!$A$2:$A$10,B282,mdr_rate_cleaned!$B$2:$B$10,"&lt;"&amp;C282,mdr_rate_cleaned!$F$2:$F$10,"&gt;="&amp;C282)</f>
        <v>1</v>
      </c>
      <c r="G282">
        <v>3.0000000000000001E-3</v>
      </c>
      <c r="H282">
        <v>7.79</v>
      </c>
      <c r="I282" t="s">
        <v>15</v>
      </c>
      <c r="J282" t="s">
        <v>15</v>
      </c>
      <c r="K282">
        <v>1.4</v>
      </c>
      <c r="L282">
        <v>0</v>
      </c>
    </row>
    <row r="283" spans="1:12" x14ac:dyDescent="0.3">
      <c r="A283" t="s">
        <v>299</v>
      </c>
      <c r="B283" t="s">
        <v>17</v>
      </c>
      <c r="C283">
        <v>4999</v>
      </c>
      <c r="D283">
        <v>79.98</v>
      </c>
      <c r="E283">
        <v>14.4</v>
      </c>
      <c r="F283">
        <f>COUNTIFS(mdr_rate_cleaned!$A$2:$A$10,B283,mdr_rate_cleaned!$B$2:$B$10,"&lt;"&amp;C283,mdr_rate_cleaned!$F$2:$F$10,"&gt;="&amp;C283)</f>
        <v>1</v>
      </c>
      <c r="G283">
        <v>1.6E-2</v>
      </c>
      <c r="H283">
        <v>79.98</v>
      </c>
      <c r="I283" t="s">
        <v>15</v>
      </c>
      <c r="J283" t="s">
        <v>15</v>
      </c>
      <c r="K283">
        <v>14.4</v>
      </c>
      <c r="L283">
        <v>0</v>
      </c>
    </row>
    <row r="284" spans="1:12" x14ac:dyDescent="0.3">
      <c r="A284" t="s">
        <v>300</v>
      </c>
      <c r="B284" t="s">
        <v>13</v>
      </c>
      <c r="C284">
        <v>7999</v>
      </c>
      <c r="D284">
        <v>191.98</v>
      </c>
      <c r="E284">
        <v>34.56</v>
      </c>
      <c r="F284">
        <f>COUNTIFS(mdr_rate_cleaned!$A$2:$A$10,B284,mdr_rate_cleaned!$B$2:$B$10,"&lt;"&amp;C284,mdr_rate_cleaned!$F$2:$F$10,"&gt;="&amp;C284)</f>
        <v>1</v>
      </c>
      <c r="G284">
        <v>1.7000000000000001E-2</v>
      </c>
      <c r="H284">
        <v>135.97999999999999</v>
      </c>
      <c r="I284" t="s">
        <v>14</v>
      </c>
      <c r="J284" t="s">
        <v>15</v>
      </c>
      <c r="K284">
        <v>24.48</v>
      </c>
      <c r="L284">
        <v>66.08</v>
      </c>
    </row>
    <row r="285" spans="1:12" x14ac:dyDescent="0.3">
      <c r="A285" t="s">
        <v>301</v>
      </c>
      <c r="B285" t="s">
        <v>39</v>
      </c>
      <c r="C285">
        <v>1299</v>
      </c>
      <c r="D285">
        <v>19.489999999999998</v>
      </c>
      <c r="E285">
        <v>3.51</v>
      </c>
      <c r="F285">
        <f>COUNTIFS(mdr_rate_cleaned!$A$2:$A$10,B285,mdr_rate_cleaned!$B$2:$B$10,"&lt;"&amp;C285,mdr_rate_cleaned!$F$2:$F$10,"&gt;="&amp;C285)</f>
        <v>1</v>
      </c>
      <c r="G285">
        <v>1.4999999999999999E-2</v>
      </c>
      <c r="H285">
        <v>19.489999999999998</v>
      </c>
      <c r="I285" t="s">
        <v>15</v>
      </c>
      <c r="J285" t="s">
        <v>15</v>
      </c>
      <c r="K285">
        <v>3.51</v>
      </c>
      <c r="L285">
        <v>0</v>
      </c>
    </row>
    <row r="286" spans="1:12" x14ac:dyDescent="0.3">
      <c r="A286" t="s">
        <v>302</v>
      </c>
      <c r="B286" t="s">
        <v>39</v>
      </c>
      <c r="C286">
        <v>349</v>
      </c>
      <c r="D286">
        <v>5.24</v>
      </c>
      <c r="E286">
        <v>0.94</v>
      </c>
      <c r="F286">
        <f>COUNTIFS(mdr_rate_cleaned!$A$2:$A$10,B286,mdr_rate_cleaned!$B$2:$B$10,"&lt;"&amp;C286,mdr_rate_cleaned!$F$2:$F$10,"&gt;="&amp;C286)</f>
        <v>1</v>
      </c>
      <c r="G286">
        <v>1.4999999999999999E-2</v>
      </c>
      <c r="H286">
        <v>5.24</v>
      </c>
      <c r="I286" t="s">
        <v>15</v>
      </c>
      <c r="J286" t="s">
        <v>15</v>
      </c>
      <c r="K286">
        <v>0.94</v>
      </c>
      <c r="L286">
        <v>0</v>
      </c>
    </row>
    <row r="287" spans="1:12" x14ac:dyDescent="0.3">
      <c r="A287" t="s">
        <v>303</v>
      </c>
      <c r="B287" t="s">
        <v>21</v>
      </c>
      <c r="C287">
        <v>4098</v>
      </c>
      <c r="D287">
        <v>12.29</v>
      </c>
      <c r="E287">
        <v>2.21</v>
      </c>
      <c r="F287">
        <f>COUNTIFS(mdr_rate_cleaned!$A$2:$A$10,B287,mdr_rate_cleaned!$B$2:$B$10,"&lt;"&amp;C287,mdr_rate_cleaned!$F$2:$F$10,"&gt;="&amp;C287)</f>
        <v>1</v>
      </c>
      <c r="G287">
        <v>3.0000000000000001E-3</v>
      </c>
      <c r="H287">
        <v>12.29</v>
      </c>
      <c r="I287" t="s">
        <v>15</v>
      </c>
      <c r="J287" t="s">
        <v>15</v>
      </c>
      <c r="K287">
        <v>2.21</v>
      </c>
      <c r="L287">
        <v>0</v>
      </c>
    </row>
    <row r="288" spans="1:12" x14ac:dyDescent="0.3">
      <c r="A288" t="s">
        <v>304</v>
      </c>
      <c r="B288" t="s">
        <v>21</v>
      </c>
      <c r="C288">
        <v>1798</v>
      </c>
      <c r="D288">
        <v>0</v>
      </c>
      <c r="E288">
        <v>0</v>
      </c>
      <c r="F288">
        <f>COUNTIFS(mdr_rate_cleaned!$A$2:$A$10,B288,mdr_rate_cleaned!$B$2:$B$10,"&lt;"&amp;C288,mdr_rate_cleaned!$F$2:$F$10,"&gt;="&amp;C288)</f>
        <v>1</v>
      </c>
      <c r="G288">
        <v>0</v>
      </c>
      <c r="H288">
        <v>0</v>
      </c>
      <c r="I288" t="s">
        <v>15</v>
      </c>
      <c r="J288" t="s">
        <v>15</v>
      </c>
      <c r="K288">
        <v>0</v>
      </c>
      <c r="L288">
        <v>0</v>
      </c>
    </row>
    <row r="289" spans="1:12" x14ac:dyDescent="0.3">
      <c r="A289" t="s">
        <v>305</v>
      </c>
      <c r="B289" t="s">
        <v>17</v>
      </c>
      <c r="C289">
        <v>2947</v>
      </c>
      <c r="D289">
        <v>47.15</v>
      </c>
      <c r="E289">
        <v>8.49</v>
      </c>
      <c r="F289">
        <f>COUNTIFS(mdr_rate_cleaned!$A$2:$A$10,B289,mdr_rate_cleaned!$B$2:$B$10,"&lt;"&amp;C289,mdr_rate_cleaned!$F$2:$F$10,"&gt;="&amp;C289)</f>
        <v>1</v>
      </c>
      <c r="G289">
        <v>1.6E-2</v>
      </c>
      <c r="H289">
        <v>47.15</v>
      </c>
      <c r="I289" t="s">
        <v>15</v>
      </c>
      <c r="J289" t="s">
        <v>15</v>
      </c>
      <c r="K289">
        <v>8.49</v>
      </c>
      <c r="L289">
        <v>0</v>
      </c>
    </row>
    <row r="290" spans="1:12" x14ac:dyDescent="0.3">
      <c r="A290" t="s">
        <v>306</v>
      </c>
      <c r="B290" t="s">
        <v>17</v>
      </c>
      <c r="C290">
        <v>6998</v>
      </c>
      <c r="D290">
        <v>111.97</v>
      </c>
      <c r="E290">
        <v>20.149999999999999</v>
      </c>
      <c r="F290">
        <f>COUNTIFS(mdr_rate_cleaned!$A$2:$A$10,B290,mdr_rate_cleaned!$B$2:$B$10,"&lt;"&amp;C290,mdr_rate_cleaned!$F$2:$F$10,"&gt;="&amp;C290)</f>
        <v>1</v>
      </c>
      <c r="G290">
        <v>1.6E-2</v>
      </c>
      <c r="H290">
        <v>111.97</v>
      </c>
      <c r="I290" t="s">
        <v>15</v>
      </c>
      <c r="J290" t="s">
        <v>15</v>
      </c>
      <c r="K290">
        <v>20.149999999999999</v>
      </c>
      <c r="L290">
        <v>0</v>
      </c>
    </row>
    <row r="291" spans="1:12" x14ac:dyDescent="0.3">
      <c r="A291" t="s">
        <v>307</v>
      </c>
      <c r="B291" t="s">
        <v>13</v>
      </c>
      <c r="C291">
        <v>8798</v>
      </c>
      <c r="D291">
        <v>149.57</v>
      </c>
      <c r="E291">
        <v>26.92</v>
      </c>
      <c r="F291">
        <f>COUNTIFS(mdr_rate_cleaned!$A$2:$A$10,B291,mdr_rate_cleaned!$B$2:$B$10,"&lt;"&amp;C291,mdr_rate_cleaned!$F$2:$F$10,"&gt;="&amp;C291)</f>
        <v>1</v>
      </c>
      <c r="G291">
        <v>1.7000000000000001E-2</v>
      </c>
      <c r="H291">
        <v>149.57</v>
      </c>
      <c r="I291" t="s">
        <v>15</v>
      </c>
      <c r="J291" t="s">
        <v>15</v>
      </c>
      <c r="K291">
        <v>26.92</v>
      </c>
      <c r="L291">
        <v>0</v>
      </c>
    </row>
    <row r="292" spans="1:12" x14ac:dyDescent="0.3">
      <c r="A292" t="s">
        <v>308</v>
      </c>
      <c r="B292" t="s">
        <v>39</v>
      </c>
      <c r="C292">
        <v>3998</v>
      </c>
      <c r="D292">
        <v>47.98</v>
      </c>
      <c r="E292">
        <v>8.64</v>
      </c>
      <c r="F292">
        <f>COUNTIFS(mdr_rate_cleaned!$A$2:$A$10,B292,mdr_rate_cleaned!$B$2:$B$10,"&lt;"&amp;C292,mdr_rate_cleaned!$F$2:$F$10,"&gt;="&amp;C292)</f>
        <v>1</v>
      </c>
      <c r="G292">
        <v>1.2E-2</v>
      </c>
      <c r="H292">
        <v>47.98</v>
      </c>
      <c r="I292" t="s">
        <v>15</v>
      </c>
      <c r="J292" t="s">
        <v>15</v>
      </c>
      <c r="K292">
        <v>8.64</v>
      </c>
      <c r="L292">
        <v>0</v>
      </c>
    </row>
    <row r="293" spans="1:12" x14ac:dyDescent="0.3">
      <c r="A293" t="s">
        <v>309</v>
      </c>
      <c r="B293" t="s">
        <v>21</v>
      </c>
      <c r="C293">
        <v>499</v>
      </c>
      <c r="D293">
        <v>0</v>
      </c>
      <c r="E293">
        <v>0</v>
      </c>
      <c r="F293">
        <f>COUNTIFS(mdr_rate_cleaned!$A$2:$A$10,B293,mdr_rate_cleaned!$B$2:$B$10,"&lt;"&amp;C293,mdr_rate_cleaned!$F$2:$F$10,"&gt;="&amp;C293)</f>
        <v>1</v>
      </c>
      <c r="G293">
        <v>0</v>
      </c>
      <c r="H293">
        <v>0</v>
      </c>
      <c r="I293" t="s">
        <v>15</v>
      </c>
      <c r="J293" t="s">
        <v>15</v>
      </c>
      <c r="K293">
        <v>0</v>
      </c>
      <c r="L293">
        <v>0</v>
      </c>
    </row>
    <row r="294" spans="1:12" x14ac:dyDescent="0.3">
      <c r="A294" t="s">
        <v>310</v>
      </c>
      <c r="B294" t="s">
        <v>39</v>
      </c>
      <c r="C294">
        <v>349</v>
      </c>
      <c r="D294">
        <v>5.24</v>
      </c>
      <c r="E294">
        <v>0.94</v>
      </c>
      <c r="F294">
        <f>COUNTIFS(mdr_rate_cleaned!$A$2:$A$10,B294,mdr_rate_cleaned!$B$2:$B$10,"&lt;"&amp;C294,mdr_rate_cleaned!$F$2:$F$10,"&gt;="&amp;C294)</f>
        <v>1</v>
      </c>
      <c r="G294">
        <v>1.4999999999999999E-2</v>
      </c>
      <c r="H294">
        <v>5.24</v>
      </c>
      <c r="I294" t="s">
        <v>15</v>
      </c>
      <c r="J294" t="s">
        <v>15</v>
      </c>
      <c r="K294">
        <v>0.94</v>
      </c>
      <c r="L294">
        <v>0</v>
      </c>
    </row>
    <row r="295" spans="1:12" x14ac:dyDescent="0.3">
      <c r="A295" t="s">
        <v>311</v>
      </c>
      <c r="B295" t="s">
        <v>21</v>
      </c>
      <c r="C295">
        <v>1098</v>
      </c>
      <c r="D295">
        <v>0</v>
      </c>
      <c r="E295">
        <v>0</v>
      </c>
      <c r="F295">
        <f>COUNTIFS(mdr_rate_cleaned!$A$2:$A$10,B295,mdr_rate_cleaned!$B$2:$B$10,"&lt;"&amp;C295,mdr_rate_cleaned!$F$2:$F$10,"&gt;="&amp;C295)</f>
        <v>1</v>
      </c>
      <c r="G295">
        <v>0</v>
      </c>
      <c r="H295">
        <v>0</v>
      </c>
      <c r="I295" t="s">
        <v>15</v>
      </c>
      <c r="J295" t="s">
        <v>15</v>
      </c>
      <c r="K295">
        <v>0</v>
      </c>
      <c r="L295">
        <v>0</v>
      </c>
    </row>
    <row r="296" spans="1:12" x14ac:dyDescent="0.3">
      <c r="A296" t="s">
        <v>312</v>
      </c>
      <c r="B296" t="s">
        <v>17</v>
      </c>
      <c r="C296">
        <v>10347</v>
      </c>
      <c r="D296">
        <v>165.55</v>
      </c>
      <c r="E296">
        <v>29.8</v>
      </c>
      <c r="F296">
        <f>COUNTIFS(mdr_rate_cleaned!$A$2:$A$10,B296,mdr_rate_cleaned!$B$2:$B$10,"&lt;"&amp;C296,mdr_rate_cleaned!$F$2:$F$10,"&gt;="&amp;C296)</f>
        <v>1</v>
      </c>
      <c r="G296">
        <v>1.6E-2</v>
      </c>
      <c r="H296">
        <v>165.55</v>
      </c>
      <c r="I296" t="s">
        <v>15</v>
      </c>
      <c r="J296" t="s">
        <v>15</v>
      </c>
      <c r="K296">
        <v>29.8</v>
      </c>
      <c r="L296">
        <v>0</v>
      </c>
    </row>
    <row r="297" spans="1:12" x14ac:dyDescent="0.3">
      <c r="A297" t="s">
        <v>313</v>
      </c>
      <c r="B297" t="s">
        <v>17</v>
      </c>
      <c r="C297">
        <v>5598</v>
      </c>
      <c r="D297">
        <v>89.57</v>
      </c>
      <c r="E297">
        <v>16.12</v>
      </c>
      <c r="F297">
        <f>COUNTIFS(mdr_rate_cleaned!$A$2:$A$10,B297,mdr_rate_cleaned!$B$2:$B$10,"&lt;"&amp;C297,mdr_rate_cleaned!$F$2:$F$10,"&gt;="&amp;C297)</f>
        <v>1</v>
      </c>
      <c r="G297">
        <v>1.6E-2</v>
      </c>
      <c r="H297">
        <v>89.57</v>
      </c>
      <c r="I297" t="s">
        <v>15</v>
      </c>
      <c r="J297" t="s">
        <v>15</v>
      </c>
      <c r="K297">
        <v>16.12</v>
      </c>
      <c r="L297">
        <v>0</v>
      </c>
    </row>
    <row r="298" spans="1:12" x14ac:dyDescent="0.3">
      <c r="A298" t="s">
        <v>314</v>
      </c>
      <c r="B298" t="s">
        <v>21</v>
      </c>
      <c r="C298">
        <v>6498</v>
      </c>
      <c r="D298">
        <v>19.489999999999998</v>
      </c>
      <c r="E298">
        <v>3.51</v>
      </c>
      <c r="F298">
        <f>COUNTIFS(mdr_rate_cleaned!$A$2:$A$10,B298,mdr_rate_cleaned!$B$2:$B$10,"&lt;"&amp;C298,mdr_rate_cleaned!$F$2:$F$10,"&gt;="&amp;C298)</f>
        <v>1</v>
      </c>
      <c r="G298">
        <v>3.0000000000000001E-3</v>
      </c>
      <c r="H298">
        <v>19.489999999999998</v>
      </c>
      <c r="I298" t="s">
        <v>15</v>
      </c>
      <c r="J298" t="s">
        <v>15</v>
      </c>
      <c r="K298">
        <v>3.51</v>
      </c>
      <c r="L298">
        <v>0</v>
      </c>
    </row>
    <row r="299" spans="1:12" x14ac:dyDescent="0.3">
      <c r="A299" t="s">
        <v>315</v>
      </c>
      <c r="B299" t="s">
        <v>13</v>
      </c>
      <c r="C299">
        <v>6797</v>
      </c>
      <c r="D299">
        <v>115.55</v>
      </c>
      <c r="E299">
        <v>20.8</v>
      </c>
      <c r="F299">
        <f>COUNTIFS(mdr_rate_cleaned!$A$2:$A$10,B299,mdr_rate_cleaned!$B$2:$B$10,"&lt;"&amp;C299,mdr_rate_cleaned!$F$2:$F$10,"&gt;="&amp;C299)</f>
        <v>1</v>
      </c>
      <c r="G299">
        <v>1.7000000000000001E-2</v>
      </c>
      <c r="H299">
        <v>115.55</v>
      </c>
      <c r="I299" t="s">
        <v>15</v>
      </c>
      <c r="J299" t="s">
        <v>15</v>
      </c>
      <c r="K299">
        <v>20.8</v>
      </c>
      <c r="L299">
        <v>0</v>
      </c>
    </row>
    <row r="300" spans="1:12" x14ac:dyDescent="0.3">
      <c r="A300" t="s">
        <v>316</v>
      </c>
      <c r="B300" t="s">
        <v>21</v>
      </c>
      <c r="C300">
        <v>5797</v>
      </c>
      <c r="D300">
        <v>17.39</v>
      </c>
      <c r="E300">
        <v>3.13</v>
      </c>
      <c r="F300">
        <f>COUNTIFS(mdr_rate_cleaned!$A$2:$A$10,B300,mdr_rate_cleaned!$B$2:$B$10,"&lt;"&amp;C300,mdr_rate_cleaned!$F$2:$F$10,"&gt;="&amp;C300)</f>
        <v>1</v>
      </c>
      <c r="G300">
        <v>3.0000000000000001E-3</v>
      </c>
      <c r="H300">
        <v>17.39</v>
      </c>
      <c r="I300" t="s">
        <v>15</v>
      </c>
      <c r="J300" t="s">
        <v>15</v>
      </c>
      <c r="K300">
        <v>3.13</v>
      </c>
      <c r="L300">
        <v>0</v>
      </c>
    </row>
    <row r="301" spans="1:12" x14ac:dyDescent="0.3">
      <c r="A301" t="s">
        <v>317</v>
      </c>
      <c r="B301" t="s">
        <v>17</v>
      </c>
      <c r="C301">
        <v>2998</v>
      </c>
      <c r="D301">
        <v>47.97</v>
      </c>
      <c r="E301">
        <v>8.6300000000000008</v>
      </c>
      <c r="F301">
        <f>COUNTIFS(mdr_rate_cleaned!$A$2:$A$10,B301,mdr_rate_cleaned!$B$2:$B$10,"&lt;"&amp;C301,mdr_rate_cleaned!$F$2:$F$10,"&gt;="&amp;C301)</f>
        <v>1</v>
      </c>
      <c r="G301">
        <v>1.6E-2</v>
      </c>
      <c r="H301">
        <v>47.97</v>
      </c>
      <c r="I301" t="s">
        <v>15</v>
      </c>
      <c r="J301" t="s">
        <v>15</v>
      </c>
      <c r="K301">
        <v>8.6300000000000008</v>
      </c>
      <c r="L301">
        <v>0</v>
      </c>
    </row>
    <row r="302" spans="1:12" x14ac:dyDescent="0.3">
      <c r="A302" t="s">
        <v>318</v>
      </c>
      <c r="B302" t="s">
        <v>17</v>
      </c>
      <c r="C302">
        <v>4498</v>
      </c>
      <c r="D302">
        <v>71.97</v>
      </c>
      <c r="E302">
        <v>12.95</v>
      </c>
      <c r="F302">
        <f>COUNTIFS(mdr_rate_cleaned!$A$2:$A$10,B302,mdr_rate_cleaned!$B$2:$B$10,"&lt;"&amp;C302,mdr_rate_cleaned!$F$2:$F$10,"&gt;="&amp;C302)</f>
        <v>1</v>
      </c>
      <c r="G302">
        <v>1.6E-2</v>
      </c>
      <c r="H302">
        <v>71.97</v>
      </c>
      <c r="I302" t="s">
        <v>15</v>
      </c>
      <c r="J302" t="s">
        <v>15</v>
      </c>
      <c r="K302">
        <v>12.95</v>
      </c>
      <c r="L302">
        <v>0</v>
      </c>
    </row>
    <row r="303" spans="1:12" x14ac:dyDescent="0.3">
      <c r="A303" t="s">
        <v>319</v>
      </c>
      <c r="B303" t="s">
        <v>21</v>
      </c>
      <c r="C303">
        <v>10297</v>
      </c>
      <c r="D303">
        <v>30.89</v>
      </c>
      <c r="E303">
        <v>5.56</v>
      </c>
      <c r="F303">
        <f>COUNTIFS(mdr_rate_cleaned!$A$2:$A$10,B303,mdr_rate_cleaned!$B$2:$B$10,"&lt;"&amp;C303,mdr_rate_cleaned!$F$2:$F$10,"&gt;="&amp;C303)</f>
        <v>1</v>
      </c>
      <c r="G303">
        <v>3.0000000000000001E-3</v>
      </c>
      <c r="H303">
        <v>30.89</v>
      </c>
      <c r="I303" t="s">
        <v>15</v>
      </c>
      <c r="J303" t="s">
        <v>15</v>
      </c>
      <c r="K303">
        <v>5.56</v>
      </c>
      <c r="L303">
        <v>0</v>
      </c>
    </row>
    <row r="304" spans="1:12" x14ac:dyDescent="0.3">
      <c r="A304" t="s">
        <v>320</v>
      </c>
      <c r="B304" t="s">
        <v>17</v>
      </c>
      <c r="C304">
        <v>9797</v>
      </c>
      <c r="D304">
        <v>156.75</v>
      </c>
      <c r="E304">
        <v>28.22</v>
      </c>
      <c r="F304">
        <f>COUNTIFS(mdr_rate_cleaned!$A$2:$A$10,B304,mdr_rate_cleaned!$B$2:$B$10,"&lt;"&amp;C304,mdr_rate_cleaned!$F$2:$F$10,"&gt;="&amp;C304)</f>
        <v>1</v>
      </c>
      <c r="G304">
        <v>1.6E-2</v>
      </c>
      <c r="H304">
        <v>156.75</v>
      </c>
      <c r="I304" t="s">
        <v>15</v>
      </c>
      <c r="J304" t="s">
        <v>15</v>
      </c>
      <c r="K304">
        <v>28.22</v>
      </c>
      <c r="L304">
        <v>0</v>
      </c>
    </row>
    <row r="305" spans="1:12" x14ac:dyDescent="0.3">
      <c r="A305" t="s">
        <v>321</v>
      </c>
      <c r="B305" t="s">
        <v>21</v>
      </c>
      <c r="C305">
        <v>3499</v>
      </c>
      <c r="D305">
        <v>10.5</v>
      </c>
      <c r="E305">
        <v>1.89</v>
      </c>
      <c r="F305">
        <f>COUNTIFS(mdr_rate_cleaned!$A$2:$A$10,B305,mdr_rate_cleaned!$B$2:$B$10,"&lt;"&amp;C305,mdr_rate_cleaned!$F$2:$F$10,"&gt;="&amp;C305)</f>
        <v>1</v>
      </c>
      <c r="G305">
        <v>3.0000000000000001E-3</v>
      </c>
      <c r="H305">
        <v>10.5</v>
      </c>
      <c r="I305" t="s">
        <v>15</v>
      </c>
      <c r="J305" t="s">
        <v>15</v>
      </c>
      <c r="K305">
        <v>1.89</v>
      </c>
      <c r="L305">
        <v>0</v>
      </c>
    </row>
    <row r="306" spans="1:12" x14ac:dyDescent="0.3">
      <c r="A306" t="s">
        <v>322</v>
      </c>
      <c r="B306" t="s">
        <v>21</v>
      </c>
      <c r="C306">
        <v>799</v>
      </c>
      <c r="D306">
        <v>0</v>
      </c>
      <c r="E306">
        <v>0</v>
      </c>
      <c r="F306">
        <f>COUNTIFS(mdr_rate_cleaned!$A$2:$A$10,B306,mdr_rate_cleaned!$B$2:$B$10,"&lt;"&amp;C306,mdr_rate_cleaned!$F$2:$F$10,"&gt;="&amp;C306)</f>
        <v>1</v>
      </c>
      <c r="G306">
        <v>0</v>
      </c>
      <c r="H306">
        <v>0</v>
      </c>
      <c r="I306" t="s">
        <v>15</v>
      </c>
      <c r="J306" t="s">
        <v>15</v>
      </c>
      <c r="K306">
        <v>0</v>
      </c>
      <c r="L306">
        <v>0</v>
      </c>
    </row>
    <row r="307" spans="1:12" x14ac:dyDescent="0.3">
      <c r="A307" t="s">
        <v>323</v>
      </c>
      <c r="B307" t="s">
        <v>39</v>
      </c>
      <c r="C307">
        <v>698</v>
      </c>
      <c r="D307">
        <v>10.47</v>
      </c>
      <c r="E307">
        <v>1.88</v>
      </c>
      <c r="F307">
        <f>COUNTIFS(mdr_rate_cleaned!$A$2:$A$10,B307,mdr_rate_cleaned!$B$2:$B$10,"&lt;"&amp;C307,mdr_rate_cleaned!$F$2:$F$10,"&gt;="&amp;C307)</f>
        <v>1</v>
      </c>
      <c r="G307">
        <v>1.4999999999999999E-2</v>
      </c>
      <c r="H307">
        <v>10.47</v>
      </c>
      <c r="I307" t="s">
        <v>15</v>
      </c>
      <c r="J307" t="s">
        <v>15</v>
      </c>
      <c r="K307">
        <v>1.88</v>
      </c>
      <c r="L307">
        <v>0</v>
      </c>
    </row>
    <row r="308" spans="1:12" x14ac:dyDescent="0.3">
      <c r="A308" t="s">
        <v>324</v>
      </c>
      <c r="B308" t="s">
        <v>17</v>
      </c>
      <c r="C308">
        <v>5097</v>
      </c>
      <c r="D308">
        <v>81.55</v>
      </c>
      <c r="E308">
        <v>14.68</v>
      </c>
      <c r="F308">
        <f>COUNTIFS(mdr_rate_cleaned!$A$2:$A$10,B308,mdr_rate_cleaned!$B$2:$B$10,"&lt;"&amp;C308,mdr_rate_cleaned!$F$2:$F$10,"&gt;="&amp;C308)</f>
        <v>1</v>
      </c>
      <c r="G308">
        <v>1.6E-2</v>
      </c>
      <c r="H308">
        <v>81.55</v>
      </c>
      <c r="I308" t="s">
        <v>15</v>
      </c>
      <c r="J308" t="s">
        <v>15</v>
      </c>
      <c r="K308">
        <v>14.68</v>
      </c>
      <c r="L308">
        <v>0</v>
      </c>
    </row>
    <row r="309" spans="1:12" x14ac:dyDescent="0.3">
      <c r="A309" t="s">
        <v>325</v>
      </c>
      <c r="B309" t="s">
        <v>21</v>
      </c>
      <c r="C309">
        <v>499</v>
      </c>
      <c r="D309">
        <v>0</v>
      </c>
      <c r="E309">
        <v>0</v>
      </c>
      <c r="F309">
        <f>COUNTIFS(mdr_rate_cleaned!$A$2:$A$10,B309,mdr_rate_cleaned!$B$2:$B$10,"&lt;"&amp;C309,mdr_rate_cleaned!$F$2:$F$10,"&gt;="&amp;C309)</f>
        <v>1</v>
      </c>
      <c r="G309">
        <v>0</v>
      </c>
      <c r="H309">
        <v>0</v>
      </c>
      <c r="I309" t="s">
        <v>15</v>
      </c>
      <c r="J309" t="s">
        <v>15</v>
      </c>
      <c r="K309">
        <v>0</v>
      </c>
      <c r="L309">
        <v>0</v>
      </c>
    </row>
    <row r="310" spans="1:12" x14ac:dyDescent="0.3">
      <c r="A310" t="s">
        <v>326</v>
      </c>
      <c r="B310" t="s">
        <v>21</v>
      </c>
      <c r="C310">
        <v>999</v>
      </c>
      <c r="D310">
        <v>0</v>
      </c>
      <c r="E310">
        <v>0</v>
      </c>
      <c r="F310">
        <f>COUNTIFS(mdr_rate_cleaned!$A$2:$A$10,B310,mdr_rate_cleaned!$B$2:$B$10,"&lt;"&amp;C310,mdr_rate_cleaned!$F$2:$F$10,"&gt;="&amp;C310)</f>
        <v>1</v>
      </c>
      <c r="G310">
        <v>0</v>
      </c>
      <c r="H310">
        <v>0</v>
      </c>
      <c r="I310" t="s">
        <v>15</v>
      </c>
      <c r="J310" t="s">
        <v>15</v>
      </c>
      <c r="K310">
        <v>0</v>
      </c>
      <c r="L310">
        <v>0</v>
      </c>
    </row>
    <row r="311" spans="1:12" x14ac:dyDescent="0.3">
      <c r="A311" t="s">
        <v>327</v>
      </c>
      <c r="B311" t="s">
        <v>39</v>
      </c>
      <c r="C311">
        <v>7999</v>
      </c>
      <c r="D311">
        <v>95.99</v>
      </c>
      <c r="E311">
        <v>17.28</v>
      </c>
      <c r="F311">
        <f>COUNTIFS(mdr_rate_cleaned!$A$2:$A$10,B311,mdr_rate_cleaned!$B$2:$B$10,"&lt;"&amp;C311,mdr_rate_cleaned!$F$2:$F$10,"&gt;="&amp;C311)</f>
        <v>1</v>
      </c>
      <c r="G311">
        <v>1.2E-2</v>
      </c>
      <c r="H311">
        <v>95.99</v>
      </c>
      <c r="I311" t="s">
        <v>15</v>
      </c>
      <c r="J311" t="s">
        <v>15</v>
      </c>
      <c r="K311">
        <v>17.28</v>
      </c>
      <c r="L311">
        <v>0</v>
      </c>
    </row>
    <row r="312" spans="1:12" x14ac:dyDescent="0.3">
      <c r="A312" t="s">
        <v>328</v>
      </c>
      <c r="B312" t="s">
        <v>13</v>
      </c>
      <c r="C312">
        <v>3499</v>
      </c>
      <c r="D312">
        <v>59.48</v>
      </c>
      <c r="E312">
        <v>10.71</v>
      </c>
      <c r="F312">
        <f>COUNTIFS(mdr_rate_cleaned!$A$2:$A$10,B312,mdr_rate_cleaned!$B$2:$B$10,"&lt;"&amp;C312,mdr_rate_cleaned!$F$2:$F$10,"&gt;="&amp;C312)</f>
        <v>1</v>
      </c>
      <c r="G312">
        <v>1.7000000000000001E-2</v>
      </c>
      <c r="H312">
        <v>59.48</v>
      </c>
      <c r="I312" t="s">
        <v>15</v>
      </c>
      <c r="J312" t="s">
        <v>15</v>
      </c>
      <c r="K312">
        <v>10.71</v>
      </c>
      <c r="L312">
        <v>0</v>
      </c>
    </row>
    <row r="313" spans="1:12" x14ac:dyDescent="0.3">
      <c r="A313" t="s">
        <v>329</v>
      </c>
      <c r="B313" t="s">
        <v>17</v>
      </c>
      <c r="C313">
        <v>799</v>
      </c>
      <c r="D313">
        <v>14.38</v>
      </c>
      <c r="E313">
        <v>2.59</v>
      </c>
      <c r="F313">
        <f>COUNTIFS(mdr_rate_cleaned!$A$2:$A$10,B313,mdr_rate_cleaned!$B$2:$B$10,"&lt;"&amp;C313,mdr_rate_cleaned!$F$2:$F$10,"&gt;="&amp;C313)</f>
        <v>1</v>
      </c>
      <c r="G313">
        <v>1.7999999999999999E-2</v>
      </c>
      <c r="H313">
        <v>14.38</v>
      </c>
      <c r="I313" t="s">
        <v>15</v>
      </c>
      <c r="J313" t="s">
        <v>15</v>
      </c>
      <c r="K313">
        <v>2.59</v>
      </c>
      <c r="L313">
        <v>0</v>
      </c>
    </row>
    <row r="314" spans="1:12" x14ac:dyDescent="0.3">
      <c r="A314" t="s">
        <v>330</v>
      </c>
      <c r="B314" t="s">
        <v>21</v>
      </c>
      <c r="C314">
        <v>3647</v>
      </c>
      <c r="D314">
        <v>10.94</v>
      </c>
      <c r="E314">
        <v>1.97</v>
      </c>
      <c r="F314">
        <f>COUNTIFS(mdr_rate_cleaned!$A$2:$A$10,B314,mdr_rate_cleaned!$B$2:$B$10,"&lt;"&amp;C314,mdr_rate_cleaned!$F$2:$F$10,"&gt;="&amp;C314)</f>
        <v>1</v>
      </c>
      <c r="G314">
        <v>3.0000000000000001E-3</v>
      </c>
      <c r="H314">
        <v>10.94</v>
      </c>
      <c r="I314" t="s">
        <v>15</v>
      </c>
      <c r="J314" t="s">
        <v>15</v>
      </c>
      <c r="K314">
        <v>1.97</v>
      </c>
      <c r="L314">
        <v>0</v>
      </c>
    </row>
    <row r="315" spans="1:12" x14ac:dyDescent="0.3">
      <c r="A315" t="s">
        <v>331</v>
      </c>
      <c r="B315" t="s">
        <v>21</v>
      </c>
      <c r="C315">
        <v>7999</v>
      </c>
      <c r="D315">
        <v>24</v>
      </c>
      <c r="E315">
        <v>4.32</v>
      </c>
      <c r="F315">
        <f>COUNTIFS(mdr_rate_cleaned!$A$2:$A$10,B315,mdr_rate_cleaned!$B$2:$B$10,"&lt;"&amp;C315,mdr_rate_cleaned!$F$2:$F$10,"&gt;="&amp;C315)</f>
        <v>1</v>
      </c>
      <c r="G315">
        <v>3.0000000000000001E-3</v>
      </c>
      <c r="H315">
        <v>24</v>
      </c>
      <c r="I315" t="s">
        <v>15</v>
      </c>
      <c r="J315" t="s">
        <v>15</v>
      </c>
      <c r="K315">
        <v>4.32</v>
      </c>
      <c r="L315">
        <v>0</v>
      </c>
    </row>
    <row r="316" spans="1:12" x14ac:dyDescent="0.3">
      <c r="A316" t="s">
        <v>332</v>
      </c>
      <c r="B316" t="s">
        <v>39</v>
      </c>
      <c r="C316">
        <v>7999</v>
      </c>
      <c r="D316">
        <v>95.99</v>
      </c>
      <c r="E316">
        <v>17.28</v>
      </c>
      <c r="F316">
        <f>COUNTIFS(mdr_rate_cleaned!$A$2:$A$10,B316,mdr_rate_cleaned!$B$2:$B$10,"&lt;"&amp;C316,mdr_rate_cleaned!$F$2:$F$10,"&gt;="&amp;C316)</f>
        <v>1</v>
      </c>
      <c r="G316">
        <v>1.2E-2</v>
      </c>
      <c r="H316">
        <v>95.99</v>
      </c>
      <c r="I316" t="s">
        <v>15</v>
      </c>
      <c r="J316" t="s">
        <v>15</v>
      </c>
      <c r="K316">
        <v>17.28</v>
      </c>
      <c r="L316">
        <v>0</v>
      </c>
    </row>
    <row r="317" spans="1:12" x14ac:dyDescent="0.3">
      <c r="A317" t="s">
        <v>333</v>
      </c>
      <c r="B317" t="s">
        <v>21</v>
      </c>
      <c r="C317">
        <v>1499</v>
      </c>
      <c r="D317">
        <v>4.5</v>
      </c>
      <c r="E317">
        <v>0.81</v>
      </c>
      <c r="F317">
        <f>COUNTIFS(mdr_rate_cleaned!$A$2:$A$10,B317,mdr_rate_cleaned!$B$2:$B$10,"&lt;"&amp;C317,mdr_rate_cleaned!$F$2:$F$10,"&gt;="&amp;C317)</f>
        <v>1</v>
      </c>
      <c r="G317">
        <v>0</v>
      </c>
      <c r="H317">
        <v>0</v>
      </c>
      <c r="I317" t="s">
        <v>14</v>
      </c>
      <c r="J317" t="s">
        <v>15</v>
      </c>
      <c r="K317">
        <v>0</v>
      </c>
      <c r="L317">
        <v>5.31</v>
      </c>
    </row>
    <row r="318" spans="1:12" x14ac:dyDescent="0.3">
      <c r="A318" t="s">
        <v>334</v>
      </c>
      <c r="B318" t="s">
        <v>17</v>
      </c>
      <c r="C318">
        <v>2598</v>
      </c>
      <c r="D318">
        <v>41.57</v>
      </c>
      <c r="E318">
        <v>7.48</v>
      </c>
      <c r="F318">
        <f>COUNTIFS(mdr_rate_cleaned!$A$2:$A$10,B318,mdr_rate_cleaned!$B$2:$B$10,"&lt;"&amp;C318,mdr_rate_cleaned!$F$2:$F$10,"&gt;="&amp;C318)</f>
        <v>1</v>
      </c>
      <c r="G318">
        <v>1.6E-2</v>
      </c>
      <c r="H318">
        <v>41.57</v>
      </c>
      <c r="I318" t="s">
        <v>15</v>
      </c>
      <c r="J318" t="s">
        <v>15</v>
      </c>
      <c r="K318">
        <v>7.48</v>
      </c>
      <c r="L318">
        <v>0</v>
      </c>
    </row>
    <row r="319" spans="1:12" x14ac:dyDescent="0.3">
      <c r="A319" t="s">
        <v>335</v>
      </c>
      <c r="B319" t="s">
        <v>13</v>
      </c>
      <c r="C319">
        <v>4999</v>
      </c>
      <c r="D319">
        <v>84.98</v>
      </c>
      <c r="E319">
        <v>15.3</v>
      </c>
      <c r="F319">
        <f>COUNTIFS(mdr_rate_cleaned!$A$2:$A$10,B319,mdr_rate_cleaned!$B$2:$B$10,"&lt;"&amp;C319,mdr_rate_cleaned!$F$2:$F$10,"&gt;="&amp;C319)</f>
        <v>1</v>
      </c>
      <c r="G319">
        <v>1.7000000000000001E-2</v>
      </c>
      <c r="H319">
        <v>84.98</v>
      </c>
      <c r="I319" t="s">
        <v>15</v>
      </c>
      <c r="J319" t="s">
        <v>15</v>
      </c>
      <c r="K319">
        <v>15.3</v>
      </c>
      <c r="L319">
        <v>0</v>
      </c>
    </row>
    <row r="320" spans="1:12" x14ac:dyDescent="0.3">
      <c r="A320" t="s">
        <v>336</v>
      </c>
      <c r="B320" t="s">
        <v>17</v>
      </c>
      <c r="C320">
        <v>15997</v>
      </c>
      <c r="D320">
        <v>255.95</v>
      </c>
      <c r="E320">
        <v>46.07</v>
      </c>
      <c r="F320">
        <f>COUNTIFS(mdr_rate_cleaned!$A$2:$A$10,B320,mdr_rate_cleaned!$B$2:$B$10,"&lt;"&amp;C320,mdr_rate_cleaned!$F$2:$F$10,"&gt;="&amp;C320)</f>
        <v>1</v>
      </c>
      <c r="G320">
        <v>1.6E-2</v>
      </c>
      <c r="H320">
        <v>255.95</v>
      </c>
      <c r="I320" t="s">
        <v>15</v>
      </c>
      <c r="J320" t="s">
        <v>15</v>
      </c>
      <c r="K320">
        <v>46.07</v>
      </c>
      <c r="L320">
        <v>0</v>
      </c>
    </row>
    <row r="321" spans="1:12" x14ac:dyDescent="0.3">
      <c r="A321" t="s">
        <v>337</v>
      </c>
      <c r="B321" t="s">
        <v>21</v>
      </c>
      <c r="C321">
        <v>6997</v>
      </c>
      <c r="D321">
        <v>20.99</v>
      </c>
      <c r="E321">
        <v>3.78</v>
      </c>
      <c r="F321">
        <f>COUNTIFS(mdr_rate_cleaned!$A$2:$A$10,B321,mdr_rate_cleaned!$B$2:$B$10,"&lt;"&amp;C321,mdr_rate_cleaned!$F$2:$F$10,"&gt;="&amp;C321)</f>
        <v>1</v>
      </c>
      <c r="G321">
        <v>3.0000000000000001E-3</v>
      </c>
      <c r="H321">
        <v>20.99</v>
      </c>
      <c r="I321" t="s">
        <v>15</v>
      </c>
      <c r="J321" t="s">
        <v>15</v>
      </c>
      <c r="K321">
        <v>3.78</v>
      </c>
      <c r="L321">
        <v>0</v>
      </c>
    </row>
    <row r="322" spans="1:12" x14ac:dyDescent="0.3">
      <c r="A322" t="s">
        <v>338</v>
      </c>
      <c r="B322" t="s">
        <v>21</v>
      </c>
      <c r="C322">
        <v>2298</v>
      </c>
      <c r="D322">
        <v>6.89</v>
      </c>
      <c r="E322">
        <v>1.24</v>
      </c>
      <c r="F322">
        <f>COUNTIFS(mdr_rate_cleaned!$A$2:$A$10,B322,mdr_rate_cleaned!$B$2:$B$10,"&lt;"&amp;C322,mdr_rate_cleaned!$F$2:$F$10,"&gt;="&amp;C322)</f>
        <v>1</v>
      </c>
      <c r="G322">
        <v>3.0000000000000001E-3</v>
      </c>
      <c r="H322">
        <v>6.89</v>
      </c>
      <c r="I322" t="s">
        <v>15</v>
      </c>
      <c r="J322" t="s">
        <v>15</v>
      </c>
      <c r="K322">
        <v>1.24</v>
      </c>
      <c r="L322">
        <v>0</v>
      </c>
    </row>
    <row r="323" spans="1:12" x14ac:dyDescent="0.3">
      <c r="A323" t="s">
        <v>339</v>
      </c>
      <c r="B323" t="s">
        <v>17</v>
      </c>
      <c r="C323">
        <v>6498</v>
      </c>
      <c r="D323">
        <v>103.97</v>
      </c>
      <c r="E323">
        <v>18.71</v>
      </c>
      <c r="F323">
        <f>COUNTIFS(mdr_rate_cleaned!$A$2:$A$10,B323,mdr_rate_cleaned!$B$2:$B$10,"&lt;"&amp;C323,mdr_rate_cleaned!$F$2:$F$10,"&gt;="&amp;C323)</f>
        <v>1</v>
      </c>
      <c r="G323">
        <v>1.6E-2</v>
      </c>
      <c r="H323">
        <v>103.97</v>
      </c>
      <c r="I323" t="s">
        <v>15</v>
      </c>
      <c r="J323" t="s">
        <v>15</v>
      </c>
      <c r="K323">
        <v>18.71</v>
      </c>
      <c r="L323">
        <v>0</v>
      </c>
    </row>
    <row r="324" spans="1:12" x14ac:dyDescent="0.3">
      <c r="A324" t="s">
        <v>340</v>
      </c>
      <c r="B324" t="s">
        <v>39</v>
      </c>
      <c r="C324">
        <v>10498</v>
      </c>
      <c r="D324">
        <v>94.48</v>
      </c>
      <c r="E324">
        <v>17.010000000000002</v>
      </c>
      <c r="F324">
        <f>COUNTIFS(mdr_rate_cleaned!$A$2:$A$10,B324,mdr_rate_cleaned!$B$2:$B$10,"&lt;"&amp;C324,mdr_rate_cleaned!$F$2:$F$10,"&gt;="&amp;C324)</f>
        <v>1</v>
      </c>
      <c r="G324">
        <v>8.9999999999999993E-3</v>
      </c>
      <c r="H324">
        <v>94.48</v>
      </c>
      <c r="I324" t="s">
        <v>15</v>
      </c>
      <c r="J324" t="s">
        <v>15</v>
      </c>
      <c r="K324">
        <v>17.010000000000002</v>
      </c>
      <c r="L324">
        <v>0</v>
      </c>
    </row>
    <row r="325" spans="1:12" x14ac:dyDescent="0.3">
      <c r="A325" t="s">
        <v>341</v>
      </c>
      <c r="B325" t="s">
        <v>21</v>
      </c>
      <c r="C325">
        <v>2499</v>
      </c>
      <c r="D325">
        <v>7.5</v>
      </c>
      <c r="E325">
        <v>1.35</v>
      </c>
      <c r="F325">
        <f>COUNTIFS(mdr_rate_cleaned!$A$2:$A$10,B325,mdr_rate_cleaned!$B$2:$B$10,"&lt;"&amp;C325,mdr_rate_cleaned!$F$2:$F$10,"&gt;="&amp;C325)</f>
        <v>1</v>
      </c>
      <c r="G325">
        <v>3.0000000000000001E-3</v>
      </c>
      <c r="H325">
        <v>7.5</v>
      </c>
      <c r="I325" t="s">
        <v>15</v>
      </c>
      <c r="J325" t="s">
        <v>15</v>
      </c>
      <c r="K325">
        <v>1.35</v>
      </c>
      <c r="L325">
        <v>0</v>
      </c>
    </row>
    <row r="326" spans="1:12" x14ac:dyDescent="0.3">
      <c r="A326" t="s">
        <v>342</v>
      </c>
      <c r="B326" t="s">
        <v>17</v>
      </c>
      <c r="C326">
        <v>1498</v>
      </c>
      <c r="D326">
        <v>26.96</v>
      </c>
      <c r="E326">
        <v>4.8499999999999996</v>
      </c>
      <c r="F326">
        <f>COUNTIFS(mdr_rate_cleaned!$A$2:$A$10,B326,mdr_rate_cleaned!$B$2:$B$10,"&lt;"&amp;C326,mdr_rate_cleaned!$F$2:$F$10,"&gt;="&amp;C326)</f>
        <v>1</v>
      </c>
      <c r="G326">
        <v>1.7999999999999999E-2</v>
      </c>
      <c r="H326">
        <v>26.96</v>
      </c>
      <c r="I326" t="s">
        <v>15</v>
      </c>
      <c r="J326" t="s">
        <v>15</v>
      </c>
      <c r="K326">
        <v>4.8499999999999996</v>
      </c>
      <c r="L326">
        <v>0</v>
      </c>
    </row>
    <row r="327" spans="1:12" x14ac:dyDescent="0.3">
      <c r="A327" t="s">
        <v>343</v>
      </c>
      <c r="B327" t="s">
        <v>21</v>
      </c>
      <c r="C327">
        <v>499</v>
      </c>
      <c r="D327">
        <v>0</v>
      </c>
      <c r="E327">
        <v>0</v>
      </c>
      <c r="F327">
        <f>COUNTIFS(mdr_rate_cleaned!$A$2:$A$10,B327,mdr_rate_cleaned!$B$2:$B$10,"&lt;"&amp;C327,mdr_rate_cleaned!$F$2:$F$10,"&gt;="&amp;C327)</f>
        <v>1</v>
      </c>
      <c r="G327">
        <v>0</v>
      </c>
      <c r="H327">
        <v>0</v>
      </c>
      <c r="I327" t="s">
        <v>15</v>
      </c>
      <c r="J327" t="s">
        <v>15</v>
      </c>
      <c r="K327">
        <v>0</v>
      </c>
      <c r="L327">
        <v>0</v>
      </c>
    </row>
    <row r="328" spans="1:12" x14ac:dyDescent="0.3">
      <c r="A328" t="s">
        <v>344</v>
      </c>
      <c r="B328" t="s">
        <v>21</v>
      </c>
      <c r="C328">
        <v>1299</v>
      </c>
      <c r="D328">
        <v>0</v>
      </c>
      <c r="E328">
        <v>0</v>
      </c>
      <c r="F328">
        <f>COUNTIFS(mdr_rate_cleaned!$A$2:$A$10,B328,mdr_rate_cleaned!$B$2:$B$10,"&lt;"&amp;C328,mdr_rate_cleaned!$F$2:$F$10,"&gt;="&amp;C328)</f>
        <v>1</v>
      </c>
      <c r="G328">
        <v>0</v>
      </c>
      <c r="H328">
        <v>0</v>
      </c>
      <c r="I328" t="s">
        <v>15</v>
      </c>
      <c r="J328" t="s">
        <v>15</v>
      </c>
      <c r="K328">
        <v>0</v>
      </c>
      <c r="L328">
        <v>0</v>
      </c>
    </row>
    <row r="329" spans="1:12" x14ac:dyDescent="0.3">
      <c r="A329" t="s">
        <v>345</v>
      </c>
      <c r="B329" t="s">
        <v>13</v>
      </c>
      <c r="C329">
        <v>1499</v>
      </c>
      <c r="D329">
        <v>28.48</v>
      </c>
      <c r="E329">
        <v>5.13</v>
      </c>
      <c r="F329">
        <f>COUNTIFS(mdr_rate_cleaned!$A$2:$A$10,B329,mdr_rate_cleaned!$B$2:$B$10,"&lt;"&amp;C329,mdr_rate_cleaned!$F$2:$F$10,"&gt;="&amp;C329)</f>
        <v>1</v>
      </c>
      <c r="G329">
        <v>1.9E-2</v>
      </c>
      <c r="H329">
        <v>28.48</v>
      </c>
      <c r="I329" t="s">
        <v>15</v>
      </c>
      <c r="J329" t="s">
        <v>15</v>
      </c>
      <c r="K329">
        <v>5.13</v>
      </c>
      <c r="L329">
        <v>0</v>
      </c>
    </row>
    <row r="330" spans="1:12" x14ac:dyDescent="0.3">
      <c r="A330" t="s">
        <v>346</v>
      </c>
      <c r="B330" t="s">
        <v>17</v>
      </c>
      <c r="C330">
        <v>349</v>
      </c>
      <c r="D330">
        <v>6.28</v>
      </c>
      <c r="E330">
        <v>1.1299999999999999</v>
      </c>
      <c r="F330">
        <f>COUNTIFS(mdr_rate_cleaned!$A$2:$A$10,B330,mdr_rate_cleaned!$B$2:$B$10,"&lt;"&amp;C330,mdr_rate_cleaned!$F$2:$F$10,"&gt;="&amp;C330)</f>
        <v>1</v>
      </c>
      <c r="G330">
        <v>1.7999999999999999E-2</v>
      </c>
      <c r="H330">
        <v>6.28</v>
      </c>
      <c r="I330" t="s">
        <v>15</v>
      </c>
      <c r="J330" t="s">
        <v>15</v>
      </c>
      <c r="K330">
        <v>1.1299999999999999</v>
      </c>
      <c r="L330">
        <v>0</v>
      </c>
    </row>
    <row r="331" spans="1:12" x14ac:dyDescent="0.3">
      <c r="A331" t="s">
        <v>347</v>
      </c>
      <c r="B331" t="s">
        <v>13</v>
      </c>
      <c r="C331">
        <v>2197</v>
      </c>
      <c r="D331">
        <v>37.35</v>
      </c>
      <c r="E331">
        <v>6.72</v>
      </c>
      <c r="F331">
        <f>COUNTIFS(mdr_rate_cleaned!$A$2:$A$10,B331,mdr_rate_cleaned!$B$2:$B$10,"&lt;"&amp;C331,mdr_rate_cleaned!$F$2:$F$10,"&gt;="&amp;C331)</f>
        <v>1</v>
      </c>
      <c r="G331">
        <v>1.7000000000000001E-2</v>
      </c>
      <c r="H331">
        <v>37.35</v>
      </c>
      <c r="I331" t="s">
        <v>15</v>
      </c>
      <c r="J331" t="s">
        <v>15</v>
      </c>
      <c r="K331">
        <v>6.72</v>
      </c>
      <c r="L331">
        <v>0</v>
      </c>
    </row>
    <row r="332" spans="1:12" x14ac:dyDescent="0.3">
      <c r="A332" t="s">
        <v>348</v>
      </c>
      <c r="B332" t="s">
        <v>21</v>
      </c>
      <c r="C332">
        <v>599</v>
      </c>
      <c r="D332">
        <v>0</v>
      </c>
      <c r="E332">
        <v>0</v>
      </c>
      <c r="F332">
        <f>COUNTIFS(mdr_rate_cleaned!$A$2:$A$10,B332,mdr_rate_cleaned!$B$2:$B$10,"&lt;"&amp;C332,mdr_rate_cleaned!$F$2:$F$10,"&gt;="&amp;C332)</f>
        <v>1</v>
      </c>
      <c r="G332">
        <v>0</v>
      </c>
      <c r="H332">
        <v>0</v>
      </c>
      <c r="I332" t="s">
        <v>15</v>
      </c>
      <c r="J332" t="s">
        <v>15</v>
      </c>
      <c r="K332">
        <v>0</v>
      </c>
      <c r="L332">
        <v>0</v>
      </c>
    </row>
    <row r="333" spans="1:12" x14ac:dyDescent="0.3">
      <c r="A333" t="s">
        <v>349</v>
      </c>
      <c r="B333" t="s">
        <v>21</v>
      </c>
      <c r="C333">
        <v>349</v>
      </c>
      <c r="D333">
        <v>0</v>
      </c>
      <c r="E333">
        <v>0</v>
      </c>
      <c r="F333">
        <f>COUNTIFS(mdr_rate_cleaned!$A$2:$A$10,B333,mdr_rate_cleaned!$B$2:$B$10,"&lt;"&amp;C333,mdr_rate_cleaned!$F$2:$F$10,"&gt;="&amp;C333)</f>
        <v>1</v>
      </c>
      <c r="G333">
        <v>0</v>
      </c>
      <c r="H333">
        <v>0</v>
      </c>
      <c r="I333" t="s">
        <v>15</v>
      </c>
      <c r="J333" t="s">
        <v>15</v>
      </c>
      <c r="K333">
        <v>0</v>
      </c>
      <c r="L333">
        <v>0</v>
      </c>
    </row>
    <row r="334" spans="1:12" x14ac:dyDescent="0.3">
      <c r="A334" t="s">
        <v>350</v>
      </c>
      <c r="B334" t="s">
        <v>17</v>
      </c>
      <c r="C334">
        <v>6397</v>
      </c>
      <c r="D334">
        <v>102.35</v>
      </c>
      <c r="E334">
        <v>18.420000000000002</v>
      </c>
      <c r="F334">
        <f>COUNTIFS(mdr_rate_cleaned!$A$2:$A$10,B334,mdr_rate_cleaned!$B$2:$B$10,"&lt;"&amp;C334,mdr_rate_cleaned!$F$2:$F$10,"&gt;="&amp;C334)</f>
        <v>1</v>
      </c>
      <c r="G334">
        <v>1.6E-2</v>
      </c>
      <c r="H334">
        <v>102.35</v>
      </c>
      <c r="I334" t="s">
        <v>15</v>
      </c>
      <c r="J334" t="s">
        <v>15</v>
      </c>
      <c r="K334">
        <v>18.420000000000002</v>
      </c>
      <c r="L334">
        <v>0</v>
      </c>
    </row>
    <row r="335" spans="1:12" x14ac:dyDescent="0.3">
      <c r="A335" t="s">
        <v>351</v>
      </c>
      <c r="B335" t="s">
        <v>13</v>
      </c>
      <c r="C335">
        <v>2798</v>
      </c>
      <c r="D335">
        <v>47.57</v>
      </c>
      <c r="E335">
        <v>8.56</v>
      </c>
      <c r="F335">
        <f>COUNTIFS(mdr_rate_cleaned!$A$2:$A$10,B335,mdr_rate_cleaned!$B$2:$B$10,"&lt;"&amp;C335,mdr_rate_cleaned!$F$2:$F$10,"&gt;="&amp;C335)</f>
        <v>1</v>
      </c>
      <c r="G335">
        <v>1.7000000000000001E-2</v>
      </c>
      <c r="H335">
        <v>47.57</v>
      </c>
      <c r="I335" t="s">
        <v>15</v>
      </c>
      <c r="J335" t="s">
        <v>15</v>
      </c>
      <c r="K335">
        <v>8.56</v>
      </c>
      <c r="L335">
        <v>0</v>
      </c>
    </row>
    <row r="336" spans="1:12" x14ac:dyDescent="0.3">
      <c r="A336" t="s">
        <v>352</v>
      </c>
      <c r="B336" t="s">
        <v>21</v>
      </c>
      <c r="C336">
        <v>4999</v>
      </c>
      <c r="D336">
        <v>15</v>
      </c>
      <c r="E336">
        <v>2.7</v>
      </c>
      <c r="F336">
        <f>COUNTIFS(mdr_rate_cleaned!$A$2:$A$10,B336,mdr_rate_cleaned!$B$2:$B$10,"&lt;"&amp;C336,mdr_rate_cleaned!$F$2:$F$10,"&gt;="&amp;C336)</f>
        <v>1</v>
      </c>
      <c r="G336">
        <v>3.0000000000000001E-3</v>
      </c>
      <c r="H336">
        <v>15</v>
      </c>
      <c r="I336" t="s">
        <v>15</v>
      </c>
      <c r="J336" t="s">
        <v>15</v>
      </c>
      <c r="K336">
        <v>2.7</v>
      </c>
      <c r="L336">
        <v>0</v>
      </c>
    </row>
    <row r="337" spans="1:12" x14ac:dyDescent="0.3">
      <c r="A337" t="s">
        <v>353</v>
      </c>
      <c r="B337" t="s">
        <v>17</v>
      </c>
      <c r="C337">
        <v>349</v>
      </c>
      <c r="D337">
        <v>6.28</v>
      </c>
      <c r="E337">
        <v>1.1299999999999999</v>
      </c>
      <c r="F337">
        <f>COUNTIFS(mdr_rate_cleaned!$A$2:$A$10,B337,mdr_rate_cleaned!$B$2:$B$10,"&lt;"&amp;C337,mdr_rate_cleaned!$F$2:$F$10,"&gt;="&amp;C337)</f>
        <v>1</v>
      </c>
      <c r="G337">
        <v>1.7999999999999999E-2</v>
      </c>
      <c r="H337">
        <v>6.28</v>
      </c>
      <c r="I337" t="s">
        <v>15</v>
      </c>
      <c r="J337" t="s">
        <v>15</v>
      </c>
      <c r="K337">
        <v>1.1299999999999999</v>
      </c>
      <c r="L337">
        <v>0</v>
      </c>
    </row>
    <row r="338" spans="1:12" x14ac:dyDescent="0.3">
      <c r="A338" t="s">
        <v>354</v>
      </c>
      <c r="B338" t="s">
        <v>21</v>
      </c>
      <c r="C338">
        <v>2398</v>
      </c>
      <c r="D338">
        <v>7.19</v>
      </c>
      <c r="E338">
        <v>1.29</v>
      </c>
      <c r="F338">
        <f>COUNTIFS(mdr_rate_cleaned!$A$2:$A$10,B338,mdr_rate_cleaned!$B$2:$B$10,"&lt;"&amp;C338,mdr_rate_cleaned!$F$2:$F$10,"&gt;="&amp;C338)</f>
        <v>1</v>
      </c>
      <c r="G338">
        <v>3.0000000000000001E-3</v>
      </c>
      <c r="H338">
        <v>7.19</v>
      </c>
      <c r="I338" t="s">
        <v>15</v>
      </c>
      <c r="J338" t="s">
        <v>15</v>
      </c>
      <c r="K338">
        <v>1.29</v>
      </c>
      <c r="L338">
        <v>0</v>
      </c>
    </row>
    <row r="339" spans="1:12" x14ac:dyDescent="0.3">
      <c r="A339" t="s">
        <v>355</v>
      </c>
      <c r="B339" t="s">
        <v>21</v>
      </c>
      <c r="C339">
        <v>3348</v>
      </c>
      <c r="D339">
        <v>10.039999999999999</v>
      </c>
      <c r="E339">
        <v>1.81</v>
      </c>
      <c r="F339">
        <f>COUNTIFS(mdr_rate_cleaned!$A$2:$A$10,B339,mdr_rate_cleaned!$B$2:$B$10,"&lt;"&amp;C339,mdr_rate_cleaned!$F$2:$F$10,"&gt;="&amp;C339)</f>
        <v>1</v>
      </c>
      <c r="G339">
        <v>3.0000000000000001E-3</v>
      </c>
      <c r="H339">
        <v>10.039999999999999</v>
      </c>
      <c r="I339" t="s">
        <v>15</v>
      </c>
      <c r="J339" t="s">
        <v>15</v>
      </c>
      <c r="K339">
        <v>1.81</v>
      </c>
      <c r="L339">
        <v>0</v>
      </c>
    </row>
    <row r="340" spans="1:12" x14ac:dyDescent="0.3">
      <c r="A340" t="s">
        <v>356</v>
      </c>
      <c r="B340" t="s">
        <v>21</v>
      </c>
      <c r="C340">
        <v>2999</v>
      </c>
      <c r="D340">
        <v>9</v>
      </c>
      <c r="E340">
        <v>1.62</v>
      </c>
      <c r="F340">
        <f>COUNTIFS(mdr_rate_cleaned!$A$2:$A$10,B340,mdr_rate_cleaned!$B$2:$B$10,"&lt;"&amp;C340,mdr_rate_cleaned!$F$2:$F$10,"&gt;="&amp;C340)</f>
        <v>1</v>
      </c>
      <c r="G340">
        <v>3.0000000000000001E-3</v>
      </c>
      <c r="H340">
        <v>9</v>
      </c>
      <c r="I340" t="s">
        <v>15</v>
      </c>
      <c r="J340" t="s">
        <v>15</v>
      </c>
      <c r="K340">
        <v>1.62</v>
      </c>
      <c r="L340">
        <v>0</v>
      </c>
    </row>
    <row r="341" spans="1:12" x14ac:dyDescent="0.3">
      <c r="A341" t="s">
        <v>357</v>
      </c>
      <c r="B341" t="s">
        <v>21</v>
      </c>
      <c r="C341">
        <v>2798</v>
      </c>
      <c r="D341">
        <v>8.39</v>
      </c>
      <c r="E341">
        <v>1.51</v>
      </c>
      <c r="F341">
        <f>COUNTIFS(mdr_rate_cleaned!$A$2:$A$10,B341,mdr_rate_cleaned!$B$2:$B$10,"&lt;"&amp;C341,mdr_rate_cleaned!$F$2:$F$10,"&gt;="&amp;C341)</f>
        <v>1</v>
      </c>
      <c r="G341">
        <v>3.0000000000000001E-3</v>
      </c>
      <c r="H341">
        <v>8.39</v>
      </c>
      <c r="I341" t="s">
        <v>15</v>
      </c>
      <c r="J341" t="s">
        <v>15</v>
      </c>
      <c r="K341">
        <v>1.51</v>
      </c>
      <c r="L341">
        <v>0</v>
      </c>
    </row>
    <row r="342" spans="1:12" x14ac:dyDescent="0.3">
      <c r="A342" t="s">
        <v>358</v>
      </c>
      <c r="B342" t="s">
        <v>13</v>
      </c>
      <c r="C342">
        <v>2798</v>
      </c>
      <c r="D342">
        <v>47.57</v>
      </c>
      <c r="E342">
        <v>8.56</v>
      </c>
      <c r="F342">
        <f>COUNTIFS(mdr_rate_cleaned!$A$2:$A$10,B342,mdr_rate_cleaned!$B$2:$B$10,"&lt;"&amp;C342,mdr_rate_cleaned!$F$2:$F$10,"&gt;="&amp;C342)</f>
        <v>1</v>
      </c>
      <c r="G342">
        <v>1.7000000000000001E-2</v>
      </c>
      <c r="H342">
        <v>47.57</v>
      </c>
      <c r="I342" t="s">
        <v>15</v>
      </c>
      <c r="J342" t="s">
        <v>15</v>
      </c>
      <c r="K342">
        <v>8.56</v>
      </c>
      <c r="L342">
        <v>0</v>
      </c>
    </row>
    <row r="343" spans="1:12" x14ac:dyDescent="0.3">
      <c r="A343" t="s">
        <v>359</v>
      </c>
      <c r="B343" t="s">
        <v>17</v>
      </c>
      <c r="C343">
        <v>2897</v>
      </c>
      <c r="D343">
        <v>46.35</v>
      </c>
      <c r="E343">
        <v>8.34</v>
      </c>
      <c r="F343">
        <f>COUNTIFS(mdr_rate_cleaned!$A$2:$A$10,B343,mdr_rate_cleaned!$B$2:$B$10,"&lt;"&amp;C343,mdr_rate_cleaned!$F$2:$F$10,"&gt;="&amp;C343)</f>
        <v>1</v>
      </c>
      <c r="G343">
        <v>1.6E-2</v>
      </c>
      <c r="H343">
        <v>46.35</v>
      </c>
      <c r="I343" t="s">
        <v>15</v>
      </c>
      <c r="J343" t="s">
        <v>15</v>
      </c>
      <c r="K343">
        <v>8.34</v>
      </c>
      <c r="L343">
        <v>0</v>
      </c>
    </row>
    <row r="344" spans="1:12" x14ac:dyDescent="0.3">
      <c r="A344" t="s">
        <v>360</v>
      </c>
      <c r="B344" t="s">
        <v>13</v>
      </c>
      <c r="C344">
        <v>2798</v>
      </c>
      <c r="D344">
        <v>47.57</v>
      </c>
      <c r="E344">
        <v>8.56</v>
      </c>
      <c r="F344">
        <f>COUNTIFS(mdr_rate_cleaned!$A$2:$A$10,B344,mdr_rate_cleaned!$B$2:$B$10,"&lt;"&amp;C344,mdr_rate_cleaned!$F$2:$F$10,"&gt;="&amp;C344)</f>
        <v>1</v>
      </c>
      <c r="G344">
        <v>1.7000000000000001E-2</v>
      </c>
      <c r="H344">
        <v>47.57</v>
      </c>
      <c r="I344" t="s">
        <v>15</v>
      </c>
      <c r="J344" t="s">
        <v>15</v>
      </c>
      <c r="K344">
        <v>8.56</v>
      </c>
      <c r="L344">
        <v>0</v>
      </c>
    </row>
    <row r="345" spans="1:12" x14ac:dyDescent="0.3">
      <c r="A345" t="s">
        <v>361</v>
      </c>
      <c r="B345" t="s">
        <v>21</v>
      </c>
      <c r="C345">
        <v>3597</v>
      </c>
      <c r="D345">
        <v>10.79</v>
      </c>
      <c r="E345">
        <v>1.94</v>
      </c>
      <c r="F345">
        <f>COUNTIFS(mdr_rate_cleaned!$A$2:$A$10,B345,mdr_rate_cleaned!$B$2:$B$10,"&lt;"&amp;C345,mdr_rate_cleaned!$F$2:$F$10,"&gt;="&amp;C345)</f>
        <v>1</v>
      </c>
      <c r="G345">
        <v>3.0000000000000001E-3</v>
      </c>
      <c r="H345">
        <v>10.79</v>
      </c>
      <c r="I345" t="s">
        <v>15</v>
      </c>
      <c r="J345" t="s">
        <v>15</v>
      </c>
      <c r="K345">
        <v>1.94</v>
      </c>
      <c r="L345">
        <v>0</v>
      </c>
    </row>
    <row r="346" spans="1:12" x14ac:dyDescent="0.3">
      <c r="A346" t="s">
        <v>362</v>
      </c>
      <c r="B346" t="s">
        <v>21</v>
      </c>
      <c r="C346">
        <v>4999</v>
      </c>
      <c r="D346">
        <v>15</v>
      </c>
      <c r="E346">
        <v>2.7</v>
      </c>
      <c r="F346">
        <f>COUNTIFS(mdr_rate_cleaned!$A$2:$A$10,B346,mdr_rate_cleaned!$B$2:$B$10,"&lt;"&amp;C346,mdr_rate_cleaned!$F$2:$F$10,"&gt;="&amp;C346)</f>
        <v>1</v>
      </c>
      <c r="G346">
        <v>3.0000000000000001E-3</v>
      </c>
      <c r="H346">
        <v>15</v>
      </c>
      <c r="I346" t="s">
        <v>15</v>
      </c>
      <c r="J346" t="s">
        <v>15</v>
      </c>
      <c r="K346">
        <v>2.7</v>
      </c>
      <c r="L346">
        <v>0</v>
      </c>
    </row>
    <row r="347" spans="1:12" x14ac:dyDescent="0.3">
      <c r="A347" t="s">
        <v>363</v>
      </c>
      <c r="B347" t="s">
        <v>21</v>
      </c>
      <c r="C347">
        <v>2498</v>
      </c>
      <c r="D347">
        <v>7.49</v>
      </c>
      <c r="E347">
        <v>1.35</v>
      </c>
      <c r="F347">
        <f>COUNTIFS(mdr_rate_cleaned!$A$2:$A$10,B347,mdr_rate_cleaned!$B$2:$B$10,"&lt;"&amp;C347,mdr_rate_cleaned!$F$2:$F$10,"&gt;="&amp;C347)</f>
        <v>1</v>
      </c>
      <c r="G347">
        <v>3.0000000000000001E-3</v>
      </c>
      <c r="H347">
        <v>7.49</v>
      </c>
      <c r="I347" t="s">
        <v>15</v>
      </c>
      <c r="J347" t="s">
        <v>15</v>
      </c>
      <c r="K347">
        <v>1.35</v>
      </c>
      <c r="L347">
        <v>0</v>
      </c>
    </row>
    <row r="348" spans="1:12" x14ac:dyDescent="0.3">
      <c r="A348" t="s">
        <v>364</v>
      </c>
      <c r="B348" t="s">
        <v>13</v>
      </c>
      <c r="C348">
        <v>7999</v>
      </c>
      <c r="D348">
        <v>135.97999999999999</v>
      </c>
      <c r="E348">
        <v>24.48</v>
      </c>
      <c r="F348">
        <f>COUNTIFS(mdr_rate_cleaned!$A$2:$A$10,B348,mdr_rate_cleaned!$B$2:$B$10,"&lt;"&amp;C348,mdr_rate_cleaned!$F$2:$F$10,"&gt;="&amp;C348)</f>
        <v>1</v>
      </c>
      <c r="G348">
        <v>1.7000000000000001E-2</v>
      </c>
      <c r="H348">
        <v>135.97999999999999</v>
      </c>
      <c r="I348" t="s">
        <v>15</v>
      </c>
      <c r="J348" t="s">
        <v>15</v>
      </c>
      <c r="K348">
        <v>24.48</v>
      </c>
      <c r="L348">
        <v>0</v>
      </c>
    </row>
    <row r="349" spans="1:12" x14ac:dyDescent="0.3">
      <c r="A349" t="s">
        <v>365</v>
      </c>
      <c r="B349" t="s">
        <v>21</v>
      </c>
      <c r="C349">
        <v>798</v>
      </c>
      <c r="D349">
        <v>0</v>
      </c>
      <c r="E349">
        <v>0</v>
      </c>
      <c r="F349">
        <f>COUNTIFS(mdr_rate_cleaned!$A$2:$A$10,B349,mdr_rate_cleaned!$B$2:$B$10,"&lt;"&amp;C349,mdr_rate_cleaned!$F$2:$F$10,"&gt;="&amp;C349)</f>
        <v>1</v>
      </c>
      <c r="G349">
        <v>0</v>
      </c>
      <c r="H349">
        <v>0</v>
      </c>
      <c r="I349" t="s">
        <v>15</v>
      </c>
      <c r="J349" t="s">
        <v>15</v>
      </c>
      <c r="K349">
        <v>0</v>
      </c>
      <c r="L349">
        <v>0</v>
      </c>
    </row>
    <row r="350" spans="1:12" x14ac:dyDescent="0.3">
      <c r="A350" t="s">
        <v>366</v>
      </c>
      <c r="B350" t="s">
        <v>39</v>
      </c>
      <c r="C350">
        <v>1998</v>
      </c>
      <c r="D350">
        <v>29.97</v>
      </c>
      <c r="E350">
        <v>5.39</v>
      </c>
      <c r="F350">
        <f>COUNTIFS(mdr_rate_cleaned!$A$2:$A$10,B350,mdr_rate_cleaned!$B$2:$B$10,"&lt;"&amp;C350,mdr_rate_cleaned!$F$2:$F$10,"&gt;="&amp;C350)</f>
        <v>1</v>
      </c>
      <c r="G350">
        <v>1.4999999999999999E-2</v>
      </c>
      <c r="H350">
        <v>29.97</v>
      </c>
      <c r="I350" t="s">
        <v>15</v>
      </c>
      <c r="J350" t="s">
        <v>15</v>
      </c>
      <c r="K350">
        <v>5.39</v>
      </c>
      <c r="L350">
        <v>0</v>
      </c>
    </row>
    <row r="351" spans="1:12" x14ac:dyDescent="0.3">
      <c r="A351" t="s">
        <v>367</v>
      </c>
      <c r="B351" t="s">
        <v>13</v>
      </c>
      <c r="C351">
        <v>2647</v>
      </c>
      <c r="D351">
        <v>45</v>
      </c>
      <c r="E351">
        <v>8.1</v>
      </c>
      <c r="F351">
        <f>COUNTIFS(mdr_rate_cleaned!$A$2:$A$10,B351,mdr_rate_cleaned!$B$2:$B$10,"&lt;"&amp;C351,mdr_rate_cleaned!$F$2:$F$10,"&gt;="&amp;C351)</f>
        <v>1</v>
      </c>
      <c r="G351">
        <v>1.7000000000000001E-2</v>
      </c>
      <c r="H351">
        <v>45</v>
      </c>
      <c r="I351" t="s">
        <v>15</v>
      </c>
      <c r="J351" t="s">
        <v>15</v>
      </c>
      <c r="K351">
        <v>8.1</v>
      </c>
      <c r="L351">
        <v>0</v>
      </c>
    </row>
    <row r="352" spans="1:12" x14ac:dyDescent="0.3">
      <c r="A352" t="s">
        <v>368</v>
      </c>
      <c r="B352" t="s">
        <v>13</v>
      </c>
      <c r="C352">
        <v>999</v>
      </c>
      <c r="D352">
        <v>18.98</v>
      </c>
      <c r="E352">
        <v>3.42</v>
      </c>
      <c r="F352">
        <f>COUNTIFS(mdr_rate_cleaned!$A$2:$A$10,B352,mdr_rate_cleaned!$B$2:$B$10,"&lt;"&amp;C352,mdr_rate_cleaned!$F$2:$F$10,"&gt;="&amp;C352)</f>
        <v>1</v>
      </c>
      <c r="G352">
        <v>1.9E-2</v>
      </c>
      <c r="H352">
        <v>18.98</v>
      </c>
      <c r="I352" t="s">
        <v>15</v>
      </c>
      <c r="J352" t="s">
        <v>15</v>
      </c>
      <c r="K352">
        <v>3.42</v>
      </c>
      <c r="L352">
        <v>0</v>
      </c>
    </row>
    <row r="353" spans="1:12" x14ac:dyDescent="0.3">
      <c r="A353" t="s">
        <v>369</v>
      </c>
      <c r="B353" t="s">
        <v>21</v>
      </c>
      <c r="C353">
        <v>3499</v>
      </c>
      <c r="D353">
        <v>10.5</v>
      </c>
      <c r="E353">
        <v>1.89</v>
      </c>
      <c r="F353">
        <f>COUNTIFS(mdr_rate_cleaned!$A$2:$A$10,B353,mdr_rate_cleaned!$B$2:$B$10,"&lt;"&amp;C353,mdr_rate_cleaned!$F$2:$F$10,"&gt;="&amp;C353)</f>
        <v>1</v>
      </c>
      <c r="G353">
        <v>3.0000000000000001E-3</v>
      </c>
      <c r="H353">
        <v>10.5</v>
      </c>
      <c r="I353" t="s">
        <v>15</v>
      </c>
      <c r="J353" t="s">
        <v>15</v>
      </c>
      <c r="K353">
        <v>1.89</v>
      </c>
      <c r="L353">
        <v>0</v>
      </c>
    </row>
    <row r="354" spans="1:12" x14ac:dyDescent="0.3">
      <c r="A354" t="s">
        <v>370</v>
      </c>
      <c r="B354" t="s">
        <v>17</v>
      </c>
      <c r="C354">
        <v>6998</v>
      </c>
      <c r="D354">
        <v>111.97</v>
      </c>
      <c r="E354">
        <v>20.149999999999999</v>
      </c>
      <c r="F354">
        <f>COUNTIFS(mdr_rate_cleaned!$A$2:$A$10,B354,mdr_rate_cleaned!$B$2:$B$10,"&lt;"&amp;C354,mdr_rate_cleaned!$F$2:$F$10,"&gt;="&amp;C354)</f>
        <v>1</v>
      </c>
      <c r="G354">
        <v>1.6E-2</v>
      </c>
      <c r="H354">
        <v>111.97</v>
      </c>
      <c r="I354" t="s">
        <v>15</v>
      </c>
      <c r="J354" t="s">
        <v>15</v>
      </c>
      <c r="K354">
        <v>20.149999999999999</v>
      </c>
      <c r="L354">
        <v>0</v>
      </c>
    </row>
    <row r="355" spans="1:12" x14ac:dyDescent="0.3">
      <c r="A355" t="s">
        <v>371</v>
      </c>
      <c r="B355" t="s">
        <v>39</v>
      </c>
      <c r="C355">
        <v>2998</v>
      </c>
      <c r="D355">
        <v>35.979999999999997</v>
      </c>
      <c r="E355">
        <v>6.48</v>
      </c>
      <c r="F355">
        <f>COUNTIFS(mdr_rate_cleaned!$A$2:$A$10,B355,mdr_rate_cleaned!$B$2:$B$10,"&lt;"&amp;C355,mdr_rate_cleaned!$F$2:$F$10,"&gt;="&amp;C355)</f>
        <v>1</v>
      </c>
      <c r="G355">
        <v>1.2E-2</v>
      </c>
      <c r="H355">
        <v>35.979999999999997</v>
      </c>
      <c r="I355" t="s">
        <v>15</v>
      </c>
      <c r="J355" t="s">
        <v>15</v>
      </c>
      <c r="K355">
        <v>6.48</v>
      </c>
      <c r="L355">
        <v>0</v>
      </c>
    </row>
    <row r="356" spans="1:12" x14ac:dyDescent="0.3">
      <c r="A356" t="s">
        <v>372</v>
      </c>
      <c r="B356" t="s">
        <v>39</v>
      </c>
      <c r="C356">
        <v>1348</v>
      </c>
      <c r="D356">
        <v>20.22</v>
      </c>
      <c r="E356">
        <v>3.64</v>
      </c>
      <c r="F356">
        <f>COUNTIFS(mdr_rate_cleaned!$A$2:$A$10,B356,mdr_rate_cleaned!$B$2:$B$10,"&lt;"&amp;C356,mdr_rate_cleaned!$F$2:$F$10,"&gt;="&amp;C356)</f>
        <v>1</v>
      </c>
      <c r="G356">
        <v>1.4999999999999999E-2</v>
      </c>
      <c r="H356">
        <v>20.22</v>
      </c>
      <c r="I356" t="s">
        <v>15</v>
      </c>
      <c r="J356" t="s">
        <v>15</v>
      </c>
      <c r="K356">
        <v>3.64</v>
      </c>
      <c r="L356">
        <v>0</v>
      </c>
    </row>
    <row r="357" spans="1:12" x14ac:dyDescent="0.3">
      <c r="A357" t="s">
        <v>373</v>
      </c>
      <c r="B357" t="s">
        <v>13</v>
      </c>
      <c r="C357">
        <v>3798</v>
      </c>
      <c r="D357">
        <v>64.569999999999993</v>
      </c>
      <c r="E357">
        <v>11.62</v>
      </c>
      <c r="F357">
        <f>COUNTIFS(mdr_rate_cleaned!$A$2:$A$10,B357,mdr_rate_cleaned!$B$2:$B$10,"&lt;"&amp;C357,mdr_rate_cleaned!$F$2:$F$10,"&gt;="&amp;C357)</f>
        <v>1</v>
      </c>
      <c r="G357">
        <v>1.7000000000000001E-2</v>
      </c>
      <c r="H357">
        <v>64.569999999999993</v>
      </c>
      <c r="I357" t="s">
        <v>15</v>
      </c>
      <c r="J357" t="s">
        <v>15</v>
      </c>
      <c r="K357">
        <v>11.62</v>
      </c>
      <c r="L357">
        <v>0</v>
      </c>
    </row>
    <row r="358" spans="1:12" x14ac:dyDescent="0.3">
      <c r="A358" t="s">
        <v>374</v>
      </c>
      <c r="B358" t="s">
        <v>17</v>
      </c>
      <c r="C358">
        <v>3499</v>
      </c>
      <c r="D358">
        <v>55.98</v>
      </c>
      <c r="E358">
        <v>10.08</v>
      </c>
      <c r="F358">
        <f>COUNTIFS(mdr_rate_cleaned!$A$2:$A$10,B358,mdr_rate_cleaned!$B$2:$B$10,"&lt;"&amp;C358,mdr_rate_cleaned!$F$2:$F$10,"&gt;="&amp;C358)</f>
        <v>1</v>
      </c>
      <c r="G358">
        <v>1.6E-2</v>
      </c>
      <c r="H358">
        <v>55.98</v>
      </c>
      <c r="I358" t="s">
        <v>15</v>
      </c>
      <c r="J358" t="s">
        <v>15</v>
      </c>
      <c r="K358">
        <v>10.08</v>
      </c>
      <c r="L358">
        <v>0</v>
      </c>
    </row>
    <row r="359" spans="1:12" x14ac:dyDescent="0.3">
      <c r="A359" t="s">
        <v>375</v>
      </c>
      <c r="B359" t="s">
        <v>21</v>
      </c>
      <c r="C359">
        <v>6298</v>
      </c>
      <c r="D359">
        <v>18.89</v>
      </c>
      <c r="E359">
        <v>3.4</v>
      </c>
      <c r="F359">
        <f>COUNTIFS(mdr_rate_cleaned!$A$2:$A$10,B359,mdr_rate_cleaned!$B$2:$B$10,"&lt;"&amp;C359,mdr_rate_cleaned!$F$2:$F$10,"&gt;="&amp;C359)</f>
        <v>1</v>
      </c>
      <c r="G359">
        <v>3.0000000000000001E-3</v>
      </c>
      <c r="H359">
        <v>18.89</v>
      </c>
      <c r="I359" t="s">
        <v>15</v>
      </c>
      <c r="J359" t="s">
        <v>15</v>
      </c>
      <c r="K359">
        <v>3.4</v>
      </c>
      <c r="L359">
        <v>0</v>
      </c>
    </row>
    <row r="360" spans="1:12" x14ac:dyDescent="0.3">
      <c r="A360" t="s">
        <v>376</v>
      </c>
      <c r="B360" t="s">
        <v>13</v>
      </c>
      <c r="C360">
        <v>799</v>
      </c>
      <c r="D360">
        <v>15.18</v>
      </c>
      <c r="E360">
        <v>2.73</v>
      </c>
      <c r="F360">
        <f>COUNTIFS(mdr_rate_cleaned!$A$2:$A$10,B360,mdr_rate_cleaned!$B$2:$B$10,"&lt;"&amp;C360,mdr_rate_cleaned!$F$2:$F$10,"&gt;="&amp;C360)</f>
        <v>1</v>
      </c>
      <c r="G360">
        <v>1.9E-2</v>
      </c>
      <c r="H360">
        <v>15.18</v>
      </c>
      <c r="I360" t="s">
        <v>15</v>
      </c>
      <c r="J360" t="s">
        <v>15</v>
      </c>
      <c r="K360">
        <v>2.73</v>
      </c>
      <c r="L360">
        <v>0</v>
      </c>
    </row>
    <row r="361" spans="1:12" x14ac:dyDescent="0.3">
      <c r="A361" t="s">
        <v>377</v>
      </c>
      <c r="B361" t="s">
        <v>21</v>
      </c>
      <c r="C361">
        <v>3499</v>
      </c>
      <c r="D361">
        <v>10.5</v>
      </c>
      <c r="E361">
        <v>1.89</v>
      </c>
      <c r="F361">
        <f>COUNTIFS(mdr_rate_cleaned!$A$2:$A$10,B361,mdr_rate_cleaned!$B$2:$B$10,"&lt;"&amp;C361,mdr_rate_cleaned!$F$2:$F$10,"&gt;="&amp;C361)</f>
        <v>1</v>
      </c>
      <c r="G361">
        <v>3.0000000000000001E-3</v>
      </c>
      <c r="H361">
        <v>10.5</v>
      </c>
      <c r="I361" t="s">
        <v>15</v>
      </c>
      <c r="J361" t="s">
        <v>15</v>
      </c>
      <c r="K361">
        <v>1.89</v>
      </c>
      <c r="L361">
        <v>0</v>
      </c>
    </row>
    <row r="362" spans="1:12" x14ac:dyDescent="0.3">
      <c r="A362" t="s">
        <v>378</v>
      </c>
      <c r="B362" t="s">
        <v>21</v>
      </c>
      <c r="C362">
        <v>499</v>
      </c>
      <c r="D362">
        <v>0</v>
      </c>
      <c r="E362">
        <v>0</v>
      </c>
      <c r="F362">
        <f>COUNTIFS(mdr_rate_cleaned!$A$2:$A$10,B362,mdr_rate_cleaned!$B$2:$B$10,"&lt;"&amp;C362,mdr_rate_cleaned!$F$2:$F$10,"&gt;="&amp;C362)</f>
        <v>1</v>
      </c>
      <c r="G362">
        <v>0</v>
      </c>
      <c r="H362">
        <v>0</v>
      </c>
      <c r="I362" t="s">
        <v>15</v>
      </c>
      <c r="J362" t="s">
        <v>15</v>
      </c>
      <c r="K362">
        <v>0</v>
      </c>
      <c r="L362">
        <v>0</v>
      </c>
    </row>
    <row r="363" spans="1:12" x14ac:dyDescent="0.3">
      <c r="A363" t="s">
        <v>379</v>
      </c>
      <c r="B363" t="s">
        <v>21</v>
      </c>
      <c r="C363">
        <v>3498</v>
      </c>
      <c r="D363">
        <v>10.49</v>
      </c>
      <c r="E363">
        <v>1.89</v>
      </c>
      <c r="F363">
        <f>COUNTIFS(mdr_rate_cleaned!$A$2:$A$10,B363,mdr_rate_cleaned!$B$2:$B$10,"&lt;"&amp;C363,mdr_rate_cleaned!$F$2:$F$10,"&gt;="&amp;C363)</f>
        <v>1</v>
      </c>
      <c r="G363">
        <v>3.0000000000000001E-3</v>
      </c>
      <c r="H363">
        <v>10.49</v>
      </c>
      <c r="I363" t="s">
        <v>15</v>
      </c>
      <c r="J363" t="s">
        <v>15</v>
      </c>
      <c r="K363">
        <v>1.89</v>
      </c>
      <c r="L363">
        <v>0</v>
      </c>
    </row>
    <row r="364" spans="1:12" x14ac:dyDescent="0.3">
      <c r="A364" t="s">
        <v>380</v>
      </c>
      <c r="B364" t="s">
        <v>21</v>
      </c>
      <c r="C364">
        <v>349</v>
      </c>
      <c r="D364">
        <v>0</v>
      </c>
      <c r="E364">
        <v>0</v>
      </c>
      <c r="F364">
        <f>COUNTIFS(mdr_rate_cleaned!$A$2:$A$10,B364,mdr_rate_cleaned!$B$2:$B$10,"&lt;"&amp;C364,mdr_rate_cleaned!$F$2:$F$10,"&gt;="&amp;C364)</f>
        <v>1</v>
      </c>
      <c r="G364">
        <v>0</v>
      </c>
      <c r="H364">
        <v>0</v>
      </c>
      <c r="I364" t="s">
        <v>15</v>
      </c>
      <c r="J364" t="s">
        <v>15</v>
      </c>
      <c r="K364">
        <v>0</v>
      </c>
      <c r="L364">
        <v>0</v>
      </c>
    </row>
    <row r="365" spans="1:12" x14ac:dyDescent="0.3">
      <c r="A365" t="s">
        <v>381</v>
      </c>
      <c r="B365" t="s">
        <v>21</v>
      </c>
      <c r="C365">
        <v>349</v>
      </c>
      <c r="D365">
        <v>0</v>
      </c>
      <c r="E365">
        <v>0</v>
      </c>
      <c r="F365">
        <f>COUNTIFS(mdr_rate_cleaned!$A$2:$A$10,B365,mdr_rate_cleaned!$B$2:$B$10,"&lt;"&amp;C365,mdr_rate_cleaned!$F$2:$F$10,"&gt;="&amp;C365)</f>
        <v>1</v>
      </c>
      <c r="G365">
        <v>0</v>
      </c>
      <c r="H365">
        <v>0</v>
      </c>
      <c r="I365" t="s">
        <v>15</v>
      </c>
      <c r="J365" t="s">
        <v>15</v>
      </c>
      <c r="K365">
        <v>0</v>
      </c>
      <c r="L365">
        <v>0</v>
      </c>
    </row>
    <row r="366" spans="1:12" x14ac:dyDescent="0.3">
      <c r="A366" t="s">
        <v>382</v>
      </c>
      <c r="B366" t="s">
        <v>17</v>
      </c>
      <c r="C366">
        <v>3998</v>
      </c>
      <c r="D366">
        <v>63.97</v>
      </c>
      <c r="E366">
        <v>11.51</v>
      </c>
      <c r="F366">
        <f>COUNTIFS(mdr_rate_cleaned!$A$2:$A$10,B366,mdr_rate_cleaned!$B$2:$B$10,"&lt;"&amp;C366,mdr_rate_cleaned!$F$2:$F$10,"&gt;="&amp;C366)</f>
        <v>1</v>
      </c>
      <c r="G366">
        <v>1.6E-2</v>
      </c>
      <c r="H366">
        <v>63.97</v>
      </c>
      <c r="I366" t="s">
        <v>15</v>
      </c>
      <c r="J366" t="s">
        <v>15</v>
      </c>
      <c r="K366">
        <v>11.51</v>
      </c>
      <c r="L366">
        <v>0</v>
      </c>
    </row>
    <row r="367" spans="1:12" x14ac:dyDescent="0.3">
      <c r="A367" t="s">
        <v>383</v>
      </c>
      <c r="B367" t="s">
        <v>13</v>
      </c>
      <c r="C367">
        <v>299</v>
      </c>
      <c r="D367">
        <v>5.68</v>
      </c>
      <c r="E367">
        <v>1.02</v>
      </c>
      <c r="F367">
        <f>COUNTIFS(mdr_rate_cleaned!$A$2:$A$10,B367,mdr_rate_cleaned!$B$2:$B$10,"&lt;"&amp;C367,mdr_rate_cleaned!$F$2:$F$10,"&gt;="&amp;C367)</f>
        <v>1</v>
      </c>
      <c r="G367">
        <v>1.9E-2</v>
      </c>
      <c r="H367">
        <v>5.68</v>
      </c>
      <c r="I367" t="s">
        <v>15</v>
      </c>
      <c r="J367" t="s">
        <v>15</v>
      </c>
      <c r="K367">
        <v>1.02</v>
      </c>
      <c r="L367">
        <v>0</v>
      </c>
    </row>
    <row r="368" spans="1:12" x14ac:dyDescent="0.3">
      <c r="A368" t="s">
        <v>384</v>
      </c>
      <c r="B368" t="s">
        <v>13</v>
      </c>
      <c r="C368">
        <v>1799</v>
      </c>
      <c r="D368">
        <v>34.18</v>
      </c>
      <c r="E368">
        <v>6.15</v>
      </c>
      <c r="F368">
        <f>COUNTIFS(mdr_rate_cleaned!$A$2:$A$10,B368,mdr_rate_cleaned!$B$2:$B$10,"&lt;"&amp;C368,mdr_rate_cleaned!$F$2:$F$10,"&gt;="&amp;C368)</f>
        <v>1</v>
      </c>
      <c r="G368">
        <v>1.9E-2</v>
      </c>
      <c r="H368">
        <v>34.18</v>
      </c>
      <c r="I368" t="s">
        <v>15</v>
      </c>
      <c r="J368" t="s">
        <v>15</v>
      </c>
      <c r="K368">
        <v>6.15</v>
      </c>
      <c r="L368">
        <v>0</v>
      </c>
    </row>
    <row r="369" spans="1:12" x14ac:dyDescent="0.3">
      <c r="A369" t="s">
        <v>385</v>
      </c>
      <c r="B369" t="s">
        <v>17</v>
      </c>
      <c r="C369">
        <v>1299</v>
      </c>
      <c r="D369">
        <v>23.38</v>
      </c>
      <c r="E369">
        <v>4.21</v>
      </c>
      <c r="F369">
        <f>COUNTIFS(mdr_rate_cleaned!$A$2:$A$10,B369,mdr_rate_cleaned!$B$2:$B$10,"&lt;"&amp;C369,mdr_rate_cleaned!$F$2:$F$10,"&gt;="&amp;C369)</f>
        <v>1</v>
      </c>
      <c r="G369">
        <v>1.7999999999999999E-2</v>
      </c>
      <c r="H369">
        <v>23.38</v>
      </c>
      <c r="I369" t="s">
        <v>15</v>
      </c>
      <c r="J369" t="s">
        <v>15</v>
      </c>
      <c r="K369">
        <v>4.21</v>
      </c>
      <c r="L369">
        <v>0</v>
      </c>
    </row>
    <row r="370" spans="1:12" x14ac:dyDescent="0.3">
      <c r="A370" t="s">
        <v>386</v>
      </c>
      <c r="B370" t="s">
        <v>21</v>
      </c>
      <c r="C370">
        <v>499</v>
      </c>
      <c r="D370">
        <v>0</v>
      </c>
      <c r="E370">
        <v>0</v>
      </c>
      <c r="F370">
        <f>COUNTIFS(mdr_rate_cleaned!$A$2:$A$10,B370,mdr_rate_cleaned!$B$2:$B$10,"&lt;"&amp;C370,mdr_rate_cleaned!$F$2:$F$10,"&gt;="&amp;C370)</f>
        <v>1</v>
      </c>
      <c r="G370">
        <v>0</v>
      </c>
      <c r="H370">
        <v>0</v>
      </c>
      <c r="I370" t="s">
        <v>15</v>
      </c>
      <c r="J370" t="s">
        <v>15</v>
      </c>
      <c r="K370">
        <v>0</v>
      </c>
      <c r="L370">
        <v>0</v>
      </c>
    </row>
    <row r="371" spans="1:12" x14ac:dyDescent="0.3">
      <c r="A371" t="s">
        <v>387</v>
      </c>
      <c r="B371" t="s">
        <v>17</v>
      </c>
      <c r="C371">
        <v>2499</v>
      </c>
      <c r="D371">
        <v>39.979999999999997</v>
      </c>
      <c r="E371">
        <v>7.2</v>
      </c>
      <c r="F371">
        <f>COUNTIFS(mdr_rate_cleaned!$A$2:$A$10,B371,mdr_rate_cleaned!$B$2:$B$10,"&lt;"&amp;C371,mdr_rate_cleaned!$F$2:$F$10,"&gt;="&amp;C371)</f>
        <v>1</v>
      </c>
      <c r="G371">
        <v>1.6E-2</v>
      </c>
      <c r="H371">
        <v>39.979999999999997</v>
      </c>
      <c r="I371" t="s">
        <v>15</v>
      </c>
      <c r="J371" t="s">
        <v>15</v>
      </c>
      <c r="K371">
        <v>7.2</v>
      </c>
      <c r="L371">
        <v>0</v>
      </c>
    </row>
    <row r="372" spans="1:12" x14ac:dyDescent="0.3">
      <c r="A372" t="s">
        <v>388</v>
      </c>
      <c r="B372" t="s">
        <v>21</v>
      </c>
      <c r="C372">
        <v>3499</v>
      </c>
      <c r="D372">
        <v>10.5</v>
      </c>
      <c r="E372">
        <v>1.89</v>
      </c>
      <c r="F372">
        <f>COUNTIFS(mdr_rate_cleaned!$A$2:$A$10,B372,mdr_rate_cleaned!$B$2:$B$10,"&lt;"&amp;C372,mdr_rate_cleaned!$F$2:$F$10,"&gt;="&amp;C372)</f>
        <v>1</v>
      </c>
      <c r="G372">
        <v>3.0000000000000001E-3</v>
      </c>
      <c r="H372">
        <v>10.5</v>
      </c>
      <c r="I372" t="s">
        <v>15</v>
      </c>
      <c r="J372" t="s">
        <v>15</v>
      </c>
      <c r="K372">
        <v>1.89</v>
      </c>
      <c r="L372">
        <v>0</v>
      </c>
    </row>
    <row r="373" spans="1:12" x14ac:dyDescent="0.3">
      <c r="A373" t="s">
        <v>389</v>
      </c>
      <c r="B373" t="s">
        <v>13</v>
      </c>
      <c r="C373">
        <v>4298</v>
      </c>
      <c r="D373">
        <v>73.069999999999993</v>
      </c>
      <c r="E373">
        <v>13.15</v>
      </c>
      <c r="F373">
        <f>COUNTIFS(mdr_rate_cleaned!$A$2:$A$10,B373,mdr_rate_cleaned!$B$2:$B$10,"&lt;"&amp;C373,mdr_rate_cleaned!$F$2:$F$10,"&gt;="&amp;C373)</f>
        <v>1</v>
      </c>
      <c r="G373">
        <v>1.7000000000000001E-2</v>
      </c>
      <c r="H373">
        <v>73.069999999999993</v>
      </c>
      <c r="I373" t="s">
        <v>15</v>
      </c>
      <c r="J373" t="s">
        <v>15</v>
      </c>
      <c r="K373">
        <v>13.15</v>
      </c>
      <c r="L373">
        <v>0</v>
      </c>
    </row>
    <row r="374" spans="1:12" x14ac:dyDescent="0.3">
      <c r="A374" t="s">
        <v>390</v>
      </c>
      <c r="B374" t="s">
        <v>39</v>
      </c>
      <c r="C374">
        <v>10498</v>
      </c>
      <c r="D374">
        <v>94.48</v>
      </c>
      <c r="E374">
        <v>17.010000000000002</v>
      </c>
      <c r="F374">
        <f>COUNTIFS(mdr_rate_cleaned!$A$2:$A$10,B374,mdr_rate_cleaned!$B$2:$B$10,"&lt;"&amp;C374,mdr_rate_cleaned!$F$2:$F$10,"&gt;="&amp;C374)</f>
        <v>1</v>
      </c>
      <c r="G374">
        <v>8.9999999999999993E-3</v>
      </c>
      <c r="H374">
        <v>94.48</v>
      </c>
      <c r="I374" t="s">
        <v>15</v>
      </c>
      <c r="J374" t="s">
        <v>15</v>
      </c>
      <c r="K374">
        <v>17.010000000000002</v>
      </c>
      <c r="L374">
        <v>0</v>
      </c>
    </row>
    <row r="375" spans="1:12" x14ac:dyDescent="0.3">
      <c r="A375" t="s">
        <v>391</v>
      </c>
      <c r="B375" t="s">
        <v>13</v>
      </c>
      <c r="C375">
        <v>1598</v>
      </c>
      <c r="D375">
        <v>30.36</v>
      </c>
      <c r="E375">
        <v>5.46</v>
      </c>
      <c r="F375">
        <f>COUNTIFS(mdr_rate_cleaned!$A$2:$A$10,B375,mdr_rate_cleaned!$B$2:$B$10,"&lt;"&amp;C375,mdr_rate_cleaned!$F$2:$F$10,"&gt;="&amp;C375)</f>
        <v>1</v>
      </c>
      <c r="G375">
        <v>1.9E-2</v>
      </c>
      <c r="H375">
        <v>30.36</v>
      </c>
      <c r="I375" t="s">
        <v>15</v>
      </c>
      <c r="J375" t="s">
        <v>15</v>
      </c>
      <c r="K375">
        <v>5.46</v>
      </c>
      <c r="L375">
        <v>0</v>
      </c>
    </row>
    <row r="376" spans="1:12" x14ac:dyDescent="0.3">
      <c r="A376" t="s">
        <v>392</v>
      </c>
      <c r="B376" t="s">
        <v>17</v>
      </c>
      <c r="C376">
        <v>2999</v>
      </c>
      <c r="D376">
        <v>47.98</v>
      </c>
      <c r="E376">
        <v>8.64</v>
      </c>
      <c r="F376">
        <f>COUNTIFS(mdr_rate_cleaned!$A$2:$A$10,B376,mdr_rate_cleaned!$B$2:$B$10,"&lt;"&amp;C376,mdr_rate_cleaned!$F$2:$F$10,"&gt;="&amp;C376)</f>
        <v>1</v>
      </c>
      <c r="G376">
        <v>1.6E-2</v>
      </c>
      <c r="H376">
        <v>47.98</v>
      </c>
      <c r="I376" t="s">
        <v>15</v>
      </c>
      <c r="J376" t="s">
        <v>15</v>
      </c>
      <c r="K376">
        <v>8.64</v>
      </c>
      <c r="L376">
        <v>0</v>
      </c>
    </row>
    <row r="377" spans="1:12" x14ac:dyDescent="0.3">
      <c r="A377" t="s">
        <v>393</v>
      </c>
      <c r="B377" t="s">
        <v>21</v>
      </c>
      <c r="C377">
        <v>1447</v>
      </c>
      <c r="D377">
        <v>0</v>
      </c>
      <c r="E377">
        <v>0</v>
      </c>
      <c r="F377">
        <f>COUNTIFS(mdr_rate_cleaned!$A$2:$A$10,B377,mdr_rate_cleaned!$B$2:$B$10,"&lt;"&amp;C377,mdr_rate_cleaned!$F$2:$F$10,"&gt;="&amp;C377)</f>
        <v>1</v>
      </c>
      <c r="G377">
        <v>0</v>
      </c>
      <c r="H377">
        <v>0</v>
      </c>
      <c r="I377" t="s">
        <v>15</v>
      </c>
      <c r="J377" t="s">
        <v>15</v>
      </c>
      <c r="K377">
        <v>0</v>
      </c>
      <c r="L377">
        <v>0</v>
      </c>
    </row>
    <row r="378" spans="1:12" x14ac:dyDescent="0.3">
      <c r="A378" t="s">
        <v>394</v>
      </c>
      <c r="B378" t="s">
        <v>21</v>
      </c>
      <c r="C378">
        <v>499</v>
      </c>
      <c r="D378">
        <v>1.5</v>
      </c>
      <c r="E378">
        <v>0.27</v>
      </c>
      <c r="F378">
        <f>COUNTIFS(mdr_rate_cleaned!$A$2:$A$10,B378,mdr_rate_cleaned!$B$2:$B$10,"&lt;"&amp;C378,mdr_rate_cleaned!$F$2:$F$10,"&gt;="&amp;C378)</f>
        <v>1</v>
      </c>
      <c r="G378">
        <v>0</v>
      </c>
      <c r="H378">
        <v>0</v>
      </c>
      <c r="I378" t="s">
        <v>14</v>
      </c>
      <c r="J378" t="s">
        <v>15</v>
      </c>
      <c r="K378">
        <v>0</v>
      </c>
      <c r="L378">
        <v>1.77</v>
      </c>
    </row>
    <row r="379" spans="1:12" x14ac:dyDescent="0.3">
      <c r="A379" t="s">
        <v>395</v>
      </c>
      <c r="B379" t="s">
        <v>39</v>
      </c>
      <c r="C379">
        <v>349</v>
      </c>
      <c r="D379">
        <v>5.24</v>
      </c>
      <c r="E379">
        <v>0.94</v>
      </c>
      <c r="F379">
        <f>COUNTIFS(mdr_rate_cleaned!$A$2:$A$10,B379,mdr_rate_cleaned!$B$2:$B$10,"&lt;"&amp;C379,mdr_rate_cleaned!$F$2:$F$10,"&gt;="&amp;C379)</f>
        <v>1</v>
      </c>
      <c r="G379">
        <v>1.4999999999999999E-2</v>
      </c>
      <c r="H379">
        <v>5.24</v>
      </c>
      <c r="I379" t="s">
        <v>15</v>
      </c>
      <c r="J379" t="s">
        <v>15</v>
      </c>
      <c r="K379">
        <v>0.94</v>
      </c>
      <c r="L379">
        <v>0</v>
      </c>
    </row>
    <row r="380" spans="1:12" x14ac:dyDescent="0.3">
      <c r="A380" t="s">
        <v>396</v>
      </c>
      <c r="B380" t="s">
        <v>21</v>
      </c>
      <c r="C380">
        <v>2499</v>
      </c>
      <c r="D380">
        <v>7.5</v>
      </c>
      <c r="E380">
        <v>1.35</v>
      </c>
      <c r="F380">
        <f>COUNTIFS(mdr_rate_cleaned!$A$2:$A$10,B380,mdr_rate_cleaned!$B$2:$B$10,"&lt;"&amp;C380,mdr_rate_cleaned!$F$2:$F$10,"&gt;="&amp;C380)</f>
        <v>1</v>
      </c>
      <c r="G380">
        <v>3.0000000000000001E-3</v>
      </c>
      <c r="H380">
        <v>7.5</v>
      </c>
      <c r="I380" t="s">
        <v>15</v>
      </c>
      <c r="J380" t="s">
        <v>15</v>
      </c>
      <c r="K380">
        <v>1.35</v>
      </c>
      <c r="L380">
        <v>0</v>
      </c>
    </row>
    <row r="381" spans="1:12" x14ac:dyDescent="0.3">
      <c r="A381" t="s">
        <v>397</v>
      </c>
      <c r="B381" t="s">
        <v>21</v>
      </c>
      <c r="C381">
        <v>349</v>
      </c>
      <c r="D381">
        <v>0</v>
      </c>
      <c r="E381">
        <v>0</v>
      </c>
      <c r="F381">
        <f>COUNTIFS(mdr_rate_cleaned!$A$2:$A$10,B381,mdr_rate_cleaned!$B$2:$B$10,"&lt;"&amp;C381,mdr_rate_cleaned!$F$2:$F$10,"&gt;="&amp;C381)</f>
        <v>1</v>
      </c>
      <c r="G381">
        <v>0</v>
      </c>
      <c r="H381">
        <v>0</v>
      </c>
      <c r="I381" t="s">
        <v>15</v>
      </c>
      <c r="J381" t="s">
        <v>15</v>
      </c>
      <c r="K381">
        <v>0</v>
      </c>
      <c r="L381">
        <v>0</v>
      </c>
    </row>
    <row r="382" spans="1:12" x14ac:dyDescent="0.3">
      <c r="A382" t="s">
        <v>398</v>
      </c>
      <c r="B382" t="s">
        <v>21</v>
      </c>
      <c r="C382">
        <v>4797</v>
      </c>
      <c r="D382">
        <v>14.39</v>
      </c>
      <c r="E382">
        <v>2.59</v>
      </c>
      <c r="F382">
        <f>COUNTIFS(mdr_rate_cleaned!$A$2:$A$10,B382,mdr_rate_cleaned!$B$2:$B$10,"&lt;"&amp;C382,mdr_rate_cleaned!$F$2:$F$10,"&gt;="&amp;C382)</f>
        <v>1</v>
      </c>
      <c r="G382">
        <v>3.0000000000000001E-3</v>
      </c>
      <c r="H382">
        <v>14.39</v>
      </c>
      <c r="I382" t="s">
        <v>15</v>
      </c>
      <c r="J382" t="s">
        <v>15</v>
      </c>
      <c r="K382">
        <v>2.59</v>
      </c>
      <c r="L382">
        <v>0</v>
      </c>
    </row>
    <row r="383" spans="1:12" x14ac:dyDescent="0.3">
      <c r="A383" t="s">
        <v>399</v>
      </c>
      <c r="B383" t="s">
        <v>17</v>
      </c>
      <c r="C383">
        <v>999</v>
      </c>
      <c r="D383">
        <v>17.98</v>
      </c>
      <c r="E383">
        <v>3.24</v>
      </c>
      <c r="F383">
        <f>COUNTIFS(mdr_rate_cleaned!$A$2:$A$10,B383,mdr_rate_cleaned!$B$2:$B$10,"&lt;"&amp;C383,mdr_rate_cleaned!$F$2:$F$10,"&gt;="&amp;C383)</f>
        <v>1</v>
      </c>
      <c r="G383">
        <v>1.7999999999999999E-2</v>
      </c>
      <c r="H383">
        <v>17.98</v>
      </c>
      <c r="I383" t="s">
        <v>15</v>
      </c>
      <c r="J383" t="s">
        <v>15</v>
      </c>
      <c r="K383">
        <v>3.24</v>
      </c>
      <c r="L383">
        <v>0</v>
      </c>
    </row>
    <row r="384" spans="1:12" x14ac:dyDescent="0.3">
      <c r="A384" t="s">
        <v>400</v>
      </c>
      <c r="B384" t="s">
        <v>21</v>
      </c>
      <c r="C384">
        <v>299</v>
      </c>
      <c r="D384">
        <v>0</v>
      </c>
      <c r="E384">
        <v>0</v>
      </c>
      <c r="F384">
        <f>COUNTIFS(mdr_rate_cleaned!$A$2:$A$10,B384,mdr_rate_cleaned!$B$2:$B$10,"&lt;"&amp;C384,mdr_rate_cleaned!$F$2:$F$10,"&gt;="&amp;C384)</f>
        <v>1</v>
      </c>
      <c r="G384">
        <v>0</v>
      </c>
      <c r="H384">
        <v>0</v>
      </c>
      <c r="I384" t="s">
        <v>15</v>
      </c>
      <c r="J384" t="s">
        <v>15</v>
      </c>
      <c r="K384">
        <v>0</v>
      </c>
      <c r="L384">
        <v>0</v>
      </c>
    </row>
    <row r="385" spans="1:12" x14ac:dyDescent="0.3">
      <c r="A385" t="s">
        <v>401</v>
      </c>
      <c r="B385" t="s">
        <v>17</v>
      </c>
      <c r="C385">
        <v>1098</v>
      </c>
      <c r="D385">
        <v>19.760000000000002</v>
      </c>
      <c r="E385">
        <v>3.56</v>
      </c>
      <c r="F385">
        <f>COUNTIFS(mdr_rate_cleaned!$A$2:$A$10,B385,mdr_rate_cleaned!$B$2:$B$10,"&lt;"&amp;C385,mdr_rate_cleaned!$F$2:$F$10,"&gt;="&amp;C385)</f>
        <v>1</v>
      </c>
      <c r="G385">
        <v>1.7999999999999999E-2</v>
      </c>
      <c r="H385">
        <v>19.760000000000002</v>
      </c>
      <c r="I385" t="s">
        <v>15</v>
      </c>
      <c r="J385" t="s">
        <v>15</v>
      </c>
      <c r="K385">
        <v>3.56</v>
      </c>
      <c r="L385">
        <v>0</v>
      </c>
    </row>
    <row r="386" spans="1:12" x14ac:dyDescent="0.3">
      <c r="A386" t="s">
        <v>402</v>
      </c>
      <c r="B386" t="s">
        <v>21</v>
      </c>
      <c r="C386">
        <v>499</v>
      </c>
      <c r="D386">
        <v>0</v>
      </c>
      <c r="E386">
        <v>0</v>
      </c>
      <c r="F386">
        <f>COUNTIFS(mdr_rate_cleaned!$A$2:$A$10,B386,mdr_rate_cleaned!$B$2:$B$10,"&lt;"&amp;C386,mdr_rate_cleaned!$F$2:$F$10,"&gt;="&amp;C386)</f>
        <v>1</v>
      </c>
      <c r="G386">
        <v>0</v>
      </c>
      <c r="H386">
        <v>0</v>
      </c>
      <c r="I386" t="s">
        <v>15</v>
      </c>
      <c r="J386" t="s">
        <v>15</v>
      </c>
      <c r="K386">
        <v>0</v>
      </c>
      <c r="L386">
        <v>0</v>
      </c>
    </row>
    <row r="387" spans="1:12" x14ac:dyDescent="0.3">
      <c r="A387" t="s">
        <v>403</v>
      </c>
      <c r="B387" t="s">
        <v>21</v>
      </c>
      <c r="C387">
        <v>4297</v>
      </c>
      <c r="D387">
        <v>12.89</v>
      </c>
      <c r="E387">
        <v>2.3199999999999998</v>
      </c>
      <c r="F387">
        <f>COUNTIFS(mdr_rate_cleaned!$A$2:$A$10,B387,mdr_rate_cleaned!$B$2:$B$10,"&lt;"&amp;C387,mdr_rate_cleaned!$F$2:$F$10,"&gt;="&amp;C387)</f>
        <v>1</v>
      </c>
      <c r="G387">
        <v>3.0000000000000001E-3</v>
      </c>
      <c r="H387">
        <v>12.89</v>
      </c>
      <c r="I387" t="s">
        <v>15</v>
      </c>
      <c r="J387" t="s">
        <v>15</v>
      </c>
      <c r="K387">
        <v>2.3199999999999998</v>
      </c>
      <c r="L387">
        <v>0</v>
      </c>
    </row>
    <row r="388" spans="1:12" x14ac:dyDescent="0.3">
      <c r="A388" t="s">
        <v>404</v>
      </c>
      <c r="B388" t="s">
        <v>21</v>
      </c>
      <c r="C388">
        <v>5998</v>
      </c>
      <c r="D388">
        <v>17.989999999999998</v>
      </c>
      <c r="E388">
        <v>3.24</v>
      </c>
      <c r="F388">
        <f>COUNTIFS(mdr_rate_cleaned!$A$2:$A$10,B388,mdr_rate_cleaned!$B$2:$B$10,"&lt;"&amp;C388,mdr_rate_cleaned!$F$2:$F$10,"&gt;="&amp;C388)</f>
        <v>1</v>
      </c>
      <c r="G388">
        <v>3.0000000000000001E-3</v>
      </c>
      <c r="H388">
        <v>17.989999999999998</v>
      </c>
      <c r="I388" t="s">
        <v>15</v>
      </c>
      <c r="J388" t="s">
        <v>15</v>
      </c>
      <c r="K388">
        <v>3.24</v>
      </c>
      <c r="L388">
        <v>0</v>
      </c>
    </row>
    <row r="389" spans="1:12" x14ac:dyDescent="0.3">
      <c r="A389" t="s">
        <v>405</v>
      </c>
      <c r="B389" t="s">
        <v>17</v>
      </c>
      <c r="C389">
        <v>1799</v>
      </c>
      <c r="D389">
        <v>32.380000000000003</v>
      </c>
      <c r="E389">
        <v>5.83</v>
      </c>
      <c r="F389">
        <f>COUNTIFS(mdr_rate_cleaned!$A$2:$A$10,B389,mdr_rate_cleaned!$B$2:$B$10,"&lt;"&amp;C389,mdr_rate_cleaned!$F$2:$F$10,"&gt;="&amp;C389)</f>
        <v>1</v>
      </c>
      <c r="G389">
        <v>1.7999999999999999E-2</v>
      </c>
      <c r="H389">
        <v>32.380000000000003</v>
      </c>
      <c r="I389" t="s">
        <v>15</v>
      </c>
      <c r="J389" t="s">
        <v>15</v>
      </c>
      <c r="K389">
        <v>5.83</v>
      </c>
      <c r="L389">
        <v>0</v>
      </c>
    </row>
    <row r="390" spans="1:12" x14ac:dyDescent="0.3">
      <c r="A390" t="s">
        <v>406</v>
      </c>
      <c r="B390" t="s">
        <v>17</v>
      </c>
      <c r="C390">
        <v>2597</v>
      </c>
      <c r="D390">
        <v>41.55</v>
      </c>
      <c r="E390">
        <v>7.48</v>
      </c>
      <c r="F390">
        <f>COUNTIFS(mdr_rate_cleaned!$A$2:$A$10,B390,mdr_rate_cleaned!$B$2:$B$10,"&lt;"&amp;C390,mdr_rate_cleaned!$F$2:$F$10,"&gt;="&amp;C390)</f>
        <v>1</v>
      </c>
      <c r="G390">
        <v>1.6E-2</v>
      </c>
      <c r="H390">
        <v>41.55</v>
      </c>
      <c r="I390" t="s">
        <v>15</v>
      </c>
      <c r="J390" t="s">
        <v>15</v>
      </c>
      <c r="K390">
        <v>7.48</v>
      </c>
      <c r="L390">
        <v>0</v>
      </c>
    </row>
    <row r="391" spans="1:12" x14ac:dyDescent="0.3">
      <c r="A391" t="s">
        <v>407</v>
      </c>
      <c r="B391" t="s">
        <v>21</v>
      </c>
      <c r="C391">
        <v>299</v>
      </c>
      <c r="D391">
        <v>0</v>
      </c>
      <c r="E391">
        <v>0</v>
      </c>
      <c r="F391">
        <f>COUNTIFS(mdr_rate_cleaned!$A$2:$A$10,B391,mdr_rate_cleaned!$B$2:$B$10,"&lt;"&amp;C391,mdr_rate_cleaned!$F$2:$F$10,"&gt;="&amp;C391)</f>
        <v>1</v>
      </c>
      <c r="G391">
        <v>0</v>
      </c>
      <c r="H391">
        <v>0</v>
      </c>
      <c r="I391" t="s">
        <v>15</v>
      </c>
      <c r="J391" t="s">
        <v>15</v>
      </c>
      <c r="K391">
        <v>0</v>
      </c>
      <c r="L391">
        <v>0</v>
      </c>
    </row>
    <row r="392" spans="1:12" x14ac:dyDescent="0.3">
      <c r="A392" t="s">
        <v>408</v>
      </c>
      <c r="B392" t="s">
        <v>21</v>
      </c>
      <c r="C392">
        <v>6997</v>
      </c>
      <c r="D392">
        <v>20.99</v>
      </c>
      <c r="E392">
        <v>3.78</v>
      </c>
      <c r="F392">
        <f>COUNTIFS(mdr_rate_cleaned!$A$2:$A$10,B392,mdr_rate_cleaned!$B$2:$B$10,"&lt;"&amp;C392,mdr_rate_cleaned!$F$2:$F$10,"&gt;="&amp;C392)</f>
        <v>1</v>
      </c>
      <c r="G392">
        <v>3.0000000000000001E-3</v>
      </c>
      <c r="H392">
        <v>20.99</v>
      </c>
      <c r="I392" t="s">
        <v>15</v>
      </c>
      <c r="J392" t="s">
        <v>15</v>
      </c>
      <c r="K392">
        <v>3.78</v>
      </c>
      <c r="L392">
        <v>0</v>
      </c>
    </row>
    <row r="393" spans="1:12" x14ac:dyDescent="0.3">
      <c r="A393" t="s">
        <v>409</v>
      </c>
      <c r="B393" t="s">
        <v>17</v>
      </c>
      <c r="C393">
        <v>299</v>
      </c>
      <c r="D393">
        <v>5.38</v>
      </c>
      <c r="E393">
        <v>0.97</v>
      </c>
      <c r="F393">
        <f>COUNTIFS(mdr_rate_cleaned!$A$2:$A$10,B393,mdr_rate_cleaned!$B$2:$B$10,"&lt;"&amp;C393,mdr_rate_cleaned!$F$2:$F$10,"&gt;="&amp;C393)</f>
        <v>1</v>
      </c>
      <c r="G393">
        <v>1.7999999999999999E-2</v>
      </c>
      <c r="H393">
        <v>5.38</v>
      </c>
      <c r="I393" t="s">
        <v>15</v>
      </c>
      <c r="J393" t="s">
        <v>15</v>
      </c>
      <c r="K393">
        <v>0.97</v>
      </c>
      <c r="L393">
        <v>0</v>
      </c>
    </row>
    <row r="394" spans="1:12" x14ac:dyDescent="0.3">
      <c r="A394" t="s">
        <v>410</v>
      </c>
      <c r="B394" t="s">
        <v>21</v>
      </c>
      <c r="C394">
        <v>15998</v>
      </c>
      <c r="D394">
        <v>47.99</v>
      </c>
      <c r="E394">
        <v>8.64</v>
      </c>
      <c r="F394">
        <f>COUNTIFS(mdr_rate_cleaned!$A$2:$A$10,B394,mdr_rate_cleaned!$B$2:$B$10,"&lt;"&amp;C394,mdr_rate_cleaned!$F$2:$F$10,"&gt;="&amp;C394)</f>
        <v>1</v>
      </c>
      <c r="G394">
        <v>3.0000000000000001E-3</v>
      </c>
      <c r="H394">
        <v>47.99</v>
      </c>
      <c r="I394" t="s">
        <v>15</v>
      </c>
      <c r="J394" t="s">
        <v>15</v>
      </c>
      <c r="K394">
        <v>8.64</v>
      </c>
      <c r="L394">
        <v>0</v>
      </c>
    </row>
    <row r="395" spans="1:12" x14ac:dyDescent="0.3">
      <c r="A395" t="s">
        <v>411</v>
      </c>
      <c r="B395" t="s">
        <v>21</v>
      </c>
      <c r="C395">
        <v>5598</v>
      </c>
      <c r="D395">
        <v>16.79</v>
      </c>
      <c r="E395">
        <v>3.02</v>
      </c>
      <c r="F395">
        <f>COUNTIFS(mdr_rate_cleaned!$A$2:$A$10,B395,mdr_rate_cleaned!$B$2:$B$10,"&lt;"&amp;C395,mdr_rate_cleaned!$F$2:$F$10,"&gt;="&amp;C395)</f>
        <v>1</v>
      </c>
      <c r="G395">
        <v>3.0000000000000001E-3</v>
      </c>
      <c r="H395">
        <v>16.79</v>
      </c>
      <c r="I395" t="s">
        <v>15</v>
      </c>
      <c r="J395" t="s">
        <v>15</v>
      </c>
      <c r="K395">
        <v>3.02</v>
      </c>
      <c r="L395">
        <v>0</v>
      </c>
    </row>
    <row r="396" spans="1:12" x14ac:dyDescent="0.3">
      <c r="A396" t="s">
        <v>412</v>
      </c>
      <c r="B396" t="s">
        <v>17</v>
      </c>
      <c r="C396">
        <v>5348</v>
      </c>
      <c r="D396">
        <v>85.57</v>
      </c>
      <c r="E396">
        <v>15.4</v>
      </c>
      <c r="F396">
        <f>COUNTIFS(mdr_rate_cleaned!$A$2:$A$10,B396,mdr_rate_cleaned!$B$2:$B$10,"&lt;"&amp;C396,mdr_rate_cleaned!$F$2:$F$10,"&gt;="&amp;C396)</f>
        <v>1</v>
      </c>
      <c r="G396">
        <v>1.6E-2</v>
      </c>
      <c r="H396">
        <v>85.57</v>
      </c>
      <c r="I396" t="s">
        <v>15</v>
      </c>
      <c r="J396" t="s">
        <v>15</v>
      </c>
      <c r="K396">
        <v>15.4</v>
      </c>
      <c r="L396">
        <v>0</v>
      </c>
    </row>
    <row r="397" spans="1:12" x14ac:dyDescent="0.3">
      <c r="A397" t="s">
        <v>413</v>
      </c>
      <c r="B397" t="s">
        <v>21</v>
      </c>
      <c r="C397">
        <v>698</v>
      </c>
      <c r="D397">
        <v>0</v>
      </c>
      <c r="E397">
        <v>0</v>
      </c>
      <c r="F397">
        <f>COUNTIFS(mdr_rate_cleaned!$A$2:$A$10,B397,mdr_rate_cleaned!$B$2:$B$10,"&lt;"&amp;C397,mdr_rate_cleaned!$F$2:$F$10,"&gt;="&amp;C397)</f>
        <v>1</v>
      </c>
      <c r="G397">
        <v>0</v>
      </c>
      <c r="H397">
        <v>0</v>
      </c>
      <c r="I397" t="s">
        <v>15</v>
      </c>
      <c r="J397" t="s">
        <v>15</v>
      </c>
      <c r="K397">
        <v>0</v>
      </c>
      <c r="L397">
        <v>0</v>
      </c>
    </row>
    <row r="398" spans="1:12" x14ac:dyDescent="0.3">
      <c r="A398" t="s">
        <v>414</v>
      </c>
      <c r="B398" t="s">
        <v>13</v>
      </c>
      <c r="C398">
        <v>1299</v>
      </c>
      <c r="D398">
        <v>24.68</v>
      </c>
      <c r="E398">
        <v>4.4400000000000004</v>
      </c>
      <c r="F398">
        <f>COUNTIFS(mdr_rate_cleaned!$A$2:$A$10,B398,mdr_rate_cleaned!$B$2:$B$10,"&lt;"&amp;C398,mdr_rate_cleaned!$F$2:$F$10,"&gt;="&amp;C398)</f>
        <v>1</v>
      </c>
      <c r="G398">
        <v>1.9E-2</v>
      </c>
      <c r="H398">
        <v>24.68</v>
      </c>
      <c r="I398" t="s">
        <v>15</v>
      </c>
      <c r="J398" t="s">
        <v>15</v>
      </c>
      <c r="K398">
        <v>4.4400000000000004</v>
      </c>
      <c r="L398">
        <v>0</v>
      </c>
    </row>
    <row r="399" spans="1:12" x14ac:dyDescent="0.3">
      <c r="A399" t="s">
        <v>415</v>
      </c>
      <c r="B399" t="s">
        <v>13</v>
      </c>
      <c r="C399">
        <v>2097</v>
      </c>
      <c r="D399">
        <v>35.65</v>
      </c>
      <c r="E399">
        <v>6.42</v>
      </c>
      <c r="F399">
        <f>COUNTIFS(mdr_rate_cleaned!$A$2:$A$10,B399,mdr_rate_cleaned!$B$2:$B$10,"&lt;"&amp;C399,mdr_rate_cleaned!$F$2:$F$10,"&gt;="&amp;C399)</f>
        <v>1</v>
      </c>
      <c r="G399">
        <v>1.7000000000000001E-2</v>
      </c>
      <c r="H399">
        <v>35.65</v>
      </c>
      <c r="I399" t="s">
        <v>15</v>
      </c>
      <c r="J399" t="s">
        <v>15</v>
      </c>
      <c r="K399">
        <v>6.42</v>
      </c>
      <c r="L399">
        <v>0</v>
      </c>
    </row>
    <row r="400" spans="1:12" x14ac:dyDescent="0.3">
      <c r="A400" t="s">
        <v>416</v>
      </c>
      <c r="B400" t="s">
        <v>21</v>
      </c>
      <c r="C400">
        <v>599</v>
      </c>
      <c r="D400">
        <v>0</v>
      </c>
      <c r="E400">
        <v>0</v>
      </c>
      <c r="F400">
        <f>COUNTIFS(mdr_rate_cleaned!$A$2:$A$10,B400,mdr_rate_cleaned!$B$2:$B$10,"&lt;"&amp;C400,mdr_rate_cleaned!$F$2:$F$10,"&gt;="&amp;C400)</f>
        <v>1</v>
      </c>
      <c r="G400">
        <v>0</v>
      </c>
      <c r="H400">
        <v>0</v>
      </c>
      <c r="I400" t="s">
        <v>15</v>
      </c>
      <c r="J400" t="s">
        <v>15</v>
      </c>
      <c r="K400">
        <v>0</v>
      </c>
      <c r="L400">
        <v>0</v>
      </c>
    </row>
    <row r="401" spans="1:12" x14ac:dyDescent="0.3">
      <c r="A401" t="s">
        <v>417</v>
      </c>
      <c r="B401" t="s">
        <v>17</v>
      </c>
      <c r="C401">
        <v>999</v>
      </c>
      <c r="D401">
        <v>17.98</v>
      </c>
      <c r="E401">
        <v>3.24</v>
      </c>
      <c r="F401">
        <f>COUNTIFS(mdr_rate_cleaned!$A$2:$A$10,B401,mdr_rate_cleaned!$B$2:$B$10,"&lt;"&amp;C401,mdr_rate_cleaned!$F$2:$F$10,"&gt;="&amp;C401)</f>
        <v>1</v>
      </c>
      <c r="G401">
        <v>1.7999999999999999E-2</v>
      </c>
      <c r="H401">
        <v>17.98</v>
      </c>
      <c r="I401" t="s">
        <v>15</v>
      </c>
      <c r="J401" t="s">
        <v>15</v>
      </c>
      <c r="K401">
        <v>3.24</v>
      </c>
      <c r="L401">
        <v>0</v>
      </c>
    </row>
    <row r="402" spans="1:12" x14ac:dyDescent="0.3">
      <c r="A402" t="s">
        <v>418</v>
      </c>
      <c r="B402" t="s">
        <v>13</v>
      </c>
      <c r="C402">
        <v>1499</v>
      </c>
      <c r="D402">
        <v>28.48</v>
      </c>
      <c r="E402">
        <v>5.13</v>
      </c>
      <c r="F402">
        <f>COUNTIFS(mdr_rate_cleaned!$A$2:$A$10,B402,mdr_rate_cleaned!$B$2:$B$10,"&lt;"&amp;C402,mdr_rate_cleaned!$F$2:$F$10,"&gt;="&amp;C402)</f>
        <v>1</v>
      </c>
      <c r="G402">
        <v>1.9E-2</v>
      </c>
      <c r="H402">
        <v>28.48</v>
      </c>
      <c r="I402" t="s">
        <v>15</v>
      </c>
      <c r="J402" t="s">
        <v>15</v>
      </c>
      <c r="K402">
        <v>5.13</v>
      </c>
      <c r="L402">
        <v>0</v>
      </c>
    </row>
    <row r="403" spans="1:12" x14ac:dyDescent="0.3">
      <c r="A403" t="s">
        <v>419</v>
      </c>
      <c r="B403" t="s">
        <v>21</v>
      </c>
      <c r="C403">
        <v>499</v>
      </c>
      <c r="D403">
        <v>0</v>
      </c>
      <c r="E403">
        <v>0</v>
      </c>
      <c r="F403">
        <f>COUNTIFS(mdr_rate_cleaned!$A$2:$A$10,B403,mdr_rate_cleaned!$B$2:$B$10,"&lt;"&amp;C403,mdr_rate_cleaned!$F$2:$F$10,"&gt;="&amp;C403)</f>
        <v>1</v>
      </c>
      <c r="G403">
        <v>0</v>
      </c>
      <c r="H403">
        <v>0</v>
      </c>
      <c r="I403" t="s">
        <v>15</v>
      </c>
      <c r="J403" t="s">
        <v>15</v>
      </c>
      <c r="K403">
        <v>0</v>
      </c>
      <c r="L403">
        <v>0</v>
      </c>
    </row>
    <row r="404" spans="1:12" x14ac:dyDescent="0.3">
      <c r="A404" t="s">
        <v>420</v>
      </c>
      <c r="B404" t="s">
        <v>21</v>
      </c>
      <c r="C404">
        <v>599</v>
      </c>
      <c r="D404">
        <v>0</v>
      </c>
      <c r="E404">
        <v>0</v>
      </c>
      <c r="F404">
        <f>COUNTIFS(mdr_rate_cleaned!$A$2:$A$10,B404,mdr_rate_cleaned!$B$2:$B$10,"&lt;"&amp;C404,mdr_rate_cleaned!$F$2:$F$10,"&gt;="&amp;C404)</f>
        <v>1</v>
      </c>
      <c r="G404">
        <v>0</v>
      </c>
      <c r="H404">
        <v>0</v>
      </c>
      <c r="I404" t="s">
        <v>15</v>
      </c>
      <c r="J404" t="s">
        <v>15</v>
      </c>
      <c r="K404">
        <v>0</v>
      </c>
      <c r="L404">
        <v>0</v>
      </c>
    </row>
    <row r="405" spans="1:12" x14ac:dyDescent="0.3">
      <c r="A405" t="s">
        <v>421</v>
      </c>
      <c r="B405" t="s">
        <v>21</v>
      </c>
      <c r="C405">
        <v>1299</v>
      </c>
      <c r="D405">
        <v>0</v>
      </c>
      <c r="E405">
        <v>0</v>
      </c>
      <c r="F405">
        <f>COUNTIFS(mdr_rate_cleaned!$A$2:$A$10,B405,mdr_rate_cleaned!$B$2:$B$10,"&lt;"&amp;C405,mdr_rate_cleaned!$F$2:$F$10,"&gt;="&amp;C405)</f>
        <v>1</v>
      </c>
      <c r="G405">
        <v>0</v>
      </c>
      <c r="H405">
        <v>0</v>
      </c>
      <c r="I405" t="s">
        <v>15</v>
      </c>
      <c r="J405" t="s">
        <v>15</v>
      </c>
      <c r="K405">
        <v>0</v>
      </c>
      <c r="L405">
        <v>0</v>
      </c>
    </row>
    <row r="406" spans="1:12" x14ac:dyDescent="0.3">
      <c r="A406" t="s">
        <v>422</v>
      </c>
      <c r="B406" t="s">
        <v>21</v>
      </c>
      <c r="C406">
        <v>4298</v>
      </c>
      <c r="D406">
        <v>12.89</v>
      </c>
      <c r="E406">
        <v>2.3199999999999998</v>
      </c>
      <c r="F406">
        <f>COUNTIFS(mdr_rate_cleaned!$A$2:$A$10,B406,mdr_rate_cleaned!$B$2:$B$10,"&lt;"&amp;C406,mdr_rate_cleaned!$F$2:$F$10,"&gt;="&amp;C406)</f>
        <v>1</v>
      </c>
      <c r="G406">
        <v>3.0000000000000001E-3</v>
      </c>
      <c r="H406">
        <v>12.89</v>
      </c>
      <c r="I406" t="s">
        <v>15</v>
      </c>
      <c r="J406" t="s">
        <v>15</v>
      </c>
      <c r="K406">
        <v>2.3199999999999998</v>
      </c>
      <c r="L406">
        <v>0</v>
      </c>
    </row>
    <row r="407" spans="1:12" x14ac:dyDescent="0.3">
      <c r="A407" t="s">
        <v>423</v>
      </c>
      <c r="B407" t="s">
        <v>17</v>
      </c>
      <c r="C407">
        <v>599</v>
      </c>
      <c r="D407">
        <v>10.78</v>
      </c>
      <c r="E407">
        <v>1.94</v>
      </c>
      <c r="F407">
        <f>COUNTIFS(mdr_rate_cleaned!$A$2:$A$10,B407,mdr_rate_cleaned!$B$2:$B$10,"&lt;"&amp;C407,mdr_rate_cleaned!$F$2:$F$10,"&gt;="&amp;C407)</f>
        <v>1</v>
      </c>
      <c r="G407">
        <v>1.7999999999999999E-2</v>
      </c>
      <c r="H407">
        <v>10.78</v>
      </c>
      <c r="I407" t="s">
        <v>15</v>
      </c>
      <c r="J407" t="s">
        <v>15</v>
      </c>
      <c r="K407">
        <v>1.94</v>
      </c>
      <c r="L407">
        <v>0</v>
      </c>
    </row>
    <row r="408" spans="1:12" x14ac:dyDescent="0.3">
      <c r="A408" t="s">
        <v>424</v>
      </c>
      <c r="B408" t="s">
        <v>17</v>
      </c>
      <c r="C408">
        <v>1798</v>
      </c>
      <c r="D408">
        <v>32.36</v>
      </c>
      <c r="E408">
        <v>5.82</v>
      </c>
      <c r="F408">
        <f>COUNTIFS(mdr_rate_cleaned!$A$2:$A$10,B408,mdr_rate_cleaned!$B$2:$B$10,"&lt;"&amp;C408,mdr_rate_cleaned!$F$2:$F$10,"&gt;="&amp;C408)</f>
        <v>1</v>
      </c>
      <c r="G408">
        <v>1.7999999999999999E-2</v>
      </c>
      <c r="H408">
        <v>32.36</v>
      </c>
      <c r="I408" t="s">
        <v>15</v>
      </c>
      <c r="J408" t="s">
        <v>15</v>
      </c>
      <c r="K408">
        <v>5.82</v>
      </c>
      <c r="L408">
        <v>0</v>
      </c>
    </row>
    <row r="409" spans="1:12" x14ac:dyDescent="0.3">
      <c r="A409" t="s">
        <v>425</v>
      </c>
      <c r="B409" t="s">
        <v>13</v>
      </c>
      <c r="C409">
        <v>999</v>
      </c>
      <c r="D409">
        <v>18.98</v>
      </c>
      <c r="E409">
        <v>3.42</v>
      </c>
      <c r="F409">
        <f>COUNTIFS(mdr_rate_cleaned!$A$2:$A$10,B409,mdr_rate_cleaned!$B$2:$B$10,"&lt;"&amp;C409,mdr_rate_cleaned!$F$2:$F$10,"&gt;="&amp;C409)</f>
        <v>1</v>
      </c>
      <c r="G409">
        <v>1.9E-2</v>
      </c>
      <c r="H409">
        <v>18.98</v>
      </c>
      <c r="I409" t="s">
        <v>15</v>
      </c>
      <c r="J409" t="s">
        <v>15</v>
      </c>
      <c r="K409">
        <v>3.42</v>
      </c>
      <c r="L409">
        <v>0</v>
      </c>
    </row>
    <row r="410" spans="1:12" x14ac:dyDescent="0.3">
      <c r="A410" t="s">
        <v>426</v>
      </c>
      <c r="B410" t="s">
        <v>21</v>
      </c>
      <c r="C410">
        <v>7999</v>
      </c>
      <c r="D410">
        <v>24</v>
      </c>
      <c r="E410">
        <v>4.32</v>
      </c>
      <c r="F410">
        <f>COUNTIFS(mdr_rate_cleaned!$A$2:$A$10,B410,mdr_rate_cleaned!$B$2:$B$10,"&lt;"&amp;C410,mdr_rate_cleaned!$F$2:$F$10,"&gt;="&amp;C410)</f>
        <v>1</v>
      </c>
      <c r="G410">
        <v>3.0000000000000001E-3</v>
      </c>
      <c r="H410">
        <v>24</v>
      </c>
      <c r="I410" t="s">
        <v>15</v>
      </c>
      <c r="J410" t="s">
        <v>15</v>
      </c>
      <c r="K410">
        <v>4.32</v>
      </c>
      <c r="L410">
        <v>0</v>
      </c>
    </row>
    <row r="411" spans="1:12" x14ac:dyDescent="0.3">
      <c r="A411" t="s">
        <v>427</v>
      </c>
      <c r="B411" t="s">
        <v>17</v>
      </c>
      <c r="C411">
        <v>1348</v>
      </c>
      <c r="D411">
        <v>24.26</v>
      </c>
      <c r="E411">
        <v>4.37</v>
      </c>
      <c r="F411">
        <f>COUNTIFS(mdr_rate_cleaned!$A$2:$A$10,B411,mdr_rate_cleaned!$B$2:$B$10,"&lt;"&amp;C411,mdr_rate_cleaned!$F$2:$F$10,"&gt;="&amp;C411)</f>
        <v>1</v>
      </c>
      <c r="G411">
        <v>1.7999999999999999E-2</v>
      </c>
      <c r="H411">
        <v>24.26</v>
      </c>
      <c r="I411" t="s">
        <v>15</v>
      </c>
      <c r="J411" t="s">
        <v>15</v>
      </c>
      <c r="K411">
        <v>4.37</v>
      </c>
      <c r="L411">
        <v>0</v>
      </c>
    </row>
    <row r="412" spans="1:12" x14ac:dyDescent="0.3">
      <c r="A412" t="s">
        <v>428</v>
      </c>
      <c r="B412" t="s">
        <v>21</v>
      </c>
      <c r="C412">
        <v>599</v>
      </c>
      <c r="D412">
        <v>0</v>
      </c>
      <c r="E412">
        <v>0</v>
      </c>
      <c r="F412">
        <f>COUNTIFS(mdr_rate_cleaned!$A$2:$A$10,B412,mdr_rate_cleaned!$B$2:$B$10,"&lt;"&amp;C412,mdr_rate_cleaned!$F$2:$F$10,"&gt;="&amp;C412)</f>
        <v>1</v>
      </c>
      <c r="G412">
        <v>0</v>
      </c>
      <c r="H412">
        <v>0</v>
      </c>
      <c r="I412" t="s">
        <v>15</v>
      </c>
      <c r="J412" t="s">
        <v>15</v>
      </c>
      <c r="K412">
        <v>0</v>
      </c>
      <c r="L412">
        <v>0</v>
      </c>
    </row>
    <row r="413" spans="1:12" x14ac:dyDescent="0.3">
      <c r="A413" t="s">
        <v>429</v>
      </c>
      <c r="B413" t="s">
        <v>21</v>
      </c>
      <c r="C413">
        <v>599</v>
      </c>
      <c r="D413">
        <v>0</v>
      </c>
      <c r="E413">
        <v>0</v>
      </c>
      <c r="F413">
        <f>COUNTIFS(mdr_rate_cleaned!$A$2:$A$10,B413,mdr_rate_cleaned!$B$2:$B$10,"&lt;"&amp;C413,mdr_rate_cleaned!$F$2:$F$10,"&gt;="&amp;C413)</f>
        <v>1</v>
      </c>
      <c r="G413">
        <v>0</v>
      </c>
      <c r="H413">
        <v>0</v>
      </c>
      <c r="I413" t="s">
        <v>15</v>
      </c>
      <c r="J413" t="s">
        <v>15</v>
      </c>
      <c r="K413">
        <v>0</v>
      </c>
      <c r="L413">
        <v>0</v>
      </c>
    </row>
    <row r="414" spans="1:12" x14ac:dyDescent="0.3">
      <c r="A414" t="s">
        <v>430</v>
      </c>
      <c r="B414" t="s">
        <v>21</v>
      </c>
      <c r="C414">
        <v>799</v>
      </c>
      <c r="D414">
        <v>0</v>
      </c>
      <c r="E414">
        <v>0</v>
      </c>
      <c r="F414">
        <f>COUNTIFS(mdr_rate_cleaned!$A$2:$A$10,B414,mdr_rate_cleaned!$B$2:$B$10,"&lt;"&amp;C414,mdr_rate_cleaned!$F$2:$F$10,"&gt;="&amp;C414)</f>
        <v>1</v>
      </c>
      <c r="G414">
        <v>0</v>
      </c>
      <c r="H414">
        <v>0</v>
      </c>
      <c r="I414" t="s">
        <v>15</v>
      </c>
      <c r="J414" t="s">
        <v>15</v>
      </c>
      <c r="K414">
        <v>0</v>
      </c>
      <c r="L414">
        <v>0</v>
      </c>
    </row>
    <row r="415" spans="1:12" x14ac:dyDescent="0.3">
      <c r="A415" t="s">
        <v>431</v>
      </c>
      <c r="B415" t="s">
        <v>21</v>
      </c>
      <c r="C415">
        <v>7497</v>
      </c>
      <c r="D415">
        <v>22.49</v>
      </c>
      <c r="E415">
        <v>4.05</v>
      </c>
      <c r="F415">
        <f>COUNTIFS(mdr_rate_cleaned!$A$2:$A$10,B415,mdr_rate_cleaned!$B$2:$B$10,"&lt;"&amp;C415,mdr_rate_cleaned!$F$2:$F$10,"&gt;="&amp;C415)</f>
        <v>1</v>
      </c>
      <c r="G415">
        <v>3.0000000000000001E-3</v>
      </c>
      <c r="H415">
        <v>22.49</v>
      </c>
      <c r="I415" t="s">
        <v>15</v>
      </c>
      <c r="J415" t="s">
        <v>15</v>
      </c>
      <c r="K415">
        <v>4.05</v>
      </c>
      <c r="L415">
        <v>0</v>
      </c>
    </row>
    <row r="416" spans="1:12" x14ac:dyDescent="0.3">
      <c r="A416" t="s">
        <v>432</v>
      </c>
      <c r="B416" t="s">
        <v>39</v>
      </c>
      <c r="C416">
        <v>499</v>
      </c>
      <c r="D416">
        <v>7.49</v>
      </c>
      <c r="E416">
        <v>1.35</v>
      </c>
      <c r="F416">
        <f>COUNTIFS(mdr_rate_cleaned!$A$2:$A$10,B416,mdr_rate_cleaned!$B$2:$B$10,"&lt;"&amp;C416,mdr_rate_cleaned!$F$2:$F$10,"&gt;="&amp;C416)</f>
        <v>1</v>
      </c>
      <c r="G416">
        <v>1.4999999999999999E-2</v>
      </c>
      <c r="H416">
        <v>7.49</v>
      </c>
      <c r="I416" t="s">
        <v>15</v>
      </c>
      <c r="J416" t="s">
        <v>15</v>
      </c>
      <c r="K416">
        <v>1.35</v>
      </c>
      <c r="L416">
        <v>0</v>
      </c>
    </row>
    <row r="417" spans="1:12" x14ac:dyDescent="0.3">
      <c r="A417" t="s">
        <v>433</v>
      </c>
      <c r="B417" t="s">
        <v>17</v>
      </c>
      <c r="C417">
        <v>7097</v>
      </c>
      <c r="D417">
        <v>113.55</v>
      </c>
      <c r="E417">
        <v>20.440000000000001</v>
      </c>
      <c r="F417">
        <f>COUNTIFS(mdr_rate_cleaned!$A$2:$A$10,B417,mdr_rate_cleaned!$B$2:$B$10,"&lt;"&amp;C417,mdr_rate_cleaned!$F$2:$F$10,"&gt;="&amp;C417)</f>
        <v>1</v>
      </c>
      <c r="G417">
        <v>1.6E-2</v>
      </c>
      <c r="H417">
        <v>113.55</v>
      </c>
      <c r="I417" t="s">
        <v>15</v>
      </c>
      <c r="J417" t="s">
        <v>15</v>
      </c>
      <c r="K417">
        <v>20.440000000000001</v>
      </c>
      <c r="L417">
        <v>0</v>
      </c>
    </row>
    <row r="418" spans="1:12" x14ac:dyDescent="0.3">
      <c r="A418" t="s">
        <v>434</v>
      </c>
      <c r="B418" t="s">
        <v>13</v>
      </c>
      <c r="C418">
        <v>6798</v>
      </c>
      <c r="D418">
        <v>115.57</v>
      </c>
      <c r="E418">
        <v>20.8</v>
      </c>
      <c r="F418">
        <f>COUNTIFS(mdr_rate_cleaned!$A$2:$A$10,B418,mdr_rate_cleaned!$B$2:$B$10,"&lt;"&amp;C418,mdr_rate_cleaned!$F$2:$F$10,"&gt;="&amp;C418)</f>
        <v>1</v>
      </c>
      <c r="G418">
        <v>1.7000000000000001E-2</v>
      </c>
      <c r="H418">
        <v>115.57</v>
      </c>
      <c r="I418" t="s">
        <v>15</v>
      </c>
      <c r="J418" t="s">
        <v>15</v>
      </c>
      <c r="K418">
        <v>20.8</v>
      </c>
      <c r="L418">
        <v>0</v>
      </c>
    </row>
    <row r="419" spans="1:12" x14ac:dyDescent="0.3">
      <c r="A419" t="s">
        <v>435</v>
      </c>
      <c r="B419" t="s">
        <v>21</v>
      </c>
      <c r="C419">
        <v>1299</v>
      </c>
      <c r="D419">
        <v>0</v>
      </c>
      <c r="E419">
        <v>0</v>
      </c>
      <c r="F419">
        <f>COUNTIFS(mdr_rate_cleaned!$A$2:$A$10,B419,mdr_rate_cleaned!$B$2:$B$10,"&lt;"&amp;C419,mdr_rate_cleaned!$F$2:$F$10,"&gt;="&amp;C419)</f>
        <v>1</v>
      </c>
      <c r="G419">
        <v>0</v>
      </c>
      <c r="H419">
        <v>0</v>
      </c>
      <c r="I419" t="s">
        <v>15</v>
      </c>
      <c r="J419" t="s">
        <v>15</v>
      </c>
      <c r="K419">
        <v>0</v>
      </c>
      <c r="L419">
        <v>0</v>
      </c>
    </row>
    <row r="420" spans="1:12" x14ac:dyDescent="0.3">
      <c r="A420" t="s">
        <v>436</v>
      </c>
      <c r="B420" t="s">
        <v>21</v>
      </c>
      <c r="C420">
        <v>7999</v>
      </c>
      <c r="D420">
        <v>24</v>
      </c>
      <c r="E420">
        <v>4.32</v>
      </c>
      <c r="F420">
        <f>COUNTIFS(mdr_rate_cleaned!$A$2:$A$10,B420,mdr_rate_cleaned!$B$2:$B$10,"&lt;"&amp;C420,mdr_rate_cleaned!$F$2:$F$10,"&gt;="&amp;C420)</f>
        <v>1</v>
      </c>
      <c r="G420">
        <v>3.0000000000000001E-3</v>
      </c>
      <c r="H420">
        <v>24</v>
      </c>
      <c r="I420" t="s">
        <v>15</v>
      </c>
      <c r="J420" t="s">
        <v>15</v>
      </c>
      <c r="K420">
        <v>4.32</v>
      </c>
      <c r="L420">
        <v>0</v>
      </c>
    </row>
    <row r="421" spans="1:12" x14ac:dyDescent="0.3">
      <c r="A421" t="s">
        <v>437</v>
      </c>
      <c r="B421" t="s">
        <v>21</v>
      </c>
      <c r="C421">
        <v>3197</v>
      </c>
      <c r="D421">
        <v>9.59</v>
      </c>
      <c r="E421">
        <v>1.73</v>
      </c>
      <c r="F421">
        <f>COUNTIFS(mdr_rate_cleaned!$A$2:$A$10,B421,mdr_rate_cleaned!$B$2:$B$10,"&lt;"&amp;C421,mdr_rate_cleaned!$F$2:$F$10,"&gt;="&amp;C421)</f>
        <v>1</v>
      </c>
      <c r="G421">
        <v>3.0000000000000001E-3</v>
      </c>
      <c r="H421">
        <v>9.59</v>
      </c>
      <c r="I421" t="s">
        <v>15</v>
      </c>
      <c r="J421" t="s">
        <v>15</v>
      </c>
      <c r="K421">
        <v>1.73</v>
      </c>
      <c r="L421">
        <v>0</v>
      </c>
    </row>
    <row r="422" spans="1:12" x14ac:dyDescent="0.3">
      <c r="A422" t="s">
        <v>438</v>
      </c>
      <c r="B422" t="s">
        <v>21</v>
      </c>
      <c r="C422">
        <v>5797</v>
      </c>
      <c r="D422">
        <v>17.39</v>
      </c>
      <c r="E422">
        <v>3.13</v>
      </c>
      <c r="F422">
        <f>COUNTIFS(mdr_rate_cleaned!$A$2:$A$10,B422,mdr_rate_cleaned!$B$2:$B$10,"&lt;"&amp;C422,mdr_rate_cleaned!$F$2:$F$10,"&gt;="&amp;C422)</f>
        <v>1</v>
      </c>
      <c r="G422">
        <v>3.0000000000000001E-3</v>
      </c>
      <c r="H422">
        <v>17.39</v>
      </c>
      <c r="I422" t="s">
        <v>15</v>
      </c>
      <c r="J422" t="s">
        <v>15</v>
      </c>
      <c r="K422">
        <v>3.13</v>
      </c>
      <c r="L422">
        <v>0</v>
      </c>
    </row>
    <row r="423" spans="1:12" x14ac:dyDescent="0.3">
      <c r="A423" t="s">
        <v>439</v>
      </c>
      <c r="B423" t="s">
        <v>17</v>
      </c>
      <c r="C423">
        <v>599</v>
      </c>
      <c r="D423">
        <v>10.78</v>
      </c>
      <c r="E423">
        <v>1.94</v>
      </c>
      <c r="F423">
        <f>COUNTIFS(mdr_rate_cleaned!$A$2:$A$10,B423,mdr_rate_cleaned!$B$2:$B$10,"&lt;"&amp;C423,mdr_rate_cleaned!$F$2:$F$10,"&gt;="&amp;C423)</f>
        <v>1</v>
      </c>
      <c r="G423">
        <v>1.7999999999999999E-2</v>
      </c>
      <c r="H423">
        <v>10.78</v>
      </c>
      <c r="I423" t="s">
        <v>15</v>
      </c>
      <c r="J423" t="s">
        <v>15</v>
      </c>
      <c r="K423">
        <v>1.94</v>
      </c>
      <c r="L423">
        <v>0</v>
      </c>
    </row>
    <row r="424" spans="1:12" x14ac:dyDescent="0.3">
      <c r="A424" t="s">
        <v>440</v>
      </c>
      <c r="B424" t="s">
        <v>21</v>
      </c>
      <c r="C424">
        <v>5998</v>
      </c>
      <c r="D424">
        <v>17.989999999999998</v>
      </c>
      <c r="E424">
        <v>3.24</v>
      </c>
      <c r="F424">
        <f>COUNTIFS(mdr_rate_cleaned!$A$2:$A$10,B424,mdr_rate_cleaned!$B$2:$B$10,"&lt;"&amp;C424,mdr_rate_cleaned!$F$2:$F$10,"&gt;="&amp;C424)</f>
        <v>1</v>
      </c>
      <c r="G424">
        <v>3.0000000000000001E-3</v>
      </c>
      <c r="H424">
        <v>17.989999999999998</v>
      </c>
      <c r="I424" t="s">
        <v>15</v>
      </c>
      <c r="J424" t="s">
        <v>15</v>
      </c>
      <c r="K424">
        <v>3.24</v>
      </c>
      <c r="L424">
        <v>0</v>
      </c>
    </row>
    <row r="425" spans="1:12" x14ac:dyDescent="0.3">
      <c r="A425" t="s">
        <v>441</v>
      </c>
      <c r="B425" t="s">
        <v>21</v>
      </c>
      <c r="C425">
        <v>349</v>
      </c>
      <c r="D425">
        <v>0</v>
      </c>
      <c r="E425">
        <v>0</v>
      </c>
      <c r="F425">
        <f>COUNTIFS(mdr_rate_cleaned!$A$2:$A$10,B425,mdr_rate_cleaned!$B$2:$B$10,"&lt;"&amp;C425,mdr_rate_cleaned!$F$2:$F$10,"&gt;="&amp;C425)</f>
        <v>1</v>
      </c>
      <c r="G425">
        <v>0</v>
      </c>
      <c r="H425">
        <v>0</v>
      </c>
      <c r="I425" t="s">
        <v>15</v>
      </c>
      <c r="J425" t="s">
        <v>15</v>
      </c>
      <c r="K425">
        <v>0</v>
      </c>
      <c r="L425">
        <v>0</v>
      </c>
    </row>
    <row r="426" spans="1:12" x14ac:dyDescent="0.3">
      <c r="A426" t="s">
        <v>442</v>
      </c>
      <c r="B426" t="s">
        <v>39</v>
      </c>
      <c r="C426">
        <v>3499</v>
      </c>
      <c r="D426">
        <v>41.99</v>
      </c>
      <c r="E426">
        <v>7.56</v>
      </c>
      <c r="F426">
        <f>COUNTIFS(mdr_rate_cleaned!$A$2:$A$10,B426,mdr_rate_cleaned!$B$2:$B$10,"&lt;"&amp;C426,mdr_rate_cleaned!$F$2:$F$10,"&gt;="&amp;C426)</f>
        <v>1</v>
      </c>
      <c r="G426">
        <v>1.2E-2</v>
      </c>
      <c r="H426">
        <v>41.99</v>
      </c>
      <c r="I426" t="s">
        <v>15</v>
      </c>
      <c r="J426" t="s">
        <v>15</v>
      </c>
      <c r="K426">
        <v>7.56</v>
      </c>
      <c r="L426">
        <v>0</v>
      </c>
    </row>
    <row r="427" spans="1:12" x14ac:dyDescent="0.3">
      <c r="A427" t="s">
        <v>443</v>
      </c>
      <c r="B427" t="s">
        <v>17</v>
      </c>
      <c r="C427">
        <v>499</v>
      </c>
      <c r="D427">
        <v>8.98</v>
      </c>
      <c r="E427">
        <v>1.62</v>
      </c>
      <c r="F427">
        <f>COUNTIFS(mdr_rate_cleaned!$A$2:$A$10,B427,mdr_rate_cleaned!$B$2:$B$10,"&lt;"&amp;C427,mdr_rate_cleaned!$F$2:$F$10,"&gt;="&amp;C427)</f>
        <v>1</v>
      </c>
      <c r="G427">
        <v>1.7999999999999999E-2</v>
      </c>
      <c r="H427">
        <v>8.98</v>
      </c>
      <c r="I427" t="s">
        <v>15</v>
      </c>
      <c r="J427" t="s">
        <v>15</v>
      </c>
      <c r="K427">
        <v>1.62</v>
      </c>
      <c r="L427">
        <v>0</v>
      </c>
    </row>
    <row r="428" spans="1:12" x14ac:dyDescent="0.3">
      <c r="A428" t="s">
        <v>444</v>
      </c>
      <c r="B428" t="s">
        <v>21</v>
      </c>
      <c r="C428">
        <v>2999</v>
      </c>
      <c r="D428">
        <v>9</v>
      </c>
      <c r="E428">
        <v>1.62</v>
      </c>
      <c r="F428">
        <f>COUNTIFS(mdr_rate_cleaned!$A$2:$A$10,B428,mdr_rate_cleaned!$B$2:$B$10,"&lt;"&amp;C428,mdr_rate_cleaned!$F$2:$F$10,"&gt;="&amp;C428)</f>
        <v>1</v>
      </c>
      <c r="G428">
        <v>3.0000000000000001E-3</v>
      </c>
      <c r="H428">
        <v>9</v>
      </c>
      <c r="I428" t="s">
        <v>15</v>
      </c>
      <c r="J428" t="s">
        <v>15</v>
      </c>
      <c r="K428">
        <v>1.62</v>
      </c>
      <c r="L428">
        <v>0</v>
      </c>
    </row>
    <row r="429" spans="1:12" x14ac:dyDescent="0.3">
      <c r="A429" t="s">
        <v>445</v>
      </c>
      <c r="B429" t="s">
        <v>17</v>
      </c>
      <c r="C429">
        <v>2499</v>
      </c>
      <c r="D429">
        <v>39.979999999999997</v>
      </c>
      <c r="E429">
        <v>7.2</v>
      </c>
      <c r="F429">
        <f>COUNTIFS(mdr_rate_cleaned!$A$2:$A$10,B429,mdr_rate_cleaned!$B$2:$B$10,"&lt;"&amp;C429,mdr_rate_cleaned!$F$2:$F$10,"&gt;="&amp;C429)</f>
        <v>1</v>
      </c>
      <c r="G429">
        <v>1.6E-2</v>
      </c>
      <c r="H429">
        <v>39.979999999999997</v>
      </c>
      <c r="I429" t="s">
        <v>15</v>
      </c>
      <c r="J429" t="s">
        <v>15</v>
      </c>
      <c r="K429">
        <v>7.2</v>
      </c>
      <c r="L429">
        <v>0</v>
      </c>
    </row>
    <row r="430" spans="1:12" x14ac:dyDescent="0.3">
      <c r="A430" t="s">
        <v>446</v>
      </c>
      <c r="B430" t="s">
        <v>17</v>
      </c>
      <c r="C430">
        <v>5498</v>
      </c>
      <c r="D430">
        <v>87.97</v>
      </c>
      <c r="E430">
        <v>15.83</v>
      </c>
      <c r="F430">
        <f>COUNTIFS(mdr_rate_cleaned!$A$2:$A$10,B430,mdr_rate_cleaned!$B$2:$B$10,"&lt;"&amp;C430,mdr_rate_cleaned!$F$2:$F$10,"&gt;="&amp;C430)</f>
        <v>1</v>
      </c>
      <c r="G430">
        <v>1.6E-2</v>
      </c>
      <c r="H430">
        <v>87.97</v>
      </c>
      <c r="I430" t="s">
        <v>15</v>
      </c>
      <c r="J430" t="s">
        <v>15</v>
      </c>
      <c r="K430">
        <v>15.83</v>
      </c>
      <c r="L430">
        <v>0</v>
      </c>
    </row>
    <row r="431" spans="1:12" x14ac:dyDescent="0.3">
      <c r="A431" t="s">
        <v>447</v>
      </c>
      <c r="B431" t="s">
        <v>21</v>
      </c>
      <c r="C431">
        <v>4997</v>
      </c>
      <c r="D431">
        <v>14.99</v>
      </c>
      <c r="E431">
        <v>2.7</v>
      </c>
      <c r="F431">
        <f>COUNTIFS(mdr_rate_cleaned!$A$2:$A$10,B431,mdr_rate_cleaned!$B$2:$B$10,"&lt;"&amp;C431,mdr_rate_cleaned!$F$2:$F$10,"&gt;="&amp;C431)</f>
        <v>1</v>
      </c>
      <c r="G431">
        <v>3.0000000000000001E-3</v>
      </c>
      <c r="H431">
        <v>14.99</v>
      </c>
      <c r="I431" t="s">
        <v>15</v>
      </c>
      <c r="J431" t="s">
        <v>15</v>
      </c>
      <c r="K431">
        <v>2.7</v>
      </c>
      <c r="L431">
        <v>0</v>
      </c>
    </row>
    <row r="432" spans="1:12" x14ac:dyDescent="0.3">
      <c r="A432" t="s">
        <v>448</v>
      </c>
      <c r="B432" t="s">
        <v>21</v>
      </c>
      <c r="C432">
        <v>2499</v>
      </c>
      <c r="D432">
        <v>7.5</v>
      </c>
      <c r="E432">
        <v>1.35</v>
      </c>
      <c r="F432">
        <f>COUNTIFS(mdr_rate_cleaned!$A$2:$A$10,B432,mdr_rate_cleaned!$B$2:$B$10,"&lt;"&amp;C432,mdr_rate_cleaned!$F$2:$F$10,"&gt;="&amp;C432)</f>
        <v>1</v>
      </c>
      <c r="G432">
        <v>3.0000000000000001E-3</v>
      </c>
      <c r="H432">
        <v>7.5</v>
      </c>
      <c r="I432" t="s">
        <v>15</v>
      </c>
      <c r="J432" t="s">
        <v>15</v>
      </c>
      <c r="K432">
        <v>1.35</v>
      </c>
      <c r="L432">
        <v>0</v>
      </c>
    </row>
    <row r="433" spans="1:12" x14ac:dyDescent="0.3">
      <c r="A433" t="s">
        <v>449</v>
      </c>
      <c r="B433" t="s">
        <v>17</v>
      </c>
      <c r="C433">
        <v>7998</v>
      </c>
      <c r="D433">
        <v>127.97</v>
      </c>
      <c r="E433">
        <v>23.03</v>
      </c>
      <c r="F433">
        <f>COUNTIFS(mdr_rate_cleaned!$A$2:$A$10,B433,mdr_rate_cleaned!$B$2:$B$10,"&lt;"&amp;C433,mdr_rate_cleaned!$F$2:$F$10,"&gt;="&amp;C433)</f>
        <v>1</v>
      </c>
      <c r="G433">
        <v>1.6E-2</v>
      </c>
      <c r="H433">
        <v>127.97</v>
      </c>
      <c r="I433" t="s">
        <v>15</v>
      </c>
      <c r="J433" t="s">
        <v>15</v>
      </c>
      <c r="K433">
        <v>23.03</v>
      </c>
      <c r="L433">
        <v>0</v>
      </c>
    </row>
    <row r="434" spans="1:12" x14ac:dyDescent="0.3">
      <c r="A434" t="s">
        <v>450</v>
      </c>
      <c r="B434" t="s">
        <v>13</v>
      </c>
      <c r="C434">
        <v>8847</v>
      </c>
      <c r="D434">
        <v>150.4</v>
      </c>
      <c r="E434">
        <v>27.07</v>
      </c>
      <c r="F434">
        <f>COUNTIFS(mdr_rate_cleaned!$A$2:$A$10,B434,mdr_rate_cleaned!$B$2:$B$10,"&lt;"&amp;C434,mdr_rate_cleaned!$F$2:$F$10,"&gt;="&amp;C434)</f>
        <v>1</v>
      </c>
      <c r="G434">
        <v>1.7000000000000001E-2</v>
      </c>
      <c r="H434">
        <v>150.4</v>
      </c>
      <c r="I434" t="s">
        <v>15</v>
      </c>
      <c r="J434" t="s">
        <v>15</v>
      </c>
      <c r="K434">
        <v>27.07</v>
      </c>
      <c r="L434">
        <v>0</v>
      </c>
    </row>
    <row r="435" spans="1:12" x14ac:dyDescent="0.3">
      <c r="A435" t="s">
        <v>451</v>
      </c>
      <c r="B435" t="s">
        <v>17</v>
      </c>
      <c r="C435">
        <v>349</v>
      </c>
      <c r="D435">
        <v>6.28</v>
      </c>
      <c r="E435">
        <v>1.1299999999999999</v>
      </c>
      <c r="F435">
        <f>COUNTIFS(mdr_rate_cleaned!$A$2:$A$10,B435,mdr_rate_cleaned!$B$2:$B$10,"&lt;"&amp;C435,mdr_rate_cleaned!$F$2:$F$10,"&gt;="&amp;C435)</f>
        <v>1</v>
      </c>
      <c r="G435">
        <v>1.7999999999999999E-2</v>
      </c>
      <c r="H435">
        <v>6.28</v>
      </c>
      <c r="I435" t="s">
        <v>15</v>
      </c>
      <c r="J435" t="s">
        <v>15</v>
      </c>
      <c r="K435">
        <v>1.1299999999999999</v>
      </c>
      <c r="L435">
        <v>0</v>
      </c>
    </row>
    <row r="436" spans="1:12" x14ac:dyDescent="0.3">
      <c r="A436" t="s">
        <v>452</v>
      </c>
      <c r="B436" t="s">
        <v>13</v>
      </c>
      <c r="C436">
        <v>16497</v>
      </c>
      <c r="D436">
        <v>280.45</v>
      </c>
      <c r="E436">
        <v>50.48</v>
      </c>
      <c r="F436">
        <f>COUNTIFS(mdr_rate_cleaned!$A$2:$A$10,B436,mdr_rate_cleaned!$B$2:$B$10,"&lt;"&amp;C436,mdr_rate_cleaned!$F$2:$F$10,"&gt;="&amp;C436)</f>
        <v>1</v>
      </c>
      <c r="G436">
        <v>1.7000000000000001E-2</v>
      </c>
      <c r="H436">
        <v>280.45</v>
      </c>
      <c r="I436" t="s">
        <v>15</v>
      </c>
      <c r="J436" t="s">
        <v>15</v>
      </c>
      <c r="K436">
        <v>50.48</v>
      </c>
      <c r="L436">
        <v>0</v>
      </c>
    </row>
    <row r="437" spans="1:12" x14ac:dyDescent="0.3">
      <c r="A437" t="s">
        <v>453</v>
      </c>
      <c r="B437" t="s">
        <v>21</v>
      </c>
      <c r="C437">
        <v>3647</v>
      </c>
      <c r="D437">
        <v>10.94</v>
      </c>
      <c r="E437">
        <v>1.97</v>
      </c>
      <c r="F437">
        <f>COUNTIFS(mdr_rate_cleaned!$A$2:$A$10,B437,mdr_rate_cleaned!$B$2:$B$10,"&lt;"&amp;C437,mdr_rate_cleaned!$F$2:$F$10,"&gt;="&amp;C437)</f>
        <v>1</v>
      </c>
      <c r="G437">
        <v>3.0000000000000001E-3</v>
      </c>
      <c r="H437">
        <v>10.94</v>
      </c>
      <c r="I437" t="s">
        <v>15</v>
      </c>
      <c r="J437" t="s">
        <v>15</v>
      </c>
      <c r="K437">
        <v>1.97</v>
      </c>
      <c r="L437">
        <v>0</v>
      </c>
    </row>
    <row r="438" spans="1:12" x14ac:dyDescent="0.3">
      <c r="A438" t="s">
        <v>454</v>
      </c>
      <c r="B438" t="s">
        <v>21</v>
      </c>
      <c r="C438">
        <v>599</v>
      </c>
      <c r="D438">
        <v>1.8</v>
      </c>
      <c r="E438">
        <v>0.32</v>
      </c>
      <c r="F438">
        <f>COUNTIFS(mdr_rate_cleaned!$A$2:$A$10,B438,mdr_rate_cleaned!$B$2:$B$10,"&lt;"&amp;C438,mdr_rate_cleaned!$F$2:$F$10,"&gt;="&amp;C438)</f>
        <v>1</v>
      </c>
      <c r="G438">
        <v>0</v>
      </c>
      <c r="H438">
        <v>0</v>
      </c>
      <c r="I438" t="s">
        <v>14</v>
      </c>
      <c r="J438" t="s">
        <v>15</v>
      </c>
      <c r="K438">
        <v>0</v>
      </c>
      <c r="L438">
        <v>2.12</v>
      </c>
    </row>
    <row r="439" spans="1:12" x14ac:dyDescent="0.3">
      <c r="A439" t="s">
        <v>455</v>
      </c>
      <c r="B439" t="s">
        <v>17</v>
      </c>
      <c r="C439">
        <v>2499</v>
      </c>
      <c r="D439">
        <v>39.979999999999997</v>
      </c>
      <c r="E439">
        <v>7.2</v>
      </c>
      <c r="F439">
        <f>COUNTIFS(mdr_rate_cleaned!$A$2:$A$10,B439,mdr_rate_cleaned!$B$2:$B$10,"&lt;"&amp;C439,mdr_rate_cleaned!$F$2:$F$10,"&gt;="&amp;C439)</f>
        <v>1</v>
      </c>
      <c r="G439">
        <v>1.6E-2</v>
      </c>
      <c r="H439">
        <v>39.979999999999997</v>
      </c>
      <c r="I439" t="s">
        <v>15</v>
      </c>
      <c r="J439" t="s">
        <v>15</v>
      </c>
      <c r="K439">
        <v>7.2</v>
      </c>
      <c r="L439">
        <v>0</v>
      </c>
    </row>
    <row r="440" spans="1:12" x14ac:dyDescent="0.3">
      <c r="A440" t="s">
        <v>456</v>
      </c>
      <c r="B440" t="s">
        <v>21</v>
      </c>
      <c r="C440">
        <v>7999</v>
      </c>
      <c r="D440">
        <v>24</v>
      </c>
      <c r="E440">
        <v>4.32</v>
      </c>
      <c r="F440">
        <f>COUNTIFS(mdr_rate_cleaned!$A$2:$A$10,B440,mdr_rate_cleaned!$B$2:$B$10,"&lt;"&amp;C440,mdr_rate_cleaned!$F$2:$F$10,"&gt;="&amp;C440)</f>
        <v>1</v>
      </c>
      <c r="G440">
        <v>3.0000000000000001E-3</v>
      </c>
      <c r="H440">
        <v>24</v>
      </c>
      <c r="I440" t="s">
        <v>15</v>
      </c>
      <c r="J440" t="s">
        <v>15</v>
      </c>
      <c r="K440">
        <v>4.32</v>
      </c>
      <c r="L440">
        <v>0</v>
      </c>
    </row>
    <row r="441" spans="1:12" x14ac:dyDescent="0.3">
      <c r="A441" t="s">
        <v>457</v>
      </c>
      <c r="B441" t="s">
        <v>39</v>
      </c>
      <c r="C441">
        <v>299</v>
      </c>
      <c r="D441">
        <v>4.49</v>
      </c>
      <c r="E441">
        <v>0.81</v>
      </c>
      <c r="F441">
        <f>COUNTIFS(mdr_rate_cleaned!$A$2:$A$10,B441,mdr_rate_cleaned!$B$2:$B$10,"&lt;"&amp;C441,mdr_rate_cleaned!$F$2:$F$10,"&gt;="&amp;C441)</f>
        <v>1</v>
      </c>
      <c r="G441">
        <v>1.4999999999999999E-2</v>
      </c>
      <c r="H441">
        <v>4.49</v>
      </c>
      <c r="I441" t="s">
        <v>15</v>
      </c>
      <c r="J441" t="s">
        <v>15</v>
      </c>
      <c r="K441">
        <v>0.81</v>
      </c>
      <c r="L441">
        <v>0</v>
      </c>
    </row>
    <row r="442" spans="1:12" x14ac:dyDescent="0.3">
      <c r="A442" t="s">
        <v>458</v>
      </c>
      <c r="B442" t="s">
        <v>13</v>
      </c>
      <c r="C442">
        <v>299</v>
      </c>
      <c r="D442">
        <v>5.68</v>
      </c>
      <c r="E442">
        <v>1.02</v>
      </c>
      <c r="F442">
        <f>COUNTIFS(mdr_rate_cleaned!$A$2:$A$10,B442,mdr_rate_cleaned!$B$2:$B$10,"&lt;"&amp;C442,mdr_rate_cleaned!$F$2:$F$10,"&gt;="&amp;C442)</f>
        <v>1</v>
      </c>
      <c r="G442">
        <v>1.9E-2</v>
      </c>
      <c r="H442">
        <v>5.68</v>
      </c>
      <c r="I442" t="s">
        <v>15</v>
      </c>
      <c r="J442" t="s">
        <v>15</v>
      </c>
      <c r="K442">
        <v>1.02</v>
      </c>
      <c r="L442">
        <v>0</v>
      </c>
    </row>
    <row r="443" spans="1:12" x14ac:dyDescent="0.3">
      <c r="A443" t="s">
        <v>459</v>
      </c>
      <c r="B443" t="s">
        <v>21</v>
      </c>
      <c r="C443">
        <v>4998</v>
      </c>
      <c r="D443">
        <v>14.99</v>
      </c>
      <c r="E443">
        <v>2.7</v>
      </c>
      <c r="F443">
        <f>COUNTIFS(mdr_rate_cleaned!$A$2:$A$10,B443,mdr_rate_cleaned!$B$2:$B$10,"&lt;"&amp;C443,mdr_rate_cleaned!$F$2:$F$10,"&gt;="&amp;C443)</f>
        <v>1</v>
      </c>
      <c r="G443">
        <v>3.0000000000000001E-3</v>
      </c>
      <c r="H443">
        <v>14.99</v>
      </c>
      <c r="I443" t="s">
        <v>15</v>
      </c>
      <c r="J443" t="s">
        <v>15</v>
      </c>
      <c r="K443">
        <v>2.7</v>
      </c>
      <c r="L443">
        <v>0</v>
      </c>
    </row>
    <row r="444" spans="1:12" x14ac:dyDescent="0.3">
      <c r="A444" t="s">
        <v>460</v>
      </c>
      <c r="B444" t="s">
        <v>21</v>
      </c>
      <c r="C444">
        <v>1098</v>
      </c>
      <c r="D444">
        <v>0</v>
      </c>
      <c r="E444">
        <v>0</v>
      </c>
      <c r="F444">
        <f>COUNTIFS(mdr_rate_cleaned!$A$2:$A$10,B444,mdr_rate_cleaned!$B$2:$B$10,"&lt;"&amp;C444,mdr_rate_cleaned!$F$2:$F$10,"&gt;="&amp;C444)</f>
        <v>1</v>
      </c>
      <c r="G444">
        <v>0</v>
      </c>
      <c r="H444">
        <v>0</v>
      </c>
      <c r="I444" t="s">
        <v>15</v>
      </c>
      <c r="J444" t="s">
        <v>15</v>
      </c>
      <c r="K444">
        <v>0</v>
      </c>
      <c r="L444">
        <v>0</v>
      </c>
    </row>
    <row r="445" spans="1:12" x14ac:dyDescent="0.3">
      <c r="A445" t="s">
        <v>461</v>
      </c>
      <c r="B445" t="s">
        <v>21</v>
      </c>
      <c r="C445">
        <v>12497</v>
      </c>
      <c r="D445">
        <v>37.49</v>
      </c>
      <c r="E445">
        <v>6.75</v>
      </c>
      <c r="F445">
        <f>COUNTIFS(mdr_rate_cleaned!$A$2:$A$10,B445,mdr_rate_cleaned!$B$2:$B$10,"&lt;"&amp;C445,mdr_rate_cleaned!$F$2:$F$10,"&gt;="&amp;C445)</f>
        <v>1</v>
      </c>
      <c r="G445">
        <v>3.0000000000000001E-3</v>
      </c>
      <c r="H445">
        <v>37.49</v>
      </c>
      <c r="I445" t="s">
        <v>15</v>
      </c>
      <c r="J445" t="s">
        <v>15</v>
      </c>
      <c r="K445">
        <v>6.75</v>
      </c>
      <c r="L445">
        <v>0</v>
      </c>
    </row>
    <row r="446" spans="1:12" x14ac:dyDescent="0.3">
      <c r="A446" t="s">
        <v>462</v>
      </c>
      <c r="B446" t="s">
        <v>21</v>
      </c>
      <c r="C446">
        <v>299</v>
      </c>
      <c r="D446">
        <v>0.9</v>
      </c>
      <c r="E446">
        <v>0.16</v>
      </c>
      <c r="F446">
        <f>COUNTIFS(mdr_rate_cleaned!$A$2:$A$10,B446,mdr_rate_cleaned!$B$2:$B$10,"&lt;"&amp;C446,mdr_rate_cleaned!$F$2:$F$10,"&gt;="&amp;C446)</f>
        <v>1</v>
      </c>
      <c r="G446">
        <v>0</v>
      </c>
      <c r="H446">
        <v>0</v>
      </c>
      <c r="I446" t="s">
        <v>14</v>
      </c>
      <c r="J446" t="s">
        <v>15</v>
      </c>
      <c r="K446">
        <v>0</v>
      </c>
      <c r="L446">
        <v>1.06</v>
      </c>
    </row>
    <row r="447" spans="1:12" x14ac:dyDescent="0.3">
      <c r="A447" t="s">
        <v>463</v>
      </c>
      <c r="B447" t="s">
        <v>21</v>
      </c>
      <c r="C447">
        <v>1098</v>
      </c>
      <c r="D447">
        <v>0</v>
      </c>
      <c r="E447">
        <v>0</v>
      </c>
      <c r="F447">
        <f>COUNTIFS(mdr_rate_cleaned!$A$2:$A$10,B447,mdr_rate_cleaned!$B$2:$B$10,"&lt;"&amp;C447,mdr_rate_cleaned!$F$2:$F$10,"&gt;="&amp;C447)</f>
        <v>1</v>
      </c>
      <c r="G447">
        <v>0</v>
      </c>
      <c r="H447">
        <v>0</v>
      </c>
      <c r="I447" t="s">
        <v>15</v>
      </c>
      <c r="J447" t="s">
        <v>15</v>
      </c>
      <c r="K447">
        <v>0</v>
      </c>
      <c r="L447">
        <v>0</v>
      </c>
    </row>
    <row r="448" spans="1:12" x14ac:dyDescent="0.3">
      <c r="A448" t="s">
        <v>464</v>
      </c>
      <c r="B448" t="s">
        <v>39</v>
      </c>
      <c r="C448">
        <v>5097</v>
      </c>
      <c r="D448">
        <v>61.16</v>
      </c>
      <c r="E448">
        <v>11.01</v>
      </c>
      <c r="F448">
        <f>COUNTIFS(mdr_rate_cleaned!$A$2:$A$10,B448,mdr_rate_cleaned!$B$2:$B$10,"&lt;"&amp;C448,mdr_rate_cleaned!$F$2:$F$10,"&gt;="&amp;C448)</f>
        <v>1</v>
      </c>
      <c r="G448">
        <v>1.2E-2</v>
      </c>
      <c r="H448">
        <v>61.16</v>
      </c>
      <c r="I448" t="s">
        <v>15</v>
      </c>
      <c r="J448" t="s">
        <v>15</v>
      </c>
      <c r="K448">
        <v>11.01</v>
      </c>
      <c r="L448">
        <v>0</v>
      </c>
    </row>
    <row r="449" spans="1:12" x14ac:dyDescent="0.3">
      <c r="A449" t="s">
        <v>465</v>
      </c>
      <c r="B449" t="s">
        <v>21</v>
      </c>
      <c r="C449">
        <v>3499</v>
      </c>
      <c r="D449">
        <v>10.5</v>
      </c>
      <c r="E449">
        <v>1.89</v>
      </c>
      <c r="F449">
        <f>COUNTIFS(mdr_rate_cleaned!$A$2:$A$10,B449,mdr_rate_cleaned!$B$2:$B$10,"&lt;"&amp;C449,mdr_rate_cleaned!$F$2:$F$10,"&gt;="&amp;C449)</f>
        <v>1</v>
      </c>
      <c r="G449">
        <v>3.0000000000000001E-3</v>
      </c>
      <c r="H449">
        <v>10.5</v>
      </c>
      <c r="I449" t="s">
        <v>15</v>
      </c>
      <c r="J449" t="s">
        <v>15</v>
      </c>
      <c r="K449">
        <v>1.89</v>
      </c>
      <c r="L449">
        <v>0</v>
      </c>
    </row>
    <row r="450" spans="1:12" x14ac:dyDescent="0.3">
      <c r="A450" t="s">
        <v>466</v>
      </c>
      <c r="B450" t="s">
        <v>17</v>
      </c>
      <c r="C450">
        <v>3298</v>
      </c>
      <c r="D450">
        <v>52.77</v>
      </c>
      <c r="E450">
        <v>9.5</v>
      </c>
      <c r="F450">
        <f>COUNTIFS(mdr_rate_cleaned!$A$2:$A$10,B450,mdr_rate_cleaned!$B$2:$B$10,"&lt;"&amp;C450,mdr_rate_cleaned!$F$2:$F$10,"&gt;="&amp;C450)</f>
        <v>1</v>
      </c>
      <c r="G450">
        <v>1.6E-2</v>
      </c>
      <c r="H450">
        <v>52.77</v>
      </c>
      <c r="I450" t="s">
        <v>15</v>
      </c>
      <c r="J450" t="s">
        <v>15</v>
      </c>
      <c r="K450">
        <v>9.5</v>
      </c>
      <c r="L450">
        <v>0</v>
      </c>
    </row>
    <row r="451" spans="1:12" x14ac:dyDescent="0.3">
      <c r="A451" t="s">
        <v>467</v>
      </c>
      <c r="B451" t="s">
        <v>17</v>
      </c>
      <c r="C451">
        <v>3499</v>
      </c>
      <c r="D451">
        <v>55.98</v>
      </c>
      <c r="E451">
        <v>10.08</v>
      </c>
      <c r="F451">
        <f>COUNTIFS(mdr_rate_cleaned!$A$2:$A$10,B451,mdr_rate_cleaned!$B$2:$B$10,"&lt;"&amp;C451,mdr_rate_cleaned!$F$2:$F$10,"&gt;="&amp;C451)</f>
        <v>1</v>
      </c>
      <c r="G451">
        <v>1.6E-2</v>
      </c>
      <c r="H451">
        <v>55.98</v>
      </c>
      <c r="I451" t="s">
        <v>15</v>
      </c>
      <c r="J451" t="s">
        <v>15</v>
      </c>
      <c r="K451">
        <v>10.08</v>
      </c>
      <c r="L451">
        <v>0</v>
      </c>
    </row>
    <row r="452" spans="1:12" x14ac:dyDescent="0.3">
      <c r="A452" t="s">
        <v>468</v>
      </c>
      <c r="B452" t="s">
        <v>17</v>
      </c>
      <c r="C452">
        <v>848</v>
      </c>
      <c r="D452">
        <v>15.26</v>
      </c>
      <c r="E452">
        <v>2.75</v>
      </c>
      <c r="F452">
        <f>COUNTIFS(mdr_rate_cleaned!$A$2:$A$10,B452,mdr_rate_cleaned!$B$2:$B$10,"&lt;"&amp;C452,mdr_rate_cleaned!$F$2:$F$10,"&gt;="&amp;C452)</f>
        <v>1</v>
      </c>
      <c r="G452">
        <v>1.7999999999999999E-2</v>
      </c>
      <c r="H452">
        <v>15.26</v>
      </c>
      <c r="I452" t="s">
        <v>15</v>
      </c>
      <c r="J452" t="s">
        <v>15</v>
      </c>
      <c r="K452">
        <v>2.75</v>
      </c>
      <c r="L452">
        <v>0</v>
      </c>
    </row>
    <row r="453" spans="1:12" x14ac:dyDescent="0.3">
      <c r="A453" t="s">
        <v>469</v>
      </c>
      <c r="B453" t="s">
        <v>21</v>
      </c>
      <c r="C453">
        <v>5298</v>
      </c>
      <c r="D453">
        <v>15.89</v>
      </c>
      <c r="E453">
        <v>2.86</v>
      </c>
      <c r="F453">
        <f>COUNTIFS(mdr_rate_cleaned!$A$2:$A$10,B453,mdr_rate_cleaned!$B$2:$B$10,"&lt;"&amp;C453,mdr_rate_cleaned!$F$2:$F$10,"&gt;="&amp;C453)</f>
        <v>1</v>
      </c>
      <c r="G453">
        <v>3.0000000000000001E-3</v>
      </c>
      <c r="H453">
        <v>15.89</v>
      </c>
      <c r="I453" t="s">
        <v>15</v>
      </c>
      <c r="J453" t="s">
        <v>15</v>
      </c>
      <c r="K453">
        <v>2.86</v>
      </c>
      <c r="L453">
        <v>0</v>
      </c>
    </row>
    <row r="454" spans="1:12" x14ac:dyDescent="0.3">
      <c r="A454" t="s">
        <v>470</v>
      </c>
      <c r="B454" t="s">
        <v>17</v>
      </c>
      <c r="C454">
        <v>3098</v>
      </c>
      <c r="D454">
        <v>49.57</v>
      </c>
      <c r="E454">
        <v>8.92</v>
      </c>
      <c r="F454">
        <f>COUNTIFS(mdr_rate_cleaned!$A$2:$A$10,B454,mdr_rate_cleaned!$B$2:$B$10,"&lt;"&amp;C454,mdr_rate_cleaned!$F$2:$F$10,"&gt;="&amp;C454)</f>
        <v>1</v>
      </c>
      <c r="G454">
        <v>1.6E-2</v>
      </c>
      <c r="H454">
        <v>49.57</v>
      </c>
      <c r="I454" t="s">
        <v>15</v>
      </c>
      <c r="J454" t="s">
        <v>15</v>
      </c>
      <c r="K454">
        <v>8.92</v>
      </c>
      <c r="L454">
        <v>0</v>
      </c>
    </row>
    <row r="455" spans="1:12" x14ac:dyDescent="0.3">
      <c r="A455" t="s">
        <v>471</v>
      </c>
      <c r="B455" t="s">
        <v>17</v>
      </c>
      <c r="C455">
        <v>11297</v>
      </c>
      <c r="D455">
        <v>180.75</v>
      </c>
      <c r="E455">
        <v>32.54</v>
      </c>
      <c r="F455">
        <f>COUNTIFS(mdr_rate_cleaned!$A$2:$A$10,B455,mdr_rate_cleaned!$B$2:$B$10,"&lt;"&amp;C455,mdr_rate_cleaned!$F$2:$F$10,"&gt;="&amp;C455)</f>
        <v>1</v>
      </c>
      <c r="G455">
        <v>1.6E-2</v>
      </c>
      <c r="H455">
        <v>180.75</v>
      </c>
      <c r="I455" t="s">
        <v>15</v>
      </c>
      <c r="J455" t="s">
        <v>15</v>
      </c>
      <c r="K455">
        <v>32.54</v>
      </c>
      <c r="L455">
        <v>0</v>
      </c>
    </row>
    <row r="456" spans="1:12" x14ac:dyDescent="0.3">
      <c r="A456" t="s">
        <v>472</v>
      </c>
      <c r="B456" t="s">
        <v>21</v>
      </c>
      <c r="C456">
        <v>1798</v>
      </c>
      <c r="D456">
        <v>0</v>
      </c>
      <c r="E456">
        <v>0</v>
      </c>
      <c r="F456">
        <f>COUNTIFS(mdr_rate_cleaned!$A$2:$A$10,B456,mdr_rate_cleaned!$B$2:$B$10,"&lt;"&amp;C456,mdr_rate_cleaned!$F$2:$F$10,"&gt;="&amp;C456)</f>
        <v>1</v>
      </c>
      <c r="G456">
        <v>0</v>
      </c>
      <c r="H456">
        <v>0</v>
      </c>
      <c r="I456" t="s">
        <v>15</v>
      </c>
      <c r="J456" t="s">
        <v>15</v>
      </c>
      <c r="K456">
        <v>0</v>
      </c>
      <c r="L456">
        <v>0</v>
      </c>
    </row>
    <row r="457" spans="1:12" x14ac:dyDescent="0.3">
      <c r="A457" t="s">
        <v>473</v>
      </c>
      <c r="B457" t="s">
        <v>21</v>
      </c>
      <c r="C457">
        <v>7797</v>
      </c>
      <c r="D457">
        <v>23.39</v>
      </c>
      <c r="E457">
        <v>4.21</v>
      </c>
      <c r="F457">
        <f>COUNTIFS(mdr_rate_cleaned!$A$2:$A$10,B457,mdr_rate_cleaned!$B$2:$B$10,"&lt;"&amp;C457,mdr_rate_cleaned!$F$2:$F$10,"&gt;="&amp;C457)</f>
        <v>1</v>
      </c>
      <c r="G457">
        <v>3.0000000000000001E-3</v>
      </c>
      <c r="H457">
        <v>23.39</v>
      </c>
      <c r="I457" t="s">
        <v>15</v>
      </c>
      <c r="J457" t="s">
        <v>15</v>
      </c>
      <c r="K457">
        <v>4.21</v>
      </c>
      <c r="L457">
        <v>0</v>
      </c>
    </row>
    <row r="458" spans="1:12" x14ac:dyDescent="0.3">
      <c r="A458" t="s">
        <v>474</v>
      </c>
      <c r="B458" t="s">
        <v>21</v>
      </c>
      <c r="C458">
        <v>8798</v>
      </c>
      <c r="D458">
        <v>26.39</v>
      </c>
      <c r="E458">
        <v>4.75</v>
      </c>
      <c r="F458">
        <f>COUNTIFS(mdr_rate_cleaned!$A$2:$A$10,B458,mdr_rate_cleaned!$B$2:$B$10,"&lt;"&amp;C458,mdr_rate_cleaned!$F$2:$F$10,"&gt;="&amp;C458)</f>
        <v>1</v>
      </c>
      <c r="G458">
        <v>3.0000000000000001E-3</v>
      </c>
      <c r="H458">
        <v>26.39</v>
      </c>
      <c r="I458" t="s">
        <v>15</v>
      </c>
      <c r="J458" t="s">
        <v>15</v>
      </c>
      <c r="K458">
        <v>4.75</v>
      </c>
      <c r="L458">
        <v>0</v>
      </c>
    </row>
    <row r="459" spans="1:12" x14ac:dyDescent="0.3">
      <c r="A459" t="s">
        <v>475</v>
      </c>
      <c r="B459" t="s">
        <v>17</v>
      </c>
      <c r="C459">
        <v>999</v>
      </c>
      <c r="D459">
        <v>17.98</v>
      </c>
      <c r="E459">
        <v>3.24</v>
      </c>
      <c r="F459">
        <f>COUNTIFS(mdr_rate_cleaned!$A$2:$A$10,B459,mdr_rate_cleaned!$B$2:$B$10,"&lt;"&amp;C459,mdr_rate_cleaned!$F$2:$F$10,"&gt;="&amp;C459)</f>
        <v>1</v>
      </c>
      <c r="G459">
        <v>1.7999999999999999E-2</v>
      </c>
      <c r="H459">
        <v>17.98</v>
      </c>
      <c r="I459" t="s">
        <v>15</v>
      </c>
      <c r="J459" t="s">
        <v>15</v>
      </c>
      <c r="K459">
        <v>3.24</v>
      </c>
      <c r="L459">
        <v>0</v>
      </c>
    </row>
    <row r="460" spans="1:12" x14ac:dyDescent="0.3">
      <c r="A460" t="s">
        <v>476</v>
      </c>
      <c r="B460" t="s">
        <v>21</v>
      </c>
      <c r="C460">
        <v>7999</v>
      </c>
      <c r="D460">
        <v>24</v>
      </c>
      <c r="E460">
        <v>4.32</v>
      </c>
      <c r="F460">
        <f>COUNTIFS(mdr_rate_cleaned!$A$2:$A$10,B460,mdr_rate_cleaned!$B$2:$B$10,"&lt;"&amp;C460,mdr_rate_cleaned!$F$2:$F$10,"&gt;="&amp;C460)</f>
        <v>1</v>
      </c>
      <c r="G460">
        <v>3.0000000000000001E-3</v>
      </c>
      <c r="H460">
        <v>24</v>
      </c>
      <c r="I460" t="s">
        <v>15</v>
      </c>
      <c r="J460" t="s">
        <v>15</v>
      </c>
      <c r="K460">
        <v>4.32</v>
      </c>
      <c r="L460">
        <v>0</v>
      </c>
    </row>
    <row r="461" spans="1:12" x14ac:dyDescent="0.3">
      <c r="A461" t="s">
        <v>477</v>
      </c>
      <c r="B461" t="s">
        <v>17</v>
      </c>
      <c r="C461">
        <v>1848</v>
      </c>
      <c r="D461">
        <v>33.26</v>
      </c>
      <c r="E461">
        <v>5.99</v>
      </c>
      <c r="F461">
        <f>COUNTIFS(mdr_rate_cleaned!$A$2:$A$10,B461,mdr_rate_cleaned!$B$2:$B$10,"&lt;"&amp;C461,mdr_rate_cleaned!$F$2:$F$10,"&gt;="&amp;C461)</f>
        <v>1</v>
      </c>
      <c r="G461">
        <v>1.7999999999999999E-2</v>
      </c>
      <c r="H461">
        <v>33.26</v>
      </c>
      <c r="I461" t="s">
        <v>15</v>
      </c>
      <c r="J461" t="s">
        <v>15</v>
      </c>
      <c r="K461">
        <v>5.99</v>
      </c>
      <c r="L461">
        <v>0</v>
      </c>
    </row>
    <row r="462" spans="1:12" x14ac:dyDescent="0.3">
      <c r="A462" t="s">
        <v>478</v>
      </c>
      <c r="B462" t="s">
        <v>21</v>
      </c>
      <c r="C462">
        <v>1799</v>
      </c>
      <c r="D462">
        <v>0</v>
      </c>
      <c r="E462">
        <v>0</v>
      </c>
      <c r="F462">
        <f>COUNTIFS(mdr_rate_cleaned!$A$2:$A$10,B462,mdr_rate_cleaned!$B$2:$B$10,"&lt;"&amp;C462,mdr_rate_cleaned!$F$2:$F$10,"&gt;="&amp;C462)</f>
        <v>1</v>
      </c>
      <c r="G462">
        <v>0</v>
      </c>
      <c r="H462">
        <v>0</v>
      </c>
      <c r="I462" t="s">
        <v>15</v>
      </c>
      <c r="J462" t="s">
        <v>15</v>
      </c>
      <c r="K462">
        <v>0</v>
      </c>
      <c r="L462">
        <v>0</v>
      </c>
    </row>
    <row r="463" spans="1:12" x14ac:dyDescent="0.3">
      <c r="A463" t="s">
        <v>479</v>
      </c>
      <c r="B463" t="s">
        <v>21</v>
      </c>
      <c r="C463">
        <v>7999</v>
      </c>
      <c r="D463">
        <v>24</v>
      </c>
      <c r="E463">
        <v>4.32</v>
      </c>
      <c r="F463">
        <f>COUNTIFS(mdr_rate_cleaned!$A$2:$A$10,B463,mdr_rate_cleaned!$B$2:$B$10,"&lt;"&amp;C463,mdr_rate_cleaned!$F$2:$F$10,"&gt;="&amp;C463)</f>
        <v>1</v>
      </c>
      <c r="G463">
        <v>3.0000000000000001E-3</v>
      </c>
      <c r="H463">
        <v>24</v>
      </c>
      <c r="I463" t="s">
        <v>15</v>
      </c>
      <c r="J463" t="s">
        <v>15</v>
      </c>
      <c r="K463">
        <v>4.32</v>
      </c>
      <c r="L463">
        <v>0</v>
      </c>
    </row>
    <row r="464" spans="1:12" x14ac:dyDescent="0.3">
      <c r="A464" t="s">
        <v>480</v>
      </c>
      <c r="B464" t="s">
        <v>21</v>
      </c>
      <c r="C464">
        <v>1499</v>
      </c>
      <c r="D464">
        <v>0</v>
      </c>
      <c r="E464">
        <v>0</v>
      </c>
      <c r="F464">
        <f>COUNTIFS(mdr_rate_cleaned!$A$2:$A$10,B464,mdr_rate_cleaned!$B$2:$B$10,"&lt;"&amp;C464,mdr_rate_cleaned!$F$2:$F$10,"&gt;="&amp;C464)</f>
        <v>1</v>
      </c>
      <c r="G464">
        <v>0</v>
      </c>
      <c r="H464">
        <v>0</v>
      </c>
      <c r="I464" t="s">
        <v>15</v>
      </c>
      <c r="J464" t="s">
        <v>15</v>
      </c>
      <c r="K464">
        <v>0</v>
      </c>
      <c r="L464">
        <v>0</v>
      </c>
    </row>
    <row r="465" spans="1:12" x14ac:dyDescent="0.3">
      <c r="A465" t="s">
        <v>481</v>
      </c>
      <c r="B465" t="s">
        <v>21</v>
      </c>
      <c r="C465">
        <v>999</v>
      </c>
      <c r="D465">
        <v>0</v>
      </c>
      <c r="E465">
        <v>0</v>
      </c>
      <c r="F465">
        <f>COUNTIFS(mdr_rate_cleaned!$A$2:$A$10,B465,mdr_rate_cleaned!$B$2:$B$10,"&lt;"&amp;C465,mdr_rate_cleaned!$F$2:$F$10,"&gt;="&amp;C465)</f>
        <v>1</v>
      </c>
      <c r="G465">
        <v>0</v>
      </c>
      <c r="H465">
        <v>0</v>
      </c>
      <c r="I465" t="s">
        <v>15</v>
      </c>
      <c r="J465" t="s">
        <v>15</v>
      </c>
      <c r="K465">
        <v>0</v>
      </c>
      <c r="L465">
        <v>0</v>
      </c>
    </row>
    <row r="466" spans="1:12" x14ac:dyDescent="0.3">
      <c r="A466" t="s">
        <v>482</v>
      </c>
      <c r="B466" t="s">
        <v>17</v>
      </c>
      <c r="C466">
        <v>299</v>
      </c>
      <c r="D466">
        <v>5.38</v>
      </c>
      <c r="E466">
        <v>0.97</v>
      </c>
      <c r="F466">
        <f>COUNTIFS(mdr_rate_cleaned!$A$2:$A$10,B466,mdr_rate_cleaned!$B$2:$B$10,"&lt;"&amp;C466,mdr_rate_cleaned!$F$2:$F$10,"&gt;="&amp;C466)</f>
        <v>1</v>
      </c>
      <c r="G466">
        <v>1.7999999999999999E-2</v>
      </c>
      <c r="H466">
        <v>5.38</v>
      </c>
      <c r="I466" t="s">
        <v>15</v>
      </c>
      <c r="J466" t="s">
        <v>15</v>
      </c>
      <c r="K466">
        <v>0.97</v>
      </c>
      <c r="L466">
        <v>0</v>
      </c>
    </row>
    <row r="467" spans="1:12" x14ac:dyDescent="0.3">
      <c r="A467" t="s">
        <v>483</v>
      </c>
      <c r="B467" t="s">
        <v>17</v>
      </c>
      <c r="C467">
        <v>7999</v>
      </c>
      <c r="D467">
        <v>127.98</v>
      </c>
      <c r="E467">
        <v>23.04</v>
      </c>
      <c r="F467">
        <f>COUNTIFS(mdr_rate_cleaned!$A$2:$A$10,B467,mdr_rate_cleaned!$B$2:$B$10,"&lt;"&amp;C467,mdr_rate_cleaned!$F$2:$F$10,"&gt;="&amp;C467)</f>
        <v>1</v>
      </c>
      <c r="G467">
        <v>1.6E-2</v>
      </c>
      <c r="H467">
        <v>127.98</v>
      </c>
      <c r="I467" t="s">
        <v>15</v>
      </c>
      <c r="J467" t="s">
        <v>15</v>
      </c>
      <c r="K467">
        <v>23.04</v>
      </c>
      <c r="L467">
        <v>0</v>
      </c>
    </row>
    <row r="468" spans="1:12" x14ac:dyDescent="0.3">
      <c r="A468" t="s">
        <v>484</v>
      </c>
      <c r="B468" t="s">
        <v>17</v>
      </c>
      <c r="C468">
        <v>8998</v>
      </c>
      <c r="D468">
        <v>143.97</v>
      </c>
      <c r="E468">
        <v>25.91</v>
      </c>
      <c r="F468">
        <f>COUNTIFS(mdr_rate_cleaned!$A$2:$A$10,B468,mdr_rate_cleaned!$B$2:$B$10,"&lt;"&amp;C468,mdr_rate_cleaned!$F$2:$F$10,"&gt;="&amp;C468)</f>
        <v>1</v>
      </c>
      <c r="G468">
        <v>1.6E-2</v>
      </c>
      <c r="H468">
        <v>143.97</v>
      </c>
      <c r="I468" t="s">
        <v>15</v>
      </c>
      <c r="J468" t="s">
        <v>15</v>
      </c>
      <c r="K468">
        <v>25.91</v>
      </c>
      <c r="L468">
        <v>0</v>
      </c>
    </row>
    <row r="469" spans="1:12" x14ac:dyDescent="0.3">
      <c r="A469" t="s">
        <v>485</v>
      </c>
      <c r="B469" t="s">
        <v>21</v>
      </c>
      <c r="C469">
        <v>4597</v>
      </c>
      <c r="D469">
        <v>13.79</v>
      </c>
      <c r="E469">
        <v>2.48</v>
      </c>
      <c r="F469">
        <f>COUNTIFS(mdr_rate_cleaned!$A$2:$A$10,B469,mdr_rate_cleaned!$B$2:$B$10,"&lt;"&amp;C469,mdr_rate_cleaned!$F$2:$F$10,"&gt;="&amp;C469)</f>
        <v>1</v>
      </c>
      <c r="G469">
        <v>3.0000000000000001E-3</v>
      </c>
      <c r="H469">
        <v>13.79</v>
      </c>
      <c r="I469" t="s">
        <v>15</v>
      </c>
      <c r="J469" t="s">
        <v>15</v>
      </c>
      <c r="K469">
        <v>2.48</v>
      </c>
      <c r="L469">
        <v>0</v>
      </c>
    </row>
    <row r="470" spans="1:12" x14ac:dyDescent="0.3">
      <c r="A470" t="s">
        <v>486</v>
      </c>
      <c r="B470" t="s">
        <v>39</v>
      </c>
      <c r="C470">
        <v>3598</v>
      </c>
      <c r="D470">
        <v>43.18</v>
      </c>
      <c r="E470">
        <v>7.77</v>
      </c>
      <c r="F470">
        <f>COUNTIFS(mdr_rate_cleaned!$A$2:$A$10,B470,mdr_rate_cleaned!$B$2:$B$10,"&lt;"&amp;C470,mdr_rate_cleaned!$F$2:$F$10,"&gt;="&amp;C470)</f>
        <v>1</v>
      </c>
      <c r="G470">
        <v>1.2E-2</v>
      </c>
      <c r="H470">
        <v>43.18</v>
      </c>
      <c r="I470" t="s">
        <v>15</v>
      </c>
      <c r="J470" t="s">
        <v>15</v>
      </c>
      <c r="K470">
        <v>7.77</v>
      </c>
      <c r="L470">
        <v>0</v>
      </c>
    </row>
    <row r="471" spans="1:12" x14ac:dyDescent="0.3">
      <c r="A471" t="s">
        <v>487</v>
      </c>
      <c r="B471" t="s">
        <v>21</v>
      </c>
      <c r="C471">
        <v>2499</v>
      </c>
      <c r="D471">
        <v>7.5</v>
      </c>
      <c r="E471">
        <v>1.35</v>
      </c>
      <c r="F471">
        <f>COUNTIFS(mdr_rate_cleaned!$A$2:$A$10,B471,mdr_rate_cleaned!$B$2:$B$10,"&lt;"&amp;C471,mdr_rate_cleaned!$F$2:$F$10,"&gt;="&amp;C471)</f>
        <v>1</v>
      </c>
      <c r="G471">
        <v>3.0000000000000001E-3</v>
      </c>
      <c r="H471">
        <v>7.5</v>
      </c>
      <c r="I471" t="s">
        <v>15</v>
      </c>
      <c r="J471" t="s">
        <v>15</v>
      </c>
      <c r="K471">
        <v>1.35</v>
      </c>
      <c r="L471">
        <v>0</v>
      </c>
    </row>
    <row r="472" spans="1:12" x14ac:dyDescent="0.3">
      <c r="A472" t="s">
        <v>488</v>
      </c>
      <c r="B472" t="s">
        <v>21</v>
      </c>
      <c r="C472">
        <v>4999</v>
      </c>
      <c r="D472">
        <v>15</v>
      </c>
      <c r="E472">
        <v>2.7</v>
      </c>
      <c r="F472">
        <f>COUNTIFS(mdr_rate_cleaned!$A$2:$A$10,B472,mdr_rate_cleaned!$B$2:$B$10,"&lt;"&amp;C472,mdr_rate_cleaned!$F$2:$F$10,"&gt;="&amp;C472)</f>
        <v>1</v>
      </c>
      <c r="G472">
        <v>3.0000000000000001E-3</v>
      </c>
      <c r="H472">
        <v>15</v>
      </c>
      <c r="I472" t="s">
        <v>15</v>
      </c>
      <c r="J472" t="s">
        <v>15</v>
      </c>
      <c r="K472">
        <v>2.7</v>
      </c>
      <c r="L472">
        <v>0</v>
      </c>
    </row>
    <row r="473" spans="1:12" x14ac:dyDescent="0.3">
      <c r="A473" t="s">
        <v>489</v>
      </c>
      <c r="B473" t="s">
        <v>17</v>
      </c>
      <c r="C473">
        <v>999</v>
      </c>
      <c r="D473">
        <v>17.98</v>
      </c>
      <c r="E473">
        <v>3.24</v>
      </c>
      <c r="F473">
        <f>COUNTIFS(mdr_rate_cleaned!$A$2:$A$10,B473,mdr_rate_cleaned!$B$2:$B$10,"&lt;"&amp;C473,mdr_rate_cleaned!$F$2:$F$10,"&gt;="&amp;C473)</f>
        <v>1</v>
      </c>
      <c r="G473">
        <v>1.7999999999999999E-2</v>
      </c>
      <c r="H473">
        <v>17.98</v>
      </c>
      <c r="I473" t="s">
        <v>15</v>
      </c>
      <c r="J473" t="s">
        <v>15</v>
      </c>
      <c r="K473">
        <v>3.24</v>
      </c>
      <c r="L473">
        <v>0</v>
      </c>
    </row>
    <row r="474" spans="1:12" x14ac:dyDescent="0.3">
      <c r="A474" t="s">
        <v>490</v>
      </c>
      <c r="B474" t="s">
        <v>17</v>
      </c>
      <c r="C474">
        <v>2798</v>
      </c>
      <c r="D474">
        <v>44.77</v>
      </c>
      <c r="E474">
        <v>8.06</v>
      </c>
      <c r="F474">
        <f>COUNTIFS(mdr_rate_cleaned!$A$2:$A$10,B474,mdr_rate_cleaned!$B$2:$B$10,"&lt;"&amp;C474,mdr_rate_cleaned!$F$2:$F$10,"&gt;="&amp;C474)</f>
        <v>1</v>
      </c>
      <c r="G474">
        <v>1.6E-2</v>
      </c>
      <c r="H474">
        <v>44.77</v>
      </c>
      <c r="I474" t="s">
        <v>15</v>
      </c>
      <c r="J474" t="s">
        <v>15</v>
      </c>
      <c r="K474">
        <v>8.06</v>
      </c>
      <c r="L474">
        <v>0</v>
      </c>
    </row>
    <row r="475" spans="1:12" x14ac:dyDescent="0.3">
      <c r="A475" t="s">
        <v>491</v>
      </c>
      <c r="B475" t="s">
        <v>21</v>
      </c>
      <c r="C475">
        <v>3499</v>
      </c>
      <c r="D475">
        <v>10.5</v>
      </c>
      <c r="E475">
        <v>1.89</v>
      </c>
      <c r="F475">
        <f>COUNTIFS(mdr_rate_cleaned!$A$2:$A$10,B475,mdr_rate_cleaned!$B$2:$B$10,"&lt;"&amp;C475,mdr_rate_cleaned!$F$2:$F$10,"&gt;="&amp;C475)</f>
        <v>1</v>
      </c>
      <c r="G475">
        <v>3.0000000000000001E-3</v>
      </c>
      <c r="H475">
        <v>10.5</v>
      </c>
      <c r="I475" t="s">
        <v>15</v>
      </c>
      <c r="J475" t="s">
        <v>15</v>
      </c>
      <c r="K475">
        <v>1.89</v>
      </c>
      <c r="L475">
        <v>0</v>
      </c>
    </row>
    <row r="476" spans="1:12" x14ac:dyDescent="0.3">
      <c r="A476" t="s">
        <v>492</v>
      </c>
      <c r="B476" t="s">
        <v>21</v>
      </c>
      <c r="C476">
        <v>1498</v>
      </c>
      <c r="D476">
        <v>0</v>
      </c>
      <c r="E476">
        <v>0</v>
      </c>
      <c r="F476">
        <f>COUNTIFS(mdr_rate_cleaned!$A$2:$A$10,B476,mdr_rate_cleaned!$B$2:$B$10,"&lt;"&amp;C476,mdr_rate_cleaned!$F$2:$F$10,"&gt;="&amp;C476)</f>
        <v>1</v>
      </c>
      <c r="G476">
        <v>0</v>
      </c>
      <c r="H476">
        <v>0</v>
      </c>
      <c r="I476" t="s">
        <v>15</v>
      </c>
      <c r="J476" t="s">
        <v>15</v>
      </c>
      <c r="K476">
        <v>0</v>
      </c>
      <c r="L476">
        <v>0</v>
      </c>
    </row>
    <row r="477" spans="1:12" x14ac:dyDescent="0.3">
      <c r="A477" t="s">
        <v>493</v>
      </c>
      <c r="B477" t="s">
        <v>13</v>
      </c>
      <c r="C477">
        <v>4147</v>
      </c>
      <c r="D477">
        <v>70.5</v>
      </c>
      <c r="E477">
        <v>12.69</v>
      </c>
      <c r="F477">
        <f>COUNTIFS(mdr_rate_cleaned!$A$2:$A$10,B477,mdr_rate_cleaned!$B$2:$B$10,"&lt;"&amp;C477,mdr_rate_cleaned!$F$2:$F$10,"&gt;="&amp;C477)</f>
        <v>1</v>
      </c>
      <c r="G477">
        <v>1.7000000000000001E-2</v>
      </c>
      <c r="H477">
        <v>70.5</v>
      </c>
      <c r="I477" t="s">
        <v>15</v>
      </c>
      <c r="J477" t="s">
        <v>15</v>
      </c>
      <c r="K477">
        <v>12.69</v>
      </c>
      <c r="L477">
        <v>0</v>
      </c>
    </row>
    <row r="478" spans="1:12" x14ac:dyDescent="0.3">
      <c r="A478" t="s">
        <v>494</v>
      </c>
      <c r="B478" t="s">
        <v>17</v>
      </c>
      <c r="C478">
        <v>1998</v>
      </c>
      <c r="D478">
        <v>35.96</v>
      </c>
      <c r="E478">
        <v>6.47</v>
      </c>
      <c r="F478">
        <f>COUNTIFS(mdr_rate_cleaned!$A$2:$A$10,B478,mdr_rate_cleaned!$B$2:$B$10,"&lt;"&amp;C478,mdr_rate_cleaned!$F$2:$F$10,"&gt;="&amp;C478)</f>
        <v>1</v>
      </c>
      <c r="G478">
        <v>1.7999999999999999E-2</v>
      </c>
      <c r="H478">
        <v>35.96</v>
      </c>
      <c r="I478" t="s">
        <v>15</v>
      </c>
      <c r="J478" t="s">
        <v>15</v>
      </c>
      <c r="K478">
        <v>6.47</v>
      </c>
      <c r="L478">
        <v>0</v>
      </c>
    </row>
    <row r="479" spans="1:12" x14ac:dyDescent="0.3">
      <c r="A479" t="s">
        <v>495</v>
      </c>
      <c r="B479" t="s">
        <v>21</v>
      </c>
      <c r="C479">
        <v>6847</v>
      </c>
      <c r="D479">
        <v>20.54</v>
      </c>
      <c r="E479">
        <v>3.7</v>
      </c>
      <c r="F479">
        <f>COUNTIFS(mdr_rate_cleaned!$A$2:$A$10,B479,mdr_rate_cleaned!$B$2:$B$10,"&lt;"&amp;C479,mdr_rate_cleaned!$F$2:$F$10,"&gt;="&amp;C479)</f>
        <v>1</v>
      </c>
      <c r="G479">
        <v>3.0000000000000001E-3</v>
      </c>
      <c r="H479">
        <v>20.54</v>
      </c>
      <c r="I479" t="s">
        <v>15</v>
      </c>
      <c r="J479" t="s">
        <v>15</v>
      </c>
      <c r="K479">
        <v>3.7</v>
      </c>
      <c r="L479">
        <v>0</v>
      </c>
    </row>
    <row r="480" spans="1:12" x14ac:dyDescent="0.3">
      <c r="A480" t="s">
        <v>496</v>
      </c>
      <c r="B480" t="s">
        <v>39</v>
      </c>
      <c r="C480">
        <v>1299</v>
      </c>
      <c r="D480">
        <v>19.489999999999998</v>
      </c>
      <c r="E480">
        <v>3.51</v>
      </c>
      <c r="F480">
        <f>COUNTIFS(mdr_rate_cleaned!$A$2:$A$10,B480,mdr_rate_cleaned!$B$2:$B$10,"&lt;"&amp;C480,mdr_rate_cleaned!$F$2:$F$10,"&gt;="&amp;C480)</f>
        <v>1</v>
      </c>
      <c r="G480">
        <v>1.4999999999999999E-2</v>
      </c>
      <c r="H480">
        <v>19.489999999999998</v>
      </c>
      <c r="I480" t="s">
        <v>15</v>
      </c>
      <c r="J480" t="s">
        <v>15</v>
      </c>
      <c r="K480">
        <v>3.51</v>
      </c>
      <c r="L480">
        <v>0</v>
      </c>
    </row>
    <row r="481" spans="1:12" x14ac:dyDescent="0.3">
      <c r="A481" t="s">
        <v>497</v>
      </c>
      <c r="B481" t="s">
        <v>17</v>
      </c>
      <c r="C481">
        <v>599</v>
      </c>
      <c r="D481">
        <v>10.78</v>
      </c>
      <c r="E481">
        <v>1.94</v>
      </c>
      <c r="F481">
        <f>COUNTIFS(mdr_rate_cleaned!$A$2:$A$10,B481,mdr_rate_cleaned!$B$2:$B$10,"&lt;"&amp;C481,mdr_rate_cleaned!$F$2:$F$10,"&gt;="&amp;C481)</f>
        <v>1</v>
      </c>
      <c r="G481">
        <v>1.7999999999999999E-2</v>
      </c>
      <c r="H481">
        <v>10.78</v>
      </c>
      <c r="I481" t="s">
        <v>15</v>
      </c>
      <c r="J481" t="s">
        <v>15</v>
      </c>
      <c r="K481">
        <v>1.94</v>
      </c>
      <c r="L481">
        <v>0</v>
      </c>
    </row>
    <row r="482" spans="1:12" x14ac:dyDescent="0.3">
      <c r="A482" t="s">
        <v>498</v>
      </c>
      <c r="B482" t="s">
        <v>21</v>
      </c>
      <c r="C482">
        <v>2499</v>
      </c>
      <c r="D482">
        <v>7.5</v>
      </c>
      <c r="E482">
        <v>1.35</v>
      </c>
      <c r="F482">
        <f>COUNTIFS(mdr_rate_cleaned!$A$2:$A$10,B482,mdr_rate_cleaned!$B$2:$B$10,"&lt;"&amp;C482,mdr_rate_cleaned!$F$2:$F$10,"&gt;="&amp;C482)</f>
        <v>1</v>
      </c>
      <c r="G482">
        <v>3.0000000000000001E-3</v>
      </c>
      <c r="H482">
        <v>7.5</v>
      </c>
      <c r="I482" t="s">
        <v>15</v>
      </c>
      <c r="J482" t="s">
        <v>15</v>
      </c>
      <c r="K482">
        <v>1.35</v>
      </c>
      <c r="L482">
        <v>0</v>
      </c>
    </row>
    <row r="483" spans="1:12" x14ac:dyDescent="0.3">
      <c r="A483" t="s">
        <v>499</v>
      </c>
      <c r="B483" t="s">
        <v>21</v>
      </c>
      <c r="C483">
        <v>2998</v>
      </c>
      <c r="D483">
        <v>8.99</v>
      </c>
      <c r="E483">
        <v>1.62</v>
      </c>
      <c r="F483">
        <f>COUNTIFS(mdr_rate_cleaned!$A$2:$A$10,B483,mdr_rate_cleaned!$B$2:$B$10,"&lt;"&amp;C483,mdr_rate_cleaned!$F$2:$F$10,"&gt;="&amp;C483)</f>
        <v>1</v>
      </c>
      <c r="G483">
        <v>3.0000000000000001E-3</v>
      </c>
      <c r="H483">
        <v>8.99</v>
      </c>
      <c r="I483" t="s">
        <v>15</v>
      </c>
      <c r="J483" t="s">
        <v>15</v>
      </c>
      <c r="K483">
        <v>1.62</v>
      </c>
      <c r="L483">
        <v>0</v>
      </c>
    </row>
    <row r="484" spans="1:12" x14ac:dyDescent="0.3">
      <c r="A484" t="s">
        <v>500</v>
      </c>
      <c r="B484" t="s">
        <v>13</v>
      </c>
      <c r="C484">
        <v>8348</v>
      </c>
      <c r="D484">
        <v>141.91999999999999</v>
      </c>
      <c r="E484">
        <v>25.55</v>
      </c>
      <c r="F484">
        <f>COUNTIFS(mdr_rate_cleaned!$A$2:$A$10,B484,mdr_rate_cleaned!$B$2:$B$10,"&lt;"&amp;C484,mdr_rate_cleaned!$F$2:$F$10,"&gt;="&amp;C484)</f>
        <v>1</v>
      </c>
      <c r="G484">
        <v>1.7000000000000001E-2</v>
      </c>
      <c r="H484">
        <v>141.91999999999999</v>
      </c>
      <c r="I484" t="s">
        <v>15</v>
      </c>
      <c r="J484" t="s">
        <v>15</v>
      </c>
      <c r="K484">
        <v>25.55</v>
      </c>
      <c r="L484">
        <v>0</v>
      </c>
    </row>
    <row r="485" spans="1:12" x14ac:dyDescent="0.3">
      <c r="A485" t="s">
        <v>501</v>
      </c>
      <c r="B485" t="s">
        <v>21</v>
      </c>
      <c r="C485">
        <v>299</v>
      </c>
      <c r="D485">
        <v>0</v>
      </c>
      <c r="E485">
        <v>0</v>
      </c>
      <c r="F485">
        <f>COUNTIFS(mdr_rate_cleaned!$A$2:$A$10,B485,mdr_rate_cleaned!$B$2:$B$10,"&lt;"&amp;C485,mdr_rate_cleaned!$F$2:$F$10,"&gt;="&amp;C485)</f>
        <v>1</v>
      </c>
      <c r="G485">
        <v>0</v>
      </c>
      <c r="H485">
        <v>0</v>
      </c>
      <c r="I485" t="s">
        <v>15</v>
      </c>
      <c r="J485" t="s">
        <v>15</v>
      </c>
      <c r="K485">
        <v>0</v>
      </c>
      <c r="L485">
        <v>0</v>
      </c>
    </row>
    <row r="486" spans="1:12" x14ac:dyDescent="0.3">
      <c r="A486" t="s">
        <v>502</v>
      </c>
      <c r="B486" t="s">
        <v>21</v>
      </c>
      <c r="C486">
        <v>2598</v>
      </c>
      <c r="D486">
        <v>7.79</v>
      </c>
      <c r="E486">
        <v>1.4</v>
      </c>
      <c r="F486">
        <f>COUNTIFS(mdr_rate_cleaned!$A$2:$A$10,B486,mdr_rate_cleaned!$B$2:$B$10,"&lt;"&amp;C486,mdr_rate_cleaned!$F$2:$F$10,"&gt;="&amp;C486)</f>
        <v>1</v>
      </c>
      <c r="G486">
        <v>3.0000000000000001E-3</v>
      </c>
      <c r="H486">
        <v>7.79</v>
      </c>
      <c r="I486" t="s">
        <v>15</v>
      </c>
      <c r="J486" t="s">
        <v>15</v>
      </c>
      <c r="K486">
        <v>1.4</v>
      </c>
      <c r="L486">
        <v>0</v>
      </c>
    </row>
    <row r="487" spans="1:12" x14ac:dyDescent="0.3">
      <c r="A487" t="s">
        <v>503</v>
      </c>
      <c r="B487" t="s">
        <v>21</v>
      </c>
      <c r="C487">
        <v>799</v>
      </c>
      <c r="D487">
        <v>0</v>
      </c>
      <c r="E487">
        <v>0</v>
      </c>
      <c r="F487">
        <f>COUNTIFS(mdr_rate_cleaned!$A$2:$A$10,B487,mdr_rate_cleaned!$B$2:$B$10,"&lt;"&amp;C487,mdr_rate_cleaned!$F$2:$F$10,"&gt;="&amp;C487)</f>
        <v>1</v>
      </c>
      <c r="G487">
        <v>0</v>
      </c>
      <c r="H487">
        <v>0</v>
      </c>
      <c r="I487" t="s">
        <v>15</v>
      </c>
      <c r="J487" t="s">
        <v>15</v>
      </c>
      <c r="K487">
        <v>0</v>
      </c>
      <c r="L487">
        <v>0</v>
      </c>
    </row>
    <row r="488" spans="1:12" x14ac:dyDescent="0.3">
      <c r="A488" t="s">
        <v>504</v>
      </c>
      <c r="B488" t="s">
        <v>21</v>
      </c>
      <c r="C488">
        <v>349</v>
      </c>
      <c r="D488">
        <v>0</v>
      </c>
      <c r="E488">
        <v>0</v>
      </c>
      <c r="F488">
        <f>COUNTIFS(mdr_rate_cleaned!$A$2:$A$10,B488,mdr_rate_cleaned!$B$2:$B$10,"&lt;"&amp;C488,mdr_rate_cleaned!$F$2:$F$10,"&gt;="&amp;C488)</f>
        <v>1</v>
      </c>
      <c r="G488">
        <v>0</v>
      </c>
      <c r="H488">
        <v>0</v>
      </c>
      <c r="I488" t="s">
        <v>15</v>
      </c>
      <c r="J488" t="s">
        <v>15</v>
      </c>
      <c r="K488">
        <v>0</v>
      </c>
      <c r="L488">
        <v>0</v>
      </c>
    </row>
    <row r="489" spans="1:12" x14ac:dyDescent="0.3">
      <c r="A489" t="s">
        <v>505</v>
      </c>
      <c r="B489" t="s">
        <v>21</v>
      </c>
      <c r="C489">
        <v>349</v>
      </c>
      <c r="D489">
        <v>0</v>
      </c>
      <c r="E489">
        <v>0</v>
      </c>
      <c r="F489">
        <f>COUNTIFS(mdr_rate_cleaned!$A$2:$A$10,B489,mdr_rate_cleaned!$B$2:$B$10,"&lt;"&amp;C489,mdr_rate_cleaned!$F$2:$F$10,"&gt;="&amp;C489)</f>
        <v>1</v>
      </c>
      <c r="G489">
        <v>0</v>
      </c>
      <c r="H489">
        <v>0</v>
      </c>
      <c r="I489" t="s">
        <v>15</v>
      </c>
      <c r="J489" t="s">
        <v>15</v>
      </c>
      <c r="K489">
        <v>0</v>
      </c>
      <c r="L489">
        <v>0</v>
      </c>
    </row>
    <row r="490" spans="1:12" x14ac:dyDescent="0.3">
      <c r="A490" t="s">
        <v>506</v>
      </c>
      <c r="B490" t="s">
        <v>39</v>
      </c>
      <c r="C490">
        <v>3298</v>
      </c>
      <c r="D490">
        <v>39.58</v>
      </c>
      <c r="E490">
        <v>7.12</v>
      </c>
      <c r="F490">
        <f>COUNTIFS(mdr_rate_cleaned!$A$2:$A$10,B490,mdr_rate_cleaned!$B$2:$B$10,"&lt;"&amp;C490,mdr_rate_cleaned!$F$2:$F$10,"&gt;="&amp;C490)</f>
        <v>1</v>
      </c>
      <c r="G490">
        <v>1.2E-2</v>
      </c>
      <c r="H490">
        <v>39.58</v>
      </c>
      <c r="I490" t="s">
        <v>15</v>
      </c>
      <c r="J490" t="s">
        <v>15</v>
      </c>
      <c r="K490">
        <v>7.12</v>
      </c>
      <c r="L490">
        <v>0</v>
      </c>
    </row>
    <row r="491" spans="1:12" x14ac:dyDescent="0.3">
      <c r="A491" t="s">
        <v>507</v>
      </c>
      <c r="B491" t="s">
        <v>21</v>
      </c>
      <c r="C491">
        <v>1299</v>
      </c>
      <c r="D491">
        <v>0</v>
      </c>
      <c r="E491">
        <v>0</v>
      </c>
      <c r="F491">
        <f>COUNTIFS(mdr_rate_cleaned!$A$2:$A$10,B491,mdr_rate_cleaned!$B$2:$B$10,"&lt;"&amp;C491,mdr_rate_cleaned!$F$2:$F$10,"&gt;="&amp;C491)</f>
        <v>1</v>
      </c>
      <c r="G491">
        <v>0</v>
      </c>
      <c r="H491">
        <v>0</v>
      </c>
      <c r="I491" t="s">
        <v>15</v>
      </c>
      <c r="J491" t="s">
        <v>15</v>
      </c>
      <c r="K491">
        <v>0</v>
      </c>
      <c r="L491">
        <v>0</v>
      </c>
    </row>
    <row r="492" spans="1:12" x14ac:dyDescent="0.3">
      <c r="A492" t="s">
        <v>508</v>
      </c>
      <c r="B492" t="s">
        <v>17</v>
      </c>
      <c r="C492">
        <v>2499</v>
      </c>
      <c r="D492">
        <v>39.979999999999997</v>
      </c>
      <c r="E492">
        <v>7.2</v>
      </c>
      <c r="F492">
        <f>COUNTIFS(mdr_rate_cleaned!$A$2:$A$10,B492,mdr_rate_cleaned!$B$2:$B$10,"&lt;"&amp;C492,mdr_rate_cleaned!$F$2:$F$10,"&gt;="&amp;C492)</f>
        <v>1</v>
      </c>
      <c r="G492">
        <v>1.6E-2</v>
      </c>
      <c r="H492">
        <v>39.979999999999997</v>
      </c>
      <c r="I492" t="s">
        <v>15</v>
      </c>
      <c r="J492" t="s">
        <v>15</v>
      </c>
      <c r="K492">
        <v>7.2</v>
      </c>
      <c r="L492">
        <v>0</v>
      </c>
    </row>
    <row r="493" spans="1:12" x14ac:dyDescent="0.3">
      <c r="A493" t="s">
        <v>509</v>
      </c>
      <c r="B493" t="s">
        <v>17</v>
      </c>
      <c r="C493">
        <v>5298</v>
      </c>
      <c r="D493">
        <v>84.77</v>
      </c>
      <c r="E493">
        <v>15.26</v>
      </c>
      <c r="F493">
        <f>COUNTIFS(mdr_rate_cleaned!$A$2:$A$10,B493,mdr_rate_cleaned!$B$2:$B$10,"&lt;"&amp;C493,mdr_rate_cleaned!$F$2:$F$10,"&gt;="&amp;C493)</f>
        <v>1</v>
      </c>
      <c r="G493">
        <v>1.6E-2</v>
      </c>
      <c r="H493">
        <v>84.77</v>
      </c>
      <c r="I493" t="s">
        <v>15</v>
      </c>
      <c r="J493" t="s">
        <v>15</v>
      </c>
      <c r="K493">
        <v>15.26</v>
      </c>
      <c r="L493">
        <v>0</v>
      </c>
    </row>
    <row r="494" spans="1:12" x14ac:dyDescent="0.3">
      <c r="A494" t="s">
        <v>510</v>
      </c>
      <c r="B494" t="s">
        <v>13</v>
      </c>
      <c r="C494">
        <v>1647</v>
      </c>
      <c r="D494">
        <v>31.29</v>
      </c>
      <c r="E494">
        <v>5.63</v>
      </c>
      <c r="F494">
        <f>COUNTIFS(mdr_rate_cleaned!$A$2:$A$10,B494,mdr_rate_cleaned!$B$2:$B$10,"&lt;"&amp;C494,mdr_rate_cleaned!$F$2:$F$10,"&gt;="&amp;C494)</f>
        <v>1</v>
      </c>
      <c r="G494">
        <v>1.9E-2</v>
      </c>
      <c r="H494">
        <v>31.29</v>
      </c>
      <c r="I494" t="s">
        <v>15</v>
      </c>
      <c r="J494" t="s">
        <v>15</v>
      </c>
      <c r="K494">
        <v>5.63</v>
      </c>
      <c r="L494">
        <v>0</v>
      </c>
    </row>
    <row r="495" spans="1:12" x14ac:dyDescent="0.3">
      <c r="A495" t="s">
        <v>511</v>
      </c>
      <c r="B495" t="s">
        <v>13</v>
      </c>
      <c r="C495">
        <v>799</v>
      </c>
      <c r="D495">
        <v>15.18</v>
      </c>
      <c r="E495">
        <v>2.73</v>
      </c>
      <c r="F495">
        <f>COUNTIFS(mdr_rate_cleaned!$A$2:$A$10,B495,mdr_rate_cleaned!$B$2:$B$10,"&lt;"&amp;C495,mdr_rate_cleaned!$F$2:$F$10,"&gt;="&amp;C495)</f>
        <v>1</v>
      </c>
      <c r="G495">
        <v>1.9E-2</v>
      </c>
      <c r="H495">
        <v>15.18</v>
      </c>
      <c r="I495" t="s">
        <v>15</v>
      </c>
      <c r="J495" t="s">
        <v>15</v>
      </c>
      <c r="K495">
        <v>2.73</v>
      </c>
      <c r="L495">
        <v>0</v>
      </c>
    </row>
    <row r="496" spans="1:12" x14ac:dyDescent="0.3">
      <c r="A496" t="s">
        <v>512</v>
      </c>
      <c r="B496" t="s">
        <v>13</v>
      </c>
      <c r="C496">
        <v>9097</v>
      </c>
      <c r="D496">
        <v>154.65</v>
      </c>
      <c r="E496">
        <v>27.84</v>
      </c>
      <c r="F496">
        <f>COUNTIFS(mdr_rate_cleaned!$A$2:$A$10,B496,mdr_rate_cleaned!$B$2:$B$10,"&lt;"&amp;C496,mdr_rate_cleaned!$F$2:$F$10,"&gt;="&amp;C496)</f>
        <v>1</v>
      </c>
      <c r="G496">
        <v>1.7000000000000001E-2</v>
      </c>
      <c r="H496">
        <v>154.65</v>
      </c>
      <c r="I496" t="s">
        <v>15</v>
      </c>
      <c r="J496" t="s">
        <v>15</v>
      </c>
      <c r="K496">
        <v>27.84</v>
      </c>
      <c r="L496">
        <v>0</v>
      </c>
    </row>
    <row r="497" spans="1:12" x14ac:dyDescent="0.3">
      <c r="A497" t="s">
        <v>513</v>
      </c>
      <c r="B497" t="s">
        <v>21</v>
      </c>
      <c r="C497">
        <v>3997</v>
      </c>
      <c r="D497">
        <v>11.99</v>
      </c>
      <c r="E497">
        <v>2.16</v>
      </c>
      <c r="F497">
        <f>COUNTIFS(mdr_rate_cleaned!$A$2:$A$10,B497,mdr_rate_cleaned!$B$2:$B$10,"&lt;"&amp;C497,mdr_rate_cleaned!$F$2:$F$10,"&gt;="&amp;C497)</f>
        <v>1</v>
      </c>
      <c r="G497">
        <v>3.0000000000000001E-3</v>
      </c>
      <c r="H497">
        <v>11.99</v>
      </c>
      <c r="I497" t="s">
        <v>15</v>
      </c>
      <c r="J497" t="s">
        <v>15</v>
      </c>
      <c r="K497">
        <v>2.16</v>
      </c>
      <c r="L497">
        <v>0</v>
      </c>
    </row>
    <row r="498" spans="1:12" x14ac:dyDescent="0.3">
      <c r="A498" t="s">
        <v>514</v>
      </c>
      <c r="B498" t="s">
        <v>17</v>
      </c>
      <c r="C498">
        <v>1897</v>
      </c>
      <c r="D498">
        <v>34.15</v>
      </c>
      <c r="E498">
        <v>6.15</v>
      </c>
      <c r="F498">
        <f>COUNTIFS(mdr_rate_cleaned!$A$2:$A$10,B498,mdr_rate_cleaned!$B$2:$B$10,"&lt;"&amp;C498,mdr_rate_cleaned!$F$2:$F$10,"&gt;="&amp;C498)</f>
        <v>1</v>
      </c>
      <c r="G498">
        <v>1.7999999999999999E-2</v>
      </c>
      <c r="H498">
        <v>34.15</v>
      </c>
      <c r="I498" t="s">
        <v>15</v>
      </c>
      <c r="J498" t="s">
        <v>15</v>
      </c>
      <c r="K498">
        <v>6.15</v>
      </c>
      <c r="L498">
        <v>0</v>
      </c>
    </row>
    <row r="499" spans="1:12" x14ac:dyDescent="0.3">
      <c r="A499" t="s">
        <v>515</v>
      </c>
      <c r="B499" t="s">
        <v>21</v>
      </c>
      <c r="C499">
        <v>2098</v>
      </c>
      <c r="D499">
        <v>6.29</v>
      </c>
      <c r="E499">
        <v>1.1299999999999999</v>
      </c>
      <c r="F499">
        <f>COUNTIFS(mdr_rate_cleaned!$A$2:$A$10,B499,mdr_rate_cleaned!$B$2:$B$10,"&lt;"&amp;C499,mdr_rate_cleaned!$F$2:$F$10,"&gt;="&amp;C499)</f>
        <v>1</v>
      </c>
      <c r="G499">
        <v>3.0000000000000001E-3</v>
      </c>
      <c r="H499">
        <v>6.29</v>
      </c>
      <c r="I499" t="s">
        <v>15</v>
      </c>
      <c r="J499" t="s">
        <v>15</v>
      </c>
      <c r="K499">
        <v>1.1299999999999999</v>
      </c>
      <c r="L499">
        <v>0</v>
      </c>
    </row>
    <row r="500" spans="1:12" x14ac:dyDescent="0.3">
      <c r="A500" t="s">
        <v>516</v>
      </c>
      <c r="B500" t="s">
        <v>39</v>
      </c>
      <c r="C500">
        <v>2999</v>
      </c>
      <c r="D500">
        <v>35.99</v>
      </c>
      <c r="E500">
        <v>6.48</v>
      </c>
      <c r="F500">
        <f>COUNTIFS(mdr_rate_cleaned!$A$2:$A$10,B500,mdr_rate_cleaned!$B$2:$B$10,"&lt;"&amp;C500,mdr_rate_cleaned!$F$2:$F$10,"&gt;="&amp;C500)</f>
        <v>1</v>
      </c>
      <c r="G500">
        <v>1.2E-2</v>
      </c>
      <c r="H500">
        <v>35.99</v>
      </c>
      <c r="I500" t="s">
        <v>15</v>
      </c>
      <c r="J500" t="s">
        <v>15</v>
      </c>
      <c r="K500">
        <v>6.48</v>
      </c>
      <c r="L500">
        <v>0</v>
      </c>
    </row>
    <row r="501" spans="1:12" x14ac:dyDescent="0.3">
      <c r="A501" t="s">
        <v>517</v>
      </c>
      <c r="B501" t="s">
        <v>17</v>
      </c>
      <c r="C501">
        <v>799</v>
      </c>
      <c r="D501">
        <v>14.38</v>
      </c>
      <c r="E501">
        <v>2.59</v>
      </c>
      <c r="F501">
        <f>COUNTIFS(mdr_rate_cleaned!$A$2:$A$10,B501,mdr_rate_cleaned!$B$2:$B$10,"&lt;"&amp;C501,mdr_rate_cleaned!$F$2:$F$10,"&gt;="&amp;C501)</f>
        <v>1</v>
      </c>
      <c r="G501">
        <v>1.7999999999999999E-2</v>
      </c>
      <c r="H501">
        <v>14.38</v>
      </c>
      <c r="I501" t="s">
        <v>15</v>
      </c>
      <c r="J501" t="s">
        <v>15</v>
      </c>
      <c r="K501">
        <v>2.59</v>
      </c>
      <c r="L501">
        <v>0</v>
      </c>
    </row>
    <row r="502" spans="1:12" x14ac:dyDescent="0.3">
      <c r="A502" t="s">
        <v>518</v>
      </c>
      <c r="B502" t="s">
        <v>39</v>
      </c>
      <c r="C502">
        <v>4298</v>
      </c>
      <c r="D502">
        <v>51.58</v>
      </c>
      <c r="E502">
        <v>9.2799999999999994</v>
      </c>
      <c r="F502">
        <f>COUNTIFS(mdr_rate_cleaned!$A$2:$A$10,B502,mdr_rate_cleaned!$B$2:$B$10,"&lt;"&amp;C502,mdr_rate_cleaned!$F$2:$F$10,"&gt;="&amp;C502)</f>
        <v>1</v>
      </c>
      <c r="G502">
        <v>1.2E-2</v>
      </c>
      <c r="H502">
        <v>51.58</v>
      </c>
      <c r="I502" t="s">
        <v>15</v>
      </c>
      <c r="J502" t="s">
        <v>15</v>
      </c>
      <c r="K502">
        <v>9.2799999999999994</v>
      </c>
      <c r="L502">
        <v>0</v>
      </c>
    </row>
    <row r="503" spans="1:12" x14ac:dyDescent="0.3">
      <c r="A503" t="s">
        <v>519</v>
      </c>
      <c r="B503" t="s">
        <v>21</v>
      </c>
      <c r="C503">
        <v>799</v>
      </c>
      <c r="D503">
        <v>0</v>
      </c>
      <c r="E503">
        <v>0</v>
      </c>
      <c r="F503">
        <f>COUNTIFS(mdr_rate_cleaned!$A$2:$A$10,B503,mdr_rate_cleaned!$B$2:$B$10,"&lt;"&amp;C503,mdr_rate_cleaned!$F$2:$F$10,"&gt;="&amp;C503)</f>
        <v>1</v>
      </c>
      <c r="G503">
        <v>0</v>
      </c>
      <c r="H503">
        <v>0</v>
      </c>
      <c r="I503" t="s">
        <v>15</v>
      </c>
      <c r="J503" t="s">
        <v>15</v>
      </c>
      <c r="K503">
        <v>0</v>
      </c>
      <c r="L503">
        <v>0</v>
      </c>
    </row>
    <row r="504" spans="1:12" x14ac:dyDescent="0.3">
      <c r="A504" t="s">
        <v>520</v>
      </c>
      <c r="B504" t="s">
        <v>17</v>
      </c>
      <c r="C504">
        <v>2499</v>
      </c>
      <c r="D504">
        <v>39.979999999999997</v>
      </c>
      <c r="E504">
        <v>7.2</v>
      </c>
      <c r="F504">
        <f>COUNTIFS(mdr_rate_cleaned!$A$2:$A$10,B504,mdr_rate_cleaned!$B$2:$B$10,"&lt;"&amp;C504,mdr_rate_cleaned!$F$2:$F$10,"&gt;="&amp;C504)</f>
        <v>1</v>
      </c>
      <c r="G504">
        <v>1.6E-2</v>
      </c>
      <c r="H504">
        <v>39.979999999999997</v>
      </c>
      <c r="I504" t="s">
        <v>15</v>
      </c>
      <c r="J504" t="s">
        <v>15</v>
      </c>
      <c r="K504">
        <v>7.2</v>
      </c>
      <c r="L504">
        <v>0</v>
      </c>
    </row>
    <row r="505" spans="1:12" x14ac:dyDescent="0.3">
      <c r="A505" t="s">
        <v>521</v>
      </c>
      <c r="B505" t="s">
        <v>17</v>
      </c>
      <c r="C505">
        <v>4797</v>
      </c>
      <c r="D505">
        <v>76.75</v>
      </c>
      <c r="E505">
        <v>13.82</v>
      </c>
      <c r="F505">
        <f>COUNTIFS(mdr_rate_cleaned!$A$2:$A$10,B505,mdr_rate_cleaned!$B$2:$B$10,"&lt;"&amp;C505,mdr_rate_cleaned!$F$2:$F$10,"&gt;="&amp;C505)</f>
        <v>1</v>
      </c>
      <c r="G505">
        <v>1.6E-2</v>
      </c>
      <c r="H505">
        <v>76.75</v>
      </c>
      <c r="I505" t="s">
        <v>15</v>
      </c>
      <c r="J505" t="s">
        <v>15</v>
      </c>
      <c r="K505">
        <v>13.82</v>
      </c>
      <c r="L505">
        <v>0</v>
      </c>
    </row>
    <row r="506" spans="1:12" x14ac:dyDescent="0.3">
      <c r="A506" t="s">
        <v>522</v>
      </c>
      <c r="B506" t="s">
        <v>13</v>
      </c>
      <c r="C506">
        <v>1299</v>
      </c>
      <c r="D506">
        <v>24.68</v>
      </c>
      <c r="E506">
        <v>4.4400000000000004</v>
      </c>
      <c r="F506">
        <f>COUNTIFS(mdr_rate_cleaned!$A$2:$A$10,B506,mdr_rate_cleaned!$B$2:$B$10,"&lt;"&amp;C506,mdr_rate_cleaned!$F$2:$F$10,"&gt;="&amp;C506)</f>
        <v>1</v>
      </c>
      <c r="G506">
        <v>1.9E-2</v>
      </c>
      <c r="H506">
        <v>24.68</v>
      </c>
      <c r="I506" t="s">
        <v>15</v>
      </c>
      <c r="J506" t="s">
        <v>15</v>
      </c>
      <c r="K506">
        <v>4.4400000000000004</v>
      </c>
      <c r="L506">
        <v>0</v>
      </c>
    </row>
    <row r="507" spans="1:12" x14ac:dyDescent="0.3">
      <c r="A507" t="s">
        <v>523</v>
      </c>
      <c r="B507" t="s">
        <v>17</v>
      </c>
      <c r="C507">
        <v>4597</v>
      </c>
      <c r="D507">
        <v>73.55</v>
      </c>
      <c r="E507">
        <v>13.24</v>
      </c>
      <c r="F507">
        <f>COUNTIFS(mdr_rate_cleaned!$A$2:$A$10,B507,mdr_rate_cleaned!$B$2:$B$10,"&lt;"&amp;C507,mdr_rate_cleaned!$F$2:$F$10,"&gt;="&amp;C507)</f>
        <v>1</v>
      </c>
      <c r="G507">
        <v>1.6E-2</v>
      </c>
      <c r="H507">
        <v>73.55</v>
      </c>
      <c r="I507" t="s">
        <v>15</v>
      </c>
      <c r="J507" t="s">
        <v>15</v>
      </c>
      <c r="K507">
        <v>13.24</v>
      </c>
      <c r="L507">
        <v>0</v>
      </c>
    </row>
    <row r="508" spans="1:12" x14ac:dyDescent="0.3">
      <c r="A508" t="s">
        <v>524</v>
      </c>
      <c r="B508" t="s">
        <v>17</v>
      </c>
      <c r="C508">
        <v>999</v>
      </c>
      <c r="D508">
        <v>17.98</v>
      </c>
      <c r="E508">
        <v>3.24</v>
      </c>
      <c r="F508">
        <f>COUNTIFS(mdr_rate_cleaned!$A$2:$A$10,B508,mdr_rate_cleaned!$B$2:$B$10,"&lt;"&amp;C508,mdr_rate_cleaned!$F$2:$F$10,"&gt;="&amp;C508)</f>
        <v>1</v>
      </c>
      <c r="G508">
        <v>1.7999999999999999E-2</v>
      </c>
      <c r="H508">
        <v>17.98</v>
      </c>
      <c r="I508" t="s">
        <v>15</v>
      </c>
      <c r="J508" t="s">
        <v>15</v>
      </c>
      <c r="K508">
        <v>3.24</v>
      </c>
      <c r="L508">
        <v>0</v>
      </c>
    </row>
    <row r="509" spans="1:12" x14ac:dyDescent="0.3">
      <c r="A509" t="s">
        <v>525</v>
      </c>
      <c r="B509" t="s">
        <v>13</v>
      </c>
      <c r="C509">
        <v>2499</v>
      </c>
      <c r="D509">
        <v>42.48</v>
      </c>
      <c r="E509">
        <v>7.65</v>
      </c>
      <c r="F509">
        <f>COUNTIFS(mdr_rate_cleaned!$A$2:$A$10,B509,mdr_rate_cleaned!$B$2:$B$10,"&lt;"&amp;C509,mdr_rate_cleaned!$F$2:$F$10,"&gt;="&amp;C509)</f>
        <v>1</v>
      </c>
      <c r="G509">
        <v>1.7000000000000001E-2</v>
      </c>
      <c r="H509">
        <v>42.48</v>
      </c>
      <c r="I509" t="s">
        <v>15</v>
      </c>
      <c r="J509" t="s">
        <v>15</v>
      </c>
      <c r="K509">
        <v>7.65</v>
      </c>
      <c r="L509">
        <v>0</v>
      </c>
    </row>
    <row r="510" spans="1:12" x14ac:dyDescent="0.3">
      <c r="A510" t="s">
        <v>526</v>
      </c>
      <c r="B510" t="s">
        <v>13</v>
      </c>
      <c r="C510">
        <v>599</v>
      </c>
      <c r="D510">
        <v>11.38</v>
      </c>
      <c r="E510">
        <v>2.0499999999999998</v>
      </c>
      <c r="F510">
        <f>COUNTIFS(mdr_rate_cleaned!$A$2:$A$10,B510,mdr_rate_cleaned!$B$2:$B$10,"&lt;"&amp;C510,mdr_rate_cleaned!$F$2:$F$10,"&gt;="&amp;C510)</f>
        <v>1</v>
      </c>
      <c r="G510">
        <v>1.9E-2</v>
      </c>
      <c r="H510">
        <v>11.38</v>
      </c>
      <c r="I510" t="s">
        <v>15</v>
      </c>
      <c r="J510" t="s">
        <v>15</v>
      </c>
      <c r="K510">
        <v>2.0499999999999998</v>
      </c>
      <c r="L510">
        <v>0</v>
      </c>
    </row>
    <row r="511" spans="1:12" x14ac:dyDescent="0.3">
      <c r="A511" t="s">
        <v>527</v>
      </c>
      <c r="B511" t="s">
        <v>21</v>
      </c>
      <c r="C511">
        <v>4999</v>
      </c>
      <c r="D511">
        <v>15</v>
      </c>
      <c r="E511">
        <v>2.7</v>
      </c>
      <c r="F511">
        <f>COUNTIFS(mdr_rate_cleaned!$A$2:$A$10,B511,mdr_rate_cleaned!$B$2:$B$10,"&lt;"&amp;C511,mdr_rate_cleaned!$F$2:$F$10,"&gt;="&amp;C511)</f>
        <v>1</v>
      </c>
      <c r="G511">
        <v>3.0000000000000001E-3</v>
      </c>
      <c r="H511">
        <v>15</v>
      </c>
      <c r="I511" t="s">
        <v>15</v>
      </c>
      <c r="J511" t="s">
        <v>15</v>
      </c>
      <c r="K511">
        <v>2.7</v>
      </c>
      <c r="L511">
        <v>0</v>
      </c>
    </row>
    <row r="512" spans="1:12" x14ac:dyDescent="0.3">
      <c r="A512" t="s">
        <v>528</v>
      </c>
      <c r="B512" t="s">
        <v>21</v>
      </c>
      <c r="C512">
        <v>3098</v>
      </c>
      <c r="D512">
        <v>9.2899999999999991</v>
      </c>
      <c r="E512">
        <v>1.67</v>
      </c>
      <c r="F512">
        <f>COUNTIFS(mdr_rate_cleaned!$A$2:$A$10,B512,mdr_rate_cleaned!$B$2:$B$10,"&lt;"&amp;C512,mdr_rate_cleaned!$F$2:$F$10,"&gt;="&amp;C512)</f>
        <v>1</v>
      </c>
      <c r="G512">
        <v>3.0000000000000001E-3</v>
      </c>
      <c r="H512">
        <v>9.2899999999999991</v>
      </c>
      <c r="I512" t="s">
        <v>15</v>
      </c>
      <c r="J512" t="s">
        <v>15</v>
      </c>
      <c r="K512">
        <v>1.67</v>
      </c>
      <c r="L512">
        <v>0</v>
      </c>
    </row>
    <row r="513" spans="1:12" x14ac:dyDescent="0.3">
      <c r="A513" t="s">
        <v>529</v>
      </c>
      <c r="B513" t="s">
        <v>21</v>
      </c>
      <c r="C513">
        <v>4298</v>
      </c>
      <c r="D513">
        <v>12.89</v>
      </c>
      <c r="E513">
        <v>2.3199999999999998</v>
      </c>
      <c r="F513">
        <f>COUNTIFS(mdr_rate_cleaned!$A$2:$A$10,B513,mdr_rate_cleaned!$B$2:$B$10,"&lt;"&amp;C513,mdr_rate_cleaned!$F$2:$F$10,"&gt;="&amp;C513)</f>
        <v>1</v>
      </c>
      <c r="G513">
        <v>3.0000000000000001E-3</v>
      </c>
      <c r="H513">
        <v>12.89</v>
      </c>
      <c r="I513" t="s">
        <v>15</v>
      </c>
      <c r="J513" t="s">
        <v>15</v>
      </c>
      <c r="K513">
        <v>2.3199999999999998</v>
      </c>
      <c r="L513">
        <v>0</v>
      </c>
    </row>
    <row r="514" spans="1:12" x14ac:dyDescent="0.3">
      <c r="A514" t="s">
        <v>530</v>
      </c>
      <c r="B514" t="s">
        <v>13</v>
      </c>
      <c r="C514">
        <v>1998</v>
      </c>
      <c r="D514">
        <v>37.96</v>
      </c>
      <c r="E514">
        <v>6.83</v>
      </c>
      <c r="F514">
        <f>COUNTIFS(mdr_rate_cleaned!$A$2:$A$10,B514,mdr_rate_cleaned!$B$2:$B$10,"&lt;"&amp;C514,mdr_rate_cleaned!$F$2:$F$10,"&gt;="&amp;C514)</f>
        <v>1</v>
      </c>
      <c r="G514">
        <v>1.9E-2</v>
      </c>
      <c r="H514">
        <v>37.96</v>
      </c>
      <c r="I514" t="s">
        <v>15</v>
      </c>
      <c r="J514" t="s">
        <v>15</v>
      </c>
      <c r="K514">
        <v>6.83</v>
      </c>
      <c r="L514">
        <v>0</v>
      </c>
    </row>
    <row r="515" spans="1:12" x14ac:dyDescent="0.3">
      <c r="A515" t="s">
        <v>531</v>
      </c>
      <c r="B515" t="s">
        <v>17</v>
      </c>
      <c r="C515">
        <v>2797</v>
      </c>
      <c r="D515">
        <v>44.75</v>
      </c>
      <c r="E515">
        <v>8.06</v>
      </c>
      <c r="F515">
        <f>COUNTIFS(mdr_rate_cleaned!$A$2:$A$10,B515,mdr_rate_cleaned!$B$2:$B$10,"&lt;"&amp;C515,mdr_rate_cleaned!$F$2:$F$10,"&gt;="&amp;C515)</f>
        <v>1</v>
      </c>
      <c r="G515">
        <v>1.6E-2</v>
      </c>
      <c r="H515">
        <v>44.75</v>
      </c>
      <c r="I515" t="s">
        <v>15</v>
      </c>
      <c r="J515" t="s">
        <v>15</v>
      </c>
      <c r="K515">
        <v>8.06</v>
      </c>
      <c r="L515">
        <v>0</v>
      </c>
    </row>
    <row r="516" spans="1:12" x14ac:dyDescent="0.3">
      <c r="A516" t="s">
        <v>532</v>
      </c>
      <c r="B516" t="s">
        <v>13</v>
      </c>
      <c r="C516">
        <v>2499</v>
      </c>
      <c r="D516">
        <v>42.48</v>
      </c>
      <c r="E516">
        <v>7.65</v>
      </c>
      <c r="F516">
        <f>COUNTIFS(mdr_rate_cleaned!$A$2:$A$10,B516,mdr_rate_cleaned!$B$2:$B$10,"&lt;"&amp;C516,mdr_rate_cleaned!$F$2:$F$10,"&gt;="&amp;C516)</f>
        <v>1</v>
      </c>
      <c r="G516">
        <v>1.7000000000000001E-2</v>
      </c>
      <c r="H516">
        <v>42.48</v>
      </c>
      <c r="I516" t="s">
        <v>15</v>
      </c>
      <c r="J516" t="s">
        <v>15</v>
      </c>
      <c r="K516">
        <v>7.65</v>
      </c>
      <c r="L516">
        <v>0</v>
      </c>
    </row>
    <row r="517" spans="1:12" x14ac:dyDescent="0.3">
      <c r="A517" t="s">
        <v>533</v>
      </c>
      <c r="B517" t="s">
        <v>21</v>
      </c>
      <c r="C517">
        <v>2798</v>
      </c>
      <c r="D517">
        <v>8.39</v>
      </c>
      <c r="E517">
        <v>1.51</v>
      </c>
      <c r="F517">
        <f>COUNTIFS(mdr_rate_cleaned!$A$2:$A$10,B517,mdr_rate_cleaned!$B$2:$B$10,"&lt;"&amp;C517,mdr_rate_cleaned!$F$2:$F$10,"&gt;="&amp;C517)</f>
        <v>1</v>
      </c>
      <c r="G517">
        <v>3.0000000000000001E-3</v>
      </c>
      <c r="H517">
        <v>8.39</v>
      </c>
      <c r="I517" t="s">
        <v>15</v>
      </c>
      <c r="J517" t="s">
        <v>15</v>
      </c>
      <c r="K517">
        <v>1.51</v>
      </c>
      <c r="L517">
        <v>0</v>
      </c>
    </row>
    <row r="518" spans="1:12" x14ac:dyDescent="0.3">
      <c r="A518" t="s">
        <v>534</v>
      </c>
      <c r="B518" t="s">
        <v>17</v>
      </c>
      <c r="C518">
        <v>3098</v>
      </c>
      <c r="D518">
        <v>49.57</v>
      </c>
      <c r="E518">
        <v>8.92</v>
      </c>
      <c r="F518">
        <f>COUNTIFS(mdr_rate_cleaned!$A$2:$A$10,B518,mdr_rate_cleaned!$B$2:$B$10,"&lt;"&amp;C518,mdr_rate_cleaned!$F$2:$F$10,"&gt;="&amp;C518)</f>
        <v>1</v>
      </c>
      <c r="G518">
        <v>1.6E-2</v>
      </c>
      <c r="H518">
        <v>49.57</v>
      </c>
      <c r="I518" t="s">
        <v>15</v>
      </c>
      <c r="J518" t="s">
        <v>15</v>
      </c>
      <c r="K518">
        <v>8.92</v>
      </c>
      <c r="L518">
        <v>0</v>
      </c>
    </row>
    <row r="519" spans="1:12" x14ac:dyDescent="0.3">
      <c r="A519" t="s">
        <v>535</v>
      </c>
      <c r="B519" t="s">
        <v>21</v>
      </c>
      <c r="C519">
        <v>3499</v>
      </c>
      <c r="D519">
        <v>10.5</v>
      </c>
      <c r="E519">
        <v>1.89</v>
      </c>
      <c r="F519">
        <f>COUNTIFS(mdr_rate_cleaned!$A$2:$A$10,B519,mdr_rate_cleaned!$B$2:$B$10,"&lt;"&amp;C519,mdr_rate_cleaned!$F$2:$F$10,"&gt;="&amp;C519)</f>
        <v>1</v>
      </c>
      <c r="G519">
        <v>3.0000000000000001E-3</v>
      </c>
      <c r="H519">
        <v>10.5</v>
      </c>
      <c r="I519" t="s">
        <v>15</v>
      </c>
      <c r="J519" t="s">
        <v>15</v>
      </c>
      <c r="K519">
        <v>1.89</v>
      </c>
      <c r="L519">
        <v>0</v>
      </c>
    </row>
    <row r="520" spans="1:12" x14ac:dyDescent="0.3">
      <c r="A520" t="s">
        <v>536</v>
      </c>
      <c r="B520" t="s">
        <v>13</v>
      </c>
      <c r="C520">
        <v>1098</v>
      </c>
      <c r="D520">
        <v>20.86</v>
      </c>
      <c r="E520">
        <v>3.75</v>
      </c>
      <c r="F520">
        <f>COUNTIFS(mdr_rate_cleaned!$A$2:$A$10,B520,mdr_rate_cleaned!$B$2:$B$10,"&lt;"&amp;C520,mdr_rate_cleaned!$F$2:$F$10,"&gt;="&amp;C520)</f>
        <v>1</v>
      </c>
      <c r="G520">
        <v>1.9E-2</v>
      </c>
      <c r="H520">
        <v>20.86</v>
      </c>
      <c r="I520" t="s">
        <v>15</v>
      </c>
      <c r="J520" t="s">
        <v>15</v>
      </c>
      <c r="K520">
        <v>3.75</v>
      </c>
      <c r="L520">
        <v>0</v>
      </c>
    </row>
    <row r="521" spans="1:12" x14ac:dyDescent="0.3">
      <c r="A521" t="s">
        <v>537</v>
      </c>
      <c r="B521" t="s">
        <v>21</v>
      </c>
      <c r="C521">
        <v>10297</v>
      </c>
      <c r="D521">
        <v>30.89</v>
      </c>
      <c r="E521">
        <v>5.56</v>
      </c>
      <c r="F521">
        <f>COUNTIFS(mdr_rate_cleaned!$A$2:$A$10,B521,mdr_rate_cleaned!$B$2:$B$10,"&lt;"&amp;C521,mdr_rate_cleaned!$F$2:$F$10,"&gt;="&amp;C521)</f>
        <v>1</v>
      </c>
      <c r="G521">
        <v>3.0000000000000001E-3</v>
      </c>
      <c r="H521">
        <v>30.89</v>
      </c>
      <c r="I521" t="s">
        <v>15</v>
      </c>
      <c r="J521" t="s">
        <v>15</v>
      </c>
      <c r="K521">
        <v>5.56</v>
      </c>
      <c r="L521">
        <v>0</v>
      </c>
    </row>
    <row r="522" spans="1:12" x14ac:dyDescent="0.3">
      <c r="A522" t="s">
        <v>538</v>
      </c>
      <c r="B522" t="s">
        <v>21</v>
      </c>
      <c r="C522">
        <v>2499</v>
      </c>
      <c r="D522">
        <v>7.5</v>
      </c>
      <c r="E522">
        <v>1.35</v>
      </c>
      <c r="F522">
        <f>COUNTIFS(mdr_rate_cleaned!$A$2:$A$10,B522,mdr_rate_cleaned!$B$2:$B$10,"&lt;"&amp;C522,mdr_rate_cleaned!$F$2:$F$10,"&gt;="&amp;C522)</f>
        <v>1</v>
      </c>
      <c r="G522">
        <v>3.0000000000000001E-3</v>
      </c>
      <c r="H522">
        <v>7.5</v>
      </c>
      <c r="I522" t="s">
        <v>15</v>
      </c>
      <c r="J522" t="s">
        <v>15</v>
      </c>
      <c r="K522">
        <v>1.35</v>
      </c>
      <c r="L522">
        <v>0</v>
      </c>
    </row>
    <row r="523" spans="1:12" x14ac:dyDescent="0.3">
      <c r="A523" t="s">
        <v>539</v>
      </c>
      <c r="B523" t="s">
        <v>21</v>
      </c>
      <c r="C523">
        <v>5998</v>
      </c>
      <c r="D523">
        <v>17.989999999999998</v>
      </c>
      <c r="E523">
        <v>3.24</v>
      </c>
      <c r="F523">
        <f>COUNTIFS(mdr_rate_cleaned!$A$2:$A$10,B523,mdr_rate_cleaned!$B$2:$B$10,"&lt;"&amp;C523,mdr_rate_cleaned!$F$2:$F$10,"&gt;="&amp;C523)</f>
        <v>1</v>
      </c>
      <c r="G523">
        <v>3.0000000000000001E-3</v>
      </c>
      <c r="H523">
        <v>17.989999999999998</v>
      </c>
      <c r="I523" t="s">
        <v>15</v>
      </c>
      <c r="J523" t="s">
        <v>15</v>
      </c>
      <c r="K523">
        <v>3.24</v>
      </c>
      <c r="L523">
        <v>0</v>
      </c>
    </row>
    <row r="524" spans="1:12" x14ac:dyDescent="0.3">
      <c r="A524" t="s">
        <v>540</v>
      </c>
      <c r="B524" t="s">
        <v>17</v>
      </c>
      <c r="C524">
        <v>1299</v>
      </c>
      <c r="D524">
        <v>23.38</v>
      </c>
      <c r="E524">
        <v>4.21</v>
      </c>
      <c r="F524">
        <f>COUNTIFS(mdr_rate_cleaned!$A$2:$A$10,B524,mdr_rate_cleaned!$B$2:$B$10,"&lt;"&amp;C524,mdr_rate_cleaned!$F$2:$F$10,"&gt;="&amp;C524)</f>
        <v>1</v>
      </c>
      <c r="G524">
        <v>1.7999999999999999E-2</v>
      </c>
      <c r="H524">
        <v>23.38</v>
      </c>
      <c r="I524" t="s">
        <v>15</v>
      </c>
      <c r="J524" t="s">
        <v>15</v>
      </c>
      <c r="K524">
        <v>4.21</v>
      </c>
      <c r="L524">
        <v>0</v>
      </c>
    </row>
    <row r="525" spans="1:12" x14ac:dyDescent="0.3">
      <c r="A525" t="s">
        <v>541</v>
      </c>
      <c r="B525" t="s">
        <v>21</v>
      </c>
      <c r="C525">
        <v>3499</v>
      </c>
      <c r="D525">
        <v>10.5</v>
      </c>
      <c r="E525">
        <v>1.89</v>
      </c>
      <c r="F525">
        <f>COUNTIFS(mdr_rate_cleaned!$A$2:$A$10,B525,mdr_rate_cleaned!$B$2:$B$10,"&lt;"&amp;C525,mdr_rate_cleaned!$F$2:$F$10,"&gt;="&amp;C525)</f>
        <v>1</v>
      </c>
      <c r="G525">
        <v>3.0000000000000001E-3</v>
      </c>
      <c r="H525">
        <v>10.5</v>
      </c>
      <c r="I525" t="s">
        <v>15</v>
      </c>
      <c r="J525" t="s">
        <v>15</v>
      </c>
      <c r="K525">
        <v>1.89</v>
      </c>
      <c r="L525">
        <v>0</v>
      </c>
    </row>
    <row r="526" spans="1:12" x14ac:dyDescent="0.3">
      <c r="A526" t="s">
        <v>542</v>
      </c>
      <c r="B526" t="s">
        <v>21</v>
      </c>
      <c r="C526">
        <v>1499</v>
      </c>
      <c r="D526">
        <v>0</v>
      </c>
      <c r="E526">
        <v>0</v>
      </c>
      <c r="F526">
        <f>COUNTIFS(mdr_rate_cleaned!$A$2:$A$10,B526,mdr_rate_cleaned!$B$2:$B$10,"&lt;"&amp;C526,mdr_rate_cleaned!$F$2:$F$10,"&gt;="&amp;C526)</f>
        <v>1</v>
      </c>
      <c r="G526">
        <v>0</v>
      </c>
      <c r="H526">
        <v>0</v>
      </c>
      <c r="I526" t="s">
        <v>15</v>
      </c>
      <c r="J526" t="s">
        <v>15</v>
      </c>
      <c r="K526">
        <v>0</v>
      </c>
      <c r="L526">
        <v>0</v>
      </c>
    </row>
    <row r="527" spans="1:12" x14ac:dyDescent="0.3">
      <c r="A527" t="s">
        <v>543</v>
      </c>
      <c r="B527" t="s">
        <v>21</v>
      </c>
      <c r="C527">
        <v>3100</v>
      </c>
      <c r="D527">
        <v>9.3000000000000007</v>
      </c>
      <c r="E527">
        <v>1.67</v>
      </c>
      <c r="F527">
        <f>COUNTIFS(mdr_rate_cleaned!$A$2:$A$10,B527,mdr_rate_cleaned!$B$2:$B$10,"&lt;"&amp;C527,mdr_rate_cleaned!$F$2:$F$10,"&gt;="&amp;C527)</f>
        <v>1</v>
      </c>
      <c r="G527">
        <v>3.0000000000000001E-3</v>
      </c>
      <c r="H527">
        <v>9.3000000000000007</v>
      </c>
      <c r="I527" t="s">
        <v>15</v>
      </c>
      <c r="J527" t="s">
        <v>15</v>
      </c>
      <c r="K527">
        <v>1.67</v>
      </c>
      <c r="L527">
        <v>0</v>
      </c>
    </row>
    <row r="528" spans="1:12" x14ac:dyDescent="0.3">
      <c r="A528" t="s">
        <v>544</v>
      </c>
      <c r="B528" t="s">
        <v>17</v>
      </c>
      <c r="C528">
        <v>5998</v>
      </c>
      <c r="D528">
        <v>95.97</v>
      </c>
      <c r="E528">
        <v>17.27</v>
      </c>
      <c r="F528">
        <f>COUNTIFS(mdr_rate_cleaned!$A$2:$A$10,B528,mdr_rate_cleaned!$B$2:$B$10,"&lt;"&amp;C528,mdr_rate_cleaned!$F$2:$F$10,"&gt;="&amp;C528)</f>
        <v>1</v>
      </c>
      <c r="G528">
        <v>1.6E-2</v>
      </c>
      <c r="H528">
        <v>95.97</v>
      </c>
      <c r="I528" t="s">
        <v>15</v>
      </c>
      <c r="J528" t="s">
        <v>15</v>
      </c>
      <c r="K528">
        <v>17.27</v>
      </c>
      <c r="L528">
        <v>0</v>
      </c>
    </row>
    <row r="529" spans="1:12" x14ac:dyDescent="0.3">
      <c r="A529" t="s">
        <v>545</v>
      </c>
      <c r="B529" t="s">
        <v>17</v>
      </c>
      <c r="C529">
        <v>4498</v>
      </c>
      <c r="D529">
        <v>71.97</v>
      </c>
      <c r="E529">
        <v>12.95</v>
      </c>
      <c r="F529">
        <f>COUNTIFS(mdr_rate_cleaned!$A$2:$A$10,B529,mdr_rate_cleaned!$B$2:$B$10,"&lt;"&amp;C529,mdr_rate_cleaned!$F$2:$F$10,"&gt;="&amp;C529)</f>
        <v>1</v>
      </c>
      <c r="G529">
        <v>1.6E-2</v>
      </c>
      <c r="H529">
        <v>71.97</v>
      </c>
      <c r="I529" t="s">
        <v>15</v>
      </c>
      <c r="J529" t="s">
        <v>15</v>
      </c>
      <c r="K529">
        <v>12.95</v>
      </c>
      <c r="L529">
        <v>0</v>
      </c>
    </row>
    <row r="530" spans="1:12" x14ac:dyDescent="0.3">
      <c r="A530" t="s">
        <v>546</v>
      </c>
      <c r="B530" t="s">
        <v>13</v>
      </c>
      <c r="C530">
        <v>6597</v>
      </c>
      <c r="D530">
        <v>112.15</v>
      </c>
      <c r="E530">
        <v>20.190000000000001</v>
      </c>
      <c r="F530">
        <f>COUNTIFS(mdr_rate_cleaned!$A$2:$A$10,B530,mdr_rate_cleaned!$B$2:$B$10,"&lt;"&amp;C530,mdr_rate_cleaned!$F$2:$F$10,"&gt;="&amp;C530)</f>
        <v>1</v>
      </c>
      <c r="G530">
        <v>1.7000000000000001E-2</v>
      </c>
      <c r="H530">
        <v>112.15</v>
      </c>
      <c r="I530" t="s">
        <v>15</v>
      </c>
      <c r="J530" t="s">
        <v>15</v>
      </c>
      <c r="K530">
        <v>20.190000000000001</v>
      </c>
      <c r="L530">
        <v>0</v>
      </c>
    </row>
    <row r="531" spans="1:12" x14ac:dyDescent="0.3">
      <c r="A531" t="s">
        <v>547</v>
      </c>
      <c r="B531" t="s">
        <v>17</v>
      </c>
      <c r="C531">
        <v>2499</v>
      </c>
      <c r="D531">
        <v>39.979999999999997</v>
      </c>
      <c r="E531">
        <v>7.2</v>
      </c>
      <c r="F531">
        <f>COUNTIFS(mdr_rate_cleaned!$A$2:$A$10,B531,mdr_rate_cleaned!$B$2:$B$10,"&lt;"&amp;C531,mdr_rate_cleaned!$F$2:$F$10,"&gt;="&amp;C531)</f>
        <v>1</v>
      </c>
      <c r="G531">
        <v>1.6E-2</v>
      </c>
      <c r="H531">
        <v>39.979999999999997</v>
      </c>
      <c r="I531" t="s">
        <v>15</v>
      </c>
      <c r="J531" t="s">
        <v>15</v>
      </c>
      <c r="K531">
        <v>7.2</v>
      </c>
      <c r="L531">
        <v>0</v>
      </c>
    </row>
    <row r="532" spans="1:12" x14ac:dyDescent="0.3">
      <c r="A532" t="s">
        <v>548</v>
      </c>
      <c r="B532" t="s">
        <v>17</v>
      </c>
      <c r="C532">
        <v>499</v>
      </c>
      <c r="D532">
        <v>8.98</v>
      </c>
      <c r="E532">
        <v>1.62</v>
      </c>
      <c r="F532">
        <f>COUNTIFS(mdr_rate_cleaned!$A$2:$A$10,B532,mdr_rate_cleaned!$B$2:$B$10,"&lt;"&amp;C532,mdr_rate_cleaned!$F$2:$F$10,"&gt;="&amp;C532)</f>
        <v>1</v>
      </c>
      <c r="G532">
        <v>1.7999999999999999E-2</v>
      </c>
      <c r="H532">
        <v>8.98</v>
      </c>
      <c r="I532" t="s">
        <v>15</v>
      </c>
      <c r="J532" t="s">
        <v>15</v>
      </c>
      <c r="K532">
        <v>1.62</v>
      </c>
      <c r="L532">
        <v>0</v>
      </c>
    </row>
    <row r="533" spans="1:12" x14ac:dyDescent="0.3">
      <c r="A533" t="s">
        <v>549</v>
      </c>
      <c r="B533" t="s">
        <v>21</v>
      </c>
      <c r="C533">
        <v>6097</v>
      </c>
      <c r="D533">
        <v>18.29</v>
      </c>
      <c r="E533">
        <v>3.29</v>
      </c>
      <c r="F533">
        <f>COUNTIFS(mdr_rate_cleaned!$A$2:$A$10,B533,mdr_rate_cleaned!$B$2:$B$10,"&lt;"&amp;C533,mdr_rate_cleaned!$F$2:$F$10,"&gt;="&amp;C533)</f>
        <v>1</v>
      </c>
      <c r="G533">
        <v>3.0000000000000001E-3</v>
      </c>
      <c r="H533">
        <v>18.29</v>
      </c>
      <c r="I533" t="s">
        <v>15</v>
      </c>
      <c r="J533" t="s">
        <v>15</v>
      </c>
      <c r="K533">
        <v>3.29</v>
      </c>
      <c r="L533">
        <v>0</v>
      </c>
    </row>
    <row r="534" spans="1:12" x14ac:dyDescent="0.3">
      <c r="A534" t="s">
        <v>550</v>
      </c>
      <c r="B534" t="s">
        <v>39</v>
      </c>
      <c r="C534">
        <v>349</v>
      </c>
      <c r="D534">
        <v>5.24</v>
      </c>
      <c r="E534">
        <v>0.94</v>
      </c>
      <c r="F534">
        <f>COUNTIFS(mdr_rate_cleaned!$A$2:$A$10,B534,mdr_rate_cleaned!$B$2:$B$10,"&lt;"&amp;C534,mdr_rate_cleaned!$F$2:$F$10,"&gt;="&amp;C534)</f>
        <v>1</v>
      </c>
      <c r="G534">
        <v>1.4999999999999999E-2</v>
      </c>
      <c r="H534">
        <v>5.24</v>
      </c>
      <c r="I534" t="s">
        <v>15</v>
      </c>
      <c r="J534" t="s">
        <v>15</v>
      </c>
      <c r="K534">
        <v>0.94</v>
      </c>
      <c r="L534">
        <v>0</v>
      </c>
    </row>
    <row r="535" spans="1:12" x14ac:dyDescent="0.3">
      <c r="A535" t="s">
        <v>551</v>
      </c>
      <c r="B535" t="s">
        <v>39</v>
      </c>
      <c r="C535">
        <v>1299</v>
      </c>
      <c r="D535">
        <v>19.489999999999998</v>
      </c>
      <c r="E535">
        <v>3.51</v>
      </c>
      <c r="F535">
        <f>COUNTIFS(mdr_rate_cleaned!$A$2:$A$10,B535,mdr_rate_cleaned!$B$2:$B$10,"&lt;"&amp;C535,mdr_rate_cleaned!$F$2:$F$10,"&gt;="&amp;C535)</f>
        <v>1</v>
      </c>
      <c r="G535">
        <v>1.4999999999999999E-2</v>
      </c>
      <c r="H535">
        <v>19.489999999999998</v>
      </c>
      <c r="I535" t="s">
        <v>15</v>
      </c>
      <c r="J535" t="s">
        <v>15</v>
      </c>
      <c r="K535">
        <v>3.51</v>
      </c>
      <c r="L535">
        <v>0</v>
      </c>
    </row>
    <row r="536" spans="1:12" x14ac:dyDescent="0.3">
      <c r="A536" t="s">
        <v>552</v>
      </c>
      <c r="B536" t="s">
        <v>21</v>
      </c>
      <c r="C536">
        <v>1598</v>
      </c>
      <c r="D536">
        <v>0</v>
      </c>
      <c r="E536">
        <v>0</v>
      </c>
      <c r="F536">
        <f>COUNTIFS(mdr_rate_cleaned!$A$2:$A$10,B536,mdr_rate_cleaned!$B$2:$B$10,"&lt;"&amp;C536,mdr_rate_cleaned!$F$2:$F$10,"&gt;="&amp;C536)</f>
        <v>1</v>
      </c>
      <c r="G536">
        <v>0</v>
      </c>
      <c r="H536">
        <v>0</v>
      </c>
      <c r="I536" t="s">
        <v>15</v>
      </c>
      <c r="J536" t="s">
        <v>15</v>
      </c>
      <c r="K536">
        <v>0</v>
      </c>
      <c r="L536">
        <v>0</v>
      </c>
    </row>
    <row r="537" spans="1:12" x14ac:dyDescent="0.3">
      <c r="A537" t="s">
        <v>553</v>
      </c>
      <c r="B537" t="s">
        <v>39</v>
      </c>
      <c r="C537">
        <v>2999</v>
      </c>
      <c r="D537">
        <v>35.99</v>
      </c>
      <c r="E537">
        <v>6.48</v>
      </c>
      <c r="F537">
        <f>COUNTIFS(mdr_rate_cleaned!$A$2:$A$10,B537,mdr_rate_cleaned!$B$2:$B$10,"&lt;"&amp;C537,mdr_rate_cleaned!$F$2:$F$10,"&gt;="&amp;C537)</f>
        <v>1</v>
      </c>
      <c r="G537">
        <v>1.2E-2</v>
      </c>
      <c r="H537">
        <v>35.99</v>
      </c>
      <c r="I537" t="s">
        <v>15</v>
      </c>
      <c r="J537" t="s">
        <v>15</v>
      </c>
      <c r="K537">
        <v>6.48</v>
      </c>
      <c r="L537">
        <v>0</v>
      </c>
    </row>
    <row r="538" spans="1:12" x14ac:dyDescent="0.3">
      <c r="A538" t="s">
        <v>554</v>
      </c>
      <c r="B538" t="s">
        <v>13</v>
      </c>
      <c r="C538">
        <v>599</v>
      </c>
      <c r="D538">
        <v>11.38</v>
      </c>
      <c r="E538">
        <v>2.0499999999999998</v>
      </c>
      <c r="F538">
        <f>COUNTIFS(mdr_rate_cleaned!$A$2:$A$10,B538,mdr_rate_cleaned!$B$2:$B$10,"&lt;"&amp;C538,mdr_rate_cleaned!$F$2:$F$10,"&gt;="&amp;C538)</f>
        <v>1</v>
      </c>
      <c r="G538">
        <v>1.9E-2</v>
      </c>
      <c r="H538">
        <v>11.38</v>
      </c>
      <c r="I538" t="s">
        <v>15</v>
      </c>
      <c r="J538" t="s">
        <v>15</v>
      </c>
      <c r="K538">
        <v>2.0499999999999998</v>
      </c>
      <c r="L538">
        <v>0</v>
      </c>
    </row>
    <row r="539" spans="1:12" x14ac:dyDescent="0.3">
      <c r="A539" t="s">
        <v>555</v>
      </c>
      <c r="B539" t="s">
        <v>21</v>
      </c>
      <c r="C539">
        <v>6897</v>
      </c>
      <c r="D539">
        <v>20.69</v>
      </c>
      <c r="E539">
        <v>3.72</v>
      </c>
      <c r="F539">
        <f>COUNTIFS(mdr_rate_cleaned!$A$2:$A$10,B539,mdr_rate_cleaned!$B$2:$B$10,"&lt;"&amp;C539,mdr_rate_cleaned!$F$2:$F$10,"&gt;="&amp;C539)</f>
        <v>1</v>
      </c>
      <c r="G539">
        <v>3.0000000000000001E-3</v>
      </c>
      <c r="H539">
        <v>20.69</v>
      </c>
      <c r="I539" t="s">
        <v>15</v>
      </c>
      <c r="J539" t="s">
        <v>15</v>
      </c>
      <c r="K539">
        <v>3.72</v>
      </c>
      <c r="L539">
        <v>0</v>
      </c>
    </row>
    <row r="540" spans="1:12" x14ac:dyDescent="0.3">
      <c r="A540" t="s">
        <v>556</v>
      </c>
      <c r="B540" t="s">
        <v>21</v>
      </c>
      <c r="C540">
        <v>2999</v>
      </c>
      <c r="D540">
        <v>9</v>
      </c>
      <c r="E540">
        <v>1.62</v>
      </c>
      <c r="F540">
        <f>COUNTIFS(mdr_rate_cleaned!$A$2:$A$10,B540,mdr_rate_cleaned!$B$2:$B$10,"&lt;"&amp;C540,mdr_rate_cleaned!$F$2:$F$10,"&gt;="&amp;C540)</f>
        <v>1</v>
      </c>
      <c r="G540">
        <v>3.0000000000000001E-3</v>
      </c>
      <c r="H540">
        <v>9</v>
      </c>
      <c r="I540" t="s">
        <v>15</v>
      </c>
      <c r="J540" t="s">
        <v>15</v>
      </c>
      <c r="K540">
        <v>1.62</v>
      </c>
      <c r="L540">
        <v>0</v>
      </c>
    </row>
    <row r="541" spans="1:12" x14ac:dyDescent="0.3">
      <c r="A541" t="s">
        <v>557</v>
      </c>
      <c r="B541" t="s">
        <v>21</v>
      </c>
      <c r="C541">
        <v>5598</v>
      </c>
      <c r="D541">
        <v>16.79</v>
      </c>
      <c r="E541">
        <v>3.02</v>
      </c>
      <c r="F541">
        <f>COUNTIFS(mdr_rate_cleaned!$A$2:$A$10,B541,mdr_rate_cleaned!$B$2:$B$10,"&lt;"&amp;C541,mdr_rate_cleaned!$F$2:$F$10,"&gt;="&amp;C541)</f>
        <v>1</v>
      </c>
      <c r="G541">
        <v>3.0000000000000001E-3</v>
      </c>
      <c r="H541">
        <v>16.79</v>
      </c>
      <c r="I541" t="s">
        <v>15</v>
      </c>
      <c r="J541" t="s">
        <v>15</v>
      </c>
      <c r="K541">
        <v>3.02</v>
      </c>
      <c r="L541">
        <v>0</v>
      </c>
    </row>
    <row r="542" spans="1:12" x14ac:dyDescent="0.3">
      <c r="A542" t="s">
        <v>558</v>
      </c>
      <c r="B542" t="s">
        <v>21</v>
      </c>
      <c r="C542">
        <v>2499</v>
      </c>
      <c r="D542">
        <v>7.5</v>
      </c>
      <c r="E542">
        <v>1.35</v>
      </c>
      <c r="F542">
        <f>COUNTIFS(mdr_rate_cleaned!$A$2:$A$10,B542,mdr_rate_cleaned!$B$2:$B$10,"&lt;"&amp;C542,mdr_rate_cleaned!$F$2:$F$10,"&gt;="&amp;C542)</f>
        <v>1</v>
      </c>
      <c r="G542">
        <v>3.0000000000000001E-3</v>
      </c>
      <c r="H542">
        <v>7.5</v>
      </c>
      <c r="I542" t="s">
        <v>15</v>
      </c>
      <c r="J542" t="s">
        <v>15</v>
      </c>
      <c r="K542">
        <v>1.35</v>
      </c>
      <c r="L542">
        <v>0</v>
      </c>
    </row>
    <row r="543" spans="1:12" x14ac:dyDescent="0.3">
      <c r="A543" t="s">
        <v>559</v>
      </c>
      <c r="B543" t="s">
        <v>21</v>
      </c>
      <c r="C543">
        <v>1499</v>
      </c>
      <c r="D543">
        <v>0</v>
      </c>
      <c r="E543">
        <v>0</v>
      </c>
      <c r="F543">
        <f>COUNTIFS(mdr_rate_cleaned!$A$2:$A$10,B543,mdr_rate_cleaned!$B$2:$B$10,"&lt;"&amp;C543,mdr_rate_cleaned!$F$2:$F$10,"&gt;="&amp;C543)</f>
        <v>1</v>
      </c>
      <c r="G543">
        <v>0</v>
      </c>
      <c r="H543">
        <v>0</v>
      </c>
      <c r="I543" t="s">
        <v>15</v>
      </c>
      <c r="J543" t="s">
        <v>15</v>
      </c>
      <c r="K543">
        <v>0</v>
      </c>
      <c r="L543">
        <v>0</v>
      </c>
    </row>
    <row r="544" spans="1:12" x14ac:dyDescent="0.3">
      <c r="A544" t="s">
        <v>560</v>
      </c>
      <c r="B544" t="s">
        <v>17</v>
      </c>
      <c r="C544">
        <v>6097</v>
      </c>
      <c r="D544">
        <v>97.55</v>
      </c>
      <c r="E544">
        <v>17.559999999999999</v>
      </c>
      <c r="F544">
        <f>COUNTIFS(mdr_rate_cleaned!$A$2:$A$10,B544,mdr_rate_cleaned!$B$2:$B$10,"&lt;"&amp;C544,mdr_rate_cleaned!$F$2:$F$10,"&gt;="&amp;C544)</f>
        <v>1</v>
      </c>
      <c r="G544">
        <v>1.6E-2</v>
      </c>
      <c r="H544">
        <v>97.55</v>
      </c>
      <c r="I544" t="s">
        <v>15</v>
      </c>
      <c r="J544" t="s">
        <v>15</v>
      </c>
      <c r="K544">
        <v>17.559999999999999</v>
      </c>
      <c r="L544">
        <v>0</v>
      </c>
    </row>
    <row r="545" spans="1:12" x14ac:dyDescent="0.3">
      <c r="A545" t="s">
        <v>561</v>
      </c>
      <c r="B545" t="s">
        <v>17</v>
      </c>
      <c r="C545">
        <v>6997</v>
      </c>
      <c r="D545">
        <v>111.95</v>
      </c>
      <c r="E545">
        <v>20.149999999999999</v>
      </c>
      <c r="F545">
        <f>COUNTIFS(mdr_rate_cleaned!$A$2:$A$10,B545,mdr_rate_cleaned!$B$2:$B$10,"&lt;"&amp;C545,mdr_rate_cleaned!$F$2:$F$10,"&gt;="&amp;C545)</f>
        <v>1</v>
      </c>
      <c r="G545">
        <v>1.6E-2</v>
      </c>
      <c r="H545">
        <v>111.95</v>
      </c>
      <c r="I545" t="s">
        <v>15</v>
      </c>
      <c r="J545" t="s">
        <v>15</v>
      </c>
      <c r="K545">
        <v>20.149999999999999</v>
      </c>
      <c r="L545">
        <v>0</v>
      </c>
    </row>
    <row r="546" spans="1:12" x14ac:dyDescent="0.3">
      <c r="A546" t="s">
        <v>562</v>
      </c>
      <c r="B546" t="s">
        <v>17</v>
      </c>
      <c r="C546">
        <v>599</v>
      </c>
      <c r="D546">
        <v>10.78</v>
      </c>
      <c r="E546">
        <v>1.94</v>
      </c>
      <c r="F546">
        <f>COUNTIFS(mdr_rate_cleaned!$A$2:$A$10,B546,mdr_rate_cleaned!$B$2:$B$10,"&lt;"&amp;C546,mdr_rate_cleaned!$F$2:$F$10,"&gt;="&amp;C546)</f>
        <v>1</v>
      </c>
      <c r="G546">
        <v>1.7999999999999999E-2</v>
      </c>
      <c r="H546">
        <v>10.78</v>
      </c>
      <c r="I546" t="s">
        <v>15</v>
      </c>
      <c r="J546" t="s">
        <v>15</v>
      </c>
      <c r="K546">
        <v>1.94</v>
      </c>
      <c r="L546">
        <v>0</v>
      </c>
    </row>
    <row r="547" spans="1:12" x14ac:dyDescent="0.3">
      <c r="A547" t="s">
        <v>563</v>
      </c>
      <c r="B547" t="s">
        <v>21</v>
      </c>
      <c r="C547">
        <v>3998</v>
      </c>
      <c r="D547">
        <v>11.99</v>
      </c>
      <c r="E547">
        <v>2.16</v>
      </c>
      <c r="F547">
        <f>COUNTIFS(mdr_rate_cleaned!$A$2:$A$10,B547,mdr_rate_cleaned!$B$2:$B$10,"&lt;"&amp;C547,mdr_rate_cleaned!$F$2:$F$10,"&gt;="&amp;C547)</f>
        <v>1</v>
      </c>
      <c r="G547">
        <v>3.0000000000000001E-3</v>
      </c>
      <c r="H547">
        <v>11.99</v>
      </c>
      <c r="I547" t="s">
        <v>15</v>
      </c>
      <c r="J547" t="s">
        <v>15</v>
      </c>
      <c r="K547">
        <v>2.16</v>
      </c>
      <c r="L547">
        <v>0</v>
      </c>
    </row>
    <row r="548" spans="1:12" x14ac:dyDescent="0.3">
      <c r="A548" t="s">
        <v>564</v>
      </c>
      <c r="B548" t="s">
        <v>17</v>
      </c>
      <c r="C548">
        <v>349</v>
      </c>
      <c r="D548">
        <v>6.28</v>
      </c>
      <c r="E548">
        <v>1.1299999999999999</v>
      </c>
      <c r="F548">
        <f>COUNTIFS(mdr_rate_cleaned!$A$2:$A$10,B548,mdr_rate_cleaned!$B$2:$B$10,"&lt;"&amp;C548,mdr_rate_cleaned!$F$2:$F$10,"&gt;="&amp;C548)</f>
        <v>1</v>
      </c>
      <c r="G548">
        <v>1.7999999999999999E-2</v>
      </c>
      <c r="H548">
        <v>6.28</v>
      </c>
      <c r="I548" t="s">
        <v>15</v>
      </c>
      <c r="J548" t="s">
        <v>15</v>
      </c>
      <c r="K548">
        <v>1.1299999999999999</v>
      </c>
      <c r="L548">
        <v>0</v>
      </c>
    </row>
    <row r="549" spans="1:12" x14ac:dyDescent="0.3">
      <c r="A549" t="s">
        <v>565</v>
      </c>
      <c r="B549" t="s">
        <v>21</v>
      </c>
      <c r="C549">
        <v>2597</v>
      </c>
      <c r="D549">
        <v>7.79</v>
      </c>
      <c r="E549">
        <v>1.4</v>
      </c>
      <c r="F549">
        <f>COUNTIFS(mdr_rate_cleaned!$A$2:$A$10,B549,mdr_rate_cleaned!$B$2:$B$10,"&lt;"&amp;C549,mdr_rate_cleaned!$F$2:$F$10,"&gt;="&amp;C549)</f>
        <v>1</v>
      </c>
      <c r="G549">
        <v>3.0000000000000001E-3</v>
      </c>
      <c r="H549">
        <v>7.79</v>
      </c>
      <c r="I549" t="s">
        <v>15</v>
      </c>
      <c r="J549" t="s">
        <v>15</v>
      </c>
      <c r="K549">
        <v>1.4</v>
      </c>
      <c r="L549">
        <v>0</v>
      </c>
    </row>
    <row r="550" spans="1:12" x14ac:dyDescent="0.3">
      <c r="A550" t="s">
        <v>566</v>
      </c>
      <c r="B550" t="s">
        <v>17</v>
      </c>
      <c r="C550">
        <v>999</v>
      </c>
      <c r="D550">
        <v>17.98</v>
      </c>
      <c r="E550">
        <v>3.24</v>
      </c>
      <c r="F550">
        <f>COUNTIFS(mdr_rate_cleaned!$A$2:$A$10,B550,mdr_rate_cleaned!$B$2:$B$10,"&lt;"&amp;C550,mdr_rate_cleaned!$F$2:$F$10,"&gt;="&amp;C550)</f>
        <v>1</v>
      </c>
      <c r="G550">
        <v>1.7999999999999999E-2</v>
      </c>
      <c r="H550">
        <v>17.98</v>
      </c>
      <c r="I550" t="s">
        <v>15</v>
      </c>
      <c r="J550" t="s">
        <v>15</v>
      </c>
      <c r="K550">
        <v>3.24</v>
      </c>
      <c r="L550">
        <v>0</v>
      </c>
    </row>
    <row r="551" spans="1:12" x14ac:dyDescent="0.3">
      <c r="A551" t="s">
        <v>567</v>
      </c>
      <c r="B551" t="s">
        <v>21</v>
      </c>
      <c r="C551">
        <v>349</v>
      </c>
      <c r="D551">
        <v>0</v>
      </c>
      <c r="E551">
        <v>0</v>
      </c>
      <c r="F551">
        <f>COUNTIFS(mdr_rate_cleaned!$A$2:$A$10,B551,mdr_rate_cleaned!$B$2:$B$10,"&lt;"&amp;C551,mdr_rate_cleaned!$F$2:$F$10,"&gt;="&amp;C551)</f>
        <v>1</v>
      </c>
      <c r="G551">
        <v>0</v>
      </c>
      <c r="H551">
        <v>0</v>
      </c>
      <c r="I551" t="s">
        <v>15</v>
      </c>
      <c r="J551" t="s">
        <v>15</v>
      </c>
      <c r="K551">
        <v>0</v>
      </c>
      <c r="L551">
        <v>0</v>
      </c>
    </row>
    <row r="552" spans="1:12" x14ac:dyDescent="0.3">
      <c r="A552" t="s">
        <v>568</v>
      </c>
      <c r="B552" t="s">
        <v>13</v>
      </c>
      <c r="C552">
        <v>1499</v>
      </c>
      <c r="D552">
        <v>28.48</v>
      </c>
      <c r="E552">
        <v>5.13</v>
      </c>
      <c r="F552">
        <f>COUNTIFS(mdr_rate_cleaned!$A$2:$A$10,B552,mdr_rate_cleaned!$B$2:$B$10,"&lt;"&amp;C552,mdr_rate_cleaned!$F$2:$F$10,"&gt;="&amp;C552)</f>
        <v>1</v>
      </c>
      <c r="G552">
        <v>1.9E-2</v>
      </c>
      <c r="H552">
        <v>28.48</v>
      </c>
      <c r="I552" t="s">
        <v>15</v>
      </c>
      <c r="J552" t="s">
        <v>15</v>
      </c>
      <c r="K552">
        <v>5.13</v>
      </c>
      <c r="L552">
        <v>0</v>
      </c>
    </row>
    <row r="553" spans="1:12" x14ac:dyDescent="0.3">
      <c r="A553" t="s">
        <v>569</v>
      </c>
      <c r="B553" t="s">
        <v>21</v>
      </c>
      <c r="C553">
        <v>9297</v>
      </c>
      <c r="D553">
        <v>27.89</v>
      </c>
      <c r="E553">
        <v>5.0199999999999996</v>
      </c>
      <c r="F553">
        <f>COUNTIFS(mdr_rate_cleaned!$A$2:$A$10,B553,mdr_rate_cleaned!$B$2:$B$10,"&lt;"&amp;C553,mdr_rate_cleaned!$F$2:$F$10,"&gt;="&amp;C553)</f>
        <v>1</v>
      </c>
      <c r="G553">
        <v>3.0000000000000001E-3</v>
      </c>
      <c r="H553">
        <v>27.89</v>
      </c>
      <c r="I553" t="s">
        <v>15</v>
      </c>
      <c r="J553" t="s">
        <v>15</v>
      </c>
      <c r="K553">
        <v>5.0199999999999996</v>
      </c>
      <c r="L553">
        <v>0</v>
      </c>
    </row>
    <row r="554" spans="1:12" x14ac:dyDescent="0.3">
      <c r="A554" t="s">
        <v>570</v>
      </c>
      <c r="B554" t="s">
        <v>21</v>
      </c>
      <c r="C554">
        <v>2597</v>
      </c>
      <c r="D554">
        <v>7.79</v>
      </c>
      <c r="E554">
        <v>1.4</v>
      </c>
      <c r="F554">
        <f>COUNTIFS(mdr_rate_cleaned!$A$2:$A$10,B554,mdr_rate_cleaned!$B$2:$B$10,"&lt;"&amp;C554,mdr_rate_cleaned!$F$2:$F$10,"&gt;="&amp;C554)</f>
        <v>1</v>
      </c>
      <c r="G554">
        <v>3.0000000000000001E-3</v>
      </c>
      <c r="H554">
        <v>7.79</v>
      </c>
      <c r="I554" t="s">
        <v>15</v>
      </c>
      <c r="J554" t="s">
        <v>15</v>
      </c>
      <c r="K554">
        <v>1.4</v>
      </c>
      <c r="L554">
        <v>0</v>
      </c>
    </row>
    <row r="555" spans="1:12" x14ac:dyDescent="0.3">
      <c r="A555" t="s">
        <v>571</v>
      </c>
      <c r="B555" t="s">
        <v>39</v>
      </c>
      <c r="C555">
        <v>1598</v>
      </c>
      <c r="D555">
        <v>23.97</v>
      </c>
      <c r="E555">
        <v>4.3099999999999996</v>
      </c>
      <c r="F555">
        <f>COUNTIFS(mdr_rate_cleaned!$A$2:$A$10,B555,mdr_rate_cleaned!$B$2:$B$10,"&lt;"&amp;C555,mdr_rate_cleaned!$F$2:$F$10,"&gt;="&amp;C555)</f>
        <v>1</v>
      </c>
      <c r="G555">
        <v>1.4999999999999999E-2</v>
      </c>
      <c r="H555">
        <v>23.97</v>
      </c>
      <c r="I555" t="s">
        <v>15</v>
      </c>
      <c r="J555" t="s">
        <v>15</v>
      </c>
      <c r="K555">
        <v>4.3099999999999996</v>
      </c>
      <c r="L555">
        <v>0</v>
      </c>
    </row>
    <row r="556" spans="1:12" x14ac:dyDescent="0.3">
      <c r="A556" t="s">
        <v>572</v>
      </c>
      <c r="B556" t="s">
        <v>17</v>
      </c>
      <c r="C556">
        <v>299</v>
      </c>
      <c r="D556">
        <v>5.38</v>
      </c>
      <c r="E556">
        <v>0.97</v>
      </c>
      <c r="F556">
        <f>COUNTIFS(mdr_rate_cleaned!$A$2:$A$10,B556,mdr_rate_cleaned!$B$2:$B$10,"&lt;"&amp;C556,mdr_rate_cleaned!$F$2:$F$10,"&gt;="&amp;C556)</f>
        <v>1</v>
      </c>
      <c r="G556">
        <v>1.7999999999999999E-2</v>
      </c>
      <c r="H556">
        <v>5.38</v>
      </c>
      <c r="I556" t="s">
        <v>15</v>
      </c>
      <c r="J556" t="s">
        <v>15</v>
      </c>
      <c r="K556">
        <v>0.97</v>
      </c>
      <c r="L556">
        <v>0</v>
      </c>
    </row>
    <row r="557" spans="1:12" x14ac:dyDescent="0.3">
      <c r="A557" t="s">
        <v>573</v>
      </c>
      <c r="B557" t="s">
        <v>21</v>
      </c>
      <c r="C557">
        <v>299</v>
      </c>
      <c r="D557">
        <v>0</v>
      </c>
      <c r="E557">
        <v>0</v>
      </c>
      <c r="F557">
        <f>COUNTIFS(mdr_rate_cleaned!$A$2:$A$10,B557,mdr_rate_cleaned!$B$2:$B$10,"&lt;"&amp;C557,mdr_rate_cleaned!$F$2:$F$10,"&gt;="&amp;C557)</f>
        <v>1</v>
      </c>
      <c r="G557">
        <v>0</v>
      </c>
      <c r="H557">
        <v>0</v>
      </c>
      <c r="I557" t="s">
        <v>15</v>
      </c>
      <c r="J557" t="s">
        <v>15</v>
      </c>
      <c r="K557">
        <v>0</v>
      </c>
      <c r="L557">
        <v>0</v>
      </c>
    </row>
    <row r="558" spans="1:12" x14ac:dyDescent="0.3">
      <c r="A558" t="s">
        <v>574</v>
      </c>
      <c r="B558" t="s">
        <v>17</v>
      </c>
      <c r="C558">
        <v>349</v>
      </c>
      <c r="D558">
        <v>6.28</v>
      </c>
      <c r="E558">
        <v>1.1299999999999999</v>
      </c>
      <c r="F558">
        <f>COUNTIFS(mdr_rate_cleaned!$A$2:$A$10,B558,mdr_rate_cleaned!$B$2:$B$10,"&lt;"&amp;C558,mdr_rate_cleaned!$F$2:$F$10,"&gt;="&amp;C558)</f>
        <v>1</v>
      </c>
      <c r="G558">
        <v>1.7999999999999999E-2</v>
      </c>
      <c r="H558">
        <v>6.28</v>
      </c>
      <c r="I558" t="s">
        <v>15</v>
      </c>
      <c r="J558" t="s">
        <v>15</v>
      </c>
      <c r="K558">
        <v>1.1299999999999999</v>
      </c>
      <c r="L558">
        <v>0</v>
      </c>
    </row>
    <row r="559" spans="1:12" x14ac:dyDescent="0.3">
      <c r="A559" t="s">
        <v>575</v>
      </c>
      <c r="B559" t="s">
        <v>17</v>
      </c>
      <c r="C559">
        <v>999</v>
      </c>
      <c r="D559">
        <v>17.98</v>
      </c>
      <c r="E559">
        <v>3.24</v>
      </c>
      <c r="F559">
        <f>COUNTIFS(mdr_rate_cleaned!$A$2:$A$10,B559,mdr_rate_cleaned!$B$2:$B$10,"&lt;"&amp;C559,mdr_rate_cleaned!$F$2:$F$10,"&gt;="&amp;C559)</f>
        <v>1</v>
      </c>
      <c r="G559">
        <v>1.7999999999999999E-2</v>
      </c>
      <c r="H559">
        <v>17.98</v>
      </c>
      <c r="I559" t="s">
        <v>15</v>
      </c>
      <c r="J559" t="s">
        <v>15</v>
      </c>
      <c r="K559">
        <v>3.24</v>
      </c>
      <c r="L559">
        <v>0</v>
      </c>
    </row>
    <row r="560" spans="1:12" x14ac:dyDescent="0.3">
      <c r="A560" t="s">
        <v>576</v>
      </c>
      <c r="B560" t="s">
        <v>21</v>
      </c>
      <c r="C560">
        <v>1798</v>
      </c>
      <c r="D560">
        <v>0</v>
      </c>
      <c r="E560">
        <v>0</v>
      </c>
      <c r="F560">
        <f>COUNTIFS(mdr_rate_cleaned!$A$2:$A$10,B560,mdr_rate_cleaned!$B$2:$B$10,"&lt;"&amp;C560,mdr_rate_cleaned!$F$2:$F$10,"&gt;="&amp;C560)</f>
        <v>1</v>
      </c>
      <c r="G560">
        <v>0</v>
      </c>
      <c r="H560">
        <v>0</v>
      </c>
      <c r="I560" t="s">
        <v>15</v>
      </c>
      <c r="J560" t="s">
        <v>15</v>
      </c>
      <c r="K560">
        <v>0</v>
      </c>
      <c r="L560">
        <v>0</v>
      </c>
    </row>
    <row r="561" spans="1:12" x14ac:dyDescent="0.3">
      <c r="A561" t="s">
        <v>577</v>
      </c>
      <c r="B561" t="s">
        <v>21</v>
      </c>
      <c r="C561">
        <v>7297</v>
      </c>
      <c r="D561">
        <v>21.89</v>
      </c>
      <c r="E561">
        <v>3.94</v>
      </c>
      <c r="F561">
        <f>COUNTIFS(mdr_rate_cleaned!$A$2:$A$10,B561,mdr_rate_cleaned!$B$2:$B$10,"&lt;"&amp;C561,mdr_rate_cleaned!$F$2:$F$10,"&gt;="&amp;C561)</f>
        <v>1</v>
      </c>
      <c r="G561">
        <v>3.0000000000000001E-3</v>
      </c>
      <c r="H561">
        <v>21.89</v>
      </c>
      <c r="I561" t="s">
        <v>15</v>
      </c>
      <c r="J561" t="s">
        <v>15</v>
      </c>
      <c r="K561">
        <v>3.94</v>
      </c>
      <c r="L561">
        <v>0</v>
      </c>
    </row>
    <row r="562" spans="1:12" x14ac:dyDescent="0.3">
      <c r="A562" t="s">
        <v>578</v>
      </c>
      <c r="B562" t="s">
        <v>39</v>
      </c>
      <c r="C562">
        <v>499</v>
      </c>
      <c r="D562">
        <v>7.49</v>
      </c>
      <c r="E562">
        <v>1.35</v>
      </c>
      <c r="F562">
        <f>COUNTIFS(mdr_rate_cleaned!$A$2:$A$10,B562,mdr_rate_cleaned!$B$2:$B$10,"&lt;"&amp;C562,mdr_rate_cleaned!$F$2:$F$10,"&gt;="&amp;C562)</f>
        <v>1</v>
      </c>
      <c r="G562">
        <v>1.4999999999999999E-2</v>
      </c>
      <c r="H562">
        <v>7.49</v>
      </c>
      <c r="I562" t="s">
        <v>15</v>
      </c>
      <c r="J562" t="s">
        <v>15</v>
      </c>
      <c r="K562">
        <v>1.35</v>
      </c>
      <c r="L562">
        <v>0</v>
      </c>
    </row>
    <row r="563" spans="1:12" x14ac:dyDescent="0.3">
      <c r="A563" t="s">
        <v>579</v>
      </c>
      <c r="B563" t="s">
        <v>17</v>
      </c>
      <c r="C563">
        <v>499</v>
      </c>
      <c r="D563">
        <v>8.98</v>
      </c>
      <c r="E563">
        <v>1.62</v>
      </c>
      <c r="F563">
        <f>COUNTIFS(mdr_rate_cleaned!$A$2:$A$10,B563,mdr_rate_cleaned!$B$2:$B$10,"&lt;"&amp;C563,mdr_rate_cleaned!$F$2:$F$10,"&gt;="&amp;C563)</f>
        <v>1</v>
      </c>
      <c r="G563">
        <v>1.7999999999999999E-2</v>
      </c>
      <c r="H563">
        <v>8.98</v>
      </c>
      <c r="I563" t="s">
        <v>15</v>
      </c>
      <c r="J563" t="s">
        <v>15</v>
      </c>
      <c r="K563">
        <v>1.62</v>
      </c>
      <c r="L563">
        <v>0</v>
      </c>
    </row>
    <row r="564" spans="1:12" x14ac:dyDescent="0.3">
      <c r="A564" t="s">
        <v>580</v>
      </c>
      <c r="B564" t="s">
        <v>21</v>
      </c>
      <c r="C564">
        <v>599</v>
      </c>
      <c r="D564">
        <v>0</v>
      </c>
      <c r="E564">
        <v>0</v>
      </c>
      <c r="F564">
        <f>COUNTIFS(mdr_rate_cleaned!$A$2:$A$10,B564,mdr_rate_cleaned!$B$2:$B$10,"&lt;"&amp;C564,mdr_rate_cleaned!$F$2:$F$10,"&gt;="&amp;C564)</f>
        <v>1</v>
      </c>
      <c r="G564">
        <v>0</v>
      </c>
      <c r="H564">
        <v>0</v>
      </c>
      <c r="I564" t="s">
        <v>15</v>
      </c>
      <c r="J564" t="s">
        <v>15</v>
      </c>
      <c r="K564">
        <v>0</v>
      </c>
      <c r="L564">
        <v>0</v>
      </c>
    </row>
    <row r="565" spans="1:12" x14ac:dyDescent="0.3">
      <c r="A565" t="s">
        <v>581</v>
      </c>
      <c r="B565" t="s">
        <v>21</v>
      </c>
      <c r="C565">
        <v>7999</v>
      </c>
      <c r="D565">
        <v>24</v>
      </c>
      <c r="E565">
        <v>4.32</v>
      </c>
      <c r="F565">
        <f>COUNTIFS(mdr_rate_cleaned!$A$2:$A$10,B565,mdr_rate_cleaned!$B$2:$B$10,"&lt;"&amp;C565,mdr_rate_cleaned!$F$2:$F$10,"&gt;="&amp;C565)</f>
        <v>1</v>
      </c>
      <c r="G565">
        <v>3.0000000000000001E-3</v>
      </c>
      <c r="H565">
        <v>24</v>
      </c>
      <c r="I565" t="s">
        <v>15</v>
      </c>
      <c r="J565" t="s">
        <v>15</v>
      </c>
      <c r="K565">
        <v>4.32</v>
      </c>
      <c r="L565">
        <v>0</v>
      </c>
    </row>
    <row r="566" spans="1:12" x14ac:dyDescent="0.3">
      <c r="A566" t="s">
        <v>582</v>
      </c>
      <c r="B566" t="s">
        <v>21</v>
      </c>
      <c r="C566">
        <v>10498</v>
      </c>
      <c r="D566">
        <v>31.49</v>
      </c>
      <c r="E566">
        <v>5.67</v>
      </c>
      <c r="F566">
        <f>COUNTIFS(mdr_rate_cleaned!$A$2:$A$10,B566,mdr_rate_cleaned!$B$2:$B$10,"&lt;"&amp;C566,mdr_rate_cleaned!$F$2:$F$10,"&gt;="&amp;C566)</f>
        <v>1</v>
      </c>
      <c r="G566">
        <v>3.0000000000000001E-3</v>
      </c>
      <c r="H566">
        <v>31.49</v>
      </c>
      <c r="I566" t="s">
        <v>15</v>
      </c>
      <c r="J566" t="s">
        <v>15</v>
      </c>
      <c r="K566">
        <v>5.67</v>
      </c>
      <c r="L566">
        <v>0</v>
      </c>
    </row>
    <row r="567" spans="1:12" x14ac:dyDescent="0.3">
      <c r="A567" t="s">
        <v>583</v>
      </c>
      <c r="B567" t="s">
        <v>13</v>
      </c>
      <c r="C567">
        <v>499</v>
      </c>
      <c r="D567">
        <v>9.48</v>
      </c>
      <c r="E567">
        <v>1.71</v>
      </c>
      <c r="F567">
        <f>COUNTIFS(mdr_rate_cleaned!$A$2:$A$10,B567,mdr_rate_cleaned!$B$2:$B$10,"&lt;"&amp;C567,mdr_rate_cleaned!$F$2:$F$10,"&gt;="&amp;C567)</f>
        <v>1</v>
      </c>
      <c r="G567">
        <v>1.9E-2</v>
      </c>
      <c r="H567">
        <v>9.48</v>
      </c>
      <c r="I567" t="s">
        <v>15</v>
      </c>
      <c r="J567" t="s">
        <v>15</v>
      </c>
      <c r="K567">
        <v>1.71</v>
      </c>
      <c r="L567">
        <v>0</v>
      </c>
    </row>
    <row r="568" spans="1:12" x14ac:dyDescent="0.3">
      <c r="A568" t="s">
        <v>584</v>
      </c>
      <c r="B568" t="s">
        <v>17</v>
      </c>
      <c r="C568">
        <v>5797</v>
      </c>
      <c r="D568">
        <v>92.75</v>
      </c>
      <c r="E568">
        <v>16.7</v>
      </c>
      <c r="F568">
        <f>COUNTIFS(mdr_rate_cleaned!$A$2:$A$10,B568,mdr_rate_cleaned!$B$2:$B$10,"&lt;"&amp;C568,mdr_rate_cleaned!$F$2:$F$10,"&gt;="&amp;C568)</f>
        <v>1</v>
      </c>
      <c r="G568">
        <v>1.6E-2</v>
      </c>
      <c r="H568">
        <v>92.75</v>
      </c>
      <c r="I568" t="s">
        <v>15</v>
      </c>
      <c r="J568" t="s">
        <v>15</v>
      </c>
      <c r="K568">
        <v>16.7</v>
      </c>
      <c r="L568">
        <v>0</v>
      </c>
    </row>
    <row r="569" spans="1:12" x14ac:dyDescent="0.3">
      <c r="A569" t="s">
        <v>585</v>
      </c>
      <c r="B569" t="s">
        <v>17</v>
      </c>
      <c r="C569">
        <v>7297</v>
      </c>
      <c r="D569">
        <v>116.75</v>
      </c>
      <c r="E569">
        <v>21.02</v>
      </c>
      <c r="F569">
        <f>COUNTIFS(mdr_rate_cleaned!$A$2:$A$10,B569,mdr_rate_cleaned!$B$2:$B$10,"&lt;"&amp;C569,mdr_rate_cleaned!$F$2:$F$10,"&gt;="&amp;C569)</f>
        <v>1</v>
      </c>
      <c r="G569">
        <v>1.6E-2</v>
      </c>
      <c r="H569">
        <v>116.75</v>
      </c>
      <c r="I569" t="s">
        <v>15</v>
      </c>
      <c r="J569" t="s">
        <v>15</v>
      </c>
      <c r="K569">
        <v>21.02</v>
      </c>
      <c r="L569">
        <v>0</v>
      </c>
    </row>
    <row r="570" spans="1:12" x14ac:dyDescent="0.3">
      <c r="A570" t="s">
        <v>586</v>
      </c>
      <c r="B570" t="s">
        <v>21</v>
      </c>
      <c r="C570">
        <v>9998</v>
      </c>
      <c r="D570">
        <v>29.99</v>
      </c>
      <c r="E570">
        <v>5.4</v>
      </c>
      <c r="F570">
        <f>COUNTIFS(mdr_rate_cleaned!$A$2:$A$10,B570,mdr_rate_cleaned!$B$2:$B$10,"&lt;"&amp;C570,mdr_rate_cleaned!$F$2:$F$10,"&gt;="&amp;C570)</f>
        <v>1</v>
      </c>
      <c r="G570">
        <v>3.0000000000000001E-3</v>
      </c>
      <c r="H570">
        <v>29.99</v>
      </c>
      <c r="I570" t="s">
        <v>15</v>
      </c>
      <c r="J570" t="s">
        <v>15</v>
      </c>
      <c r="K570">
        <v>5.4</v>
      </c>
      <c r="L570">
        <v>0</v>
      </c>
    </row>
    <row r="571" spans="1:12" x14ac:dyDescent="0.3">
      <c r="A571" t="s">
        <v>587</v>
      </c>
      <c r="B571" t="s">
        <v>21</v>
      </c>
      <c r="C571">
        <v>4999</v>
      </c>
      <c r="D571">
        <v>15</v>
      </c>
      <c r="E571">
        <v>2.7</v>
      </c>
      <c r="F571">
        <f>COUNTIFS(mdr_rate_cleaned!$A$2:$A$10,B571,mdr_rate_cleaned!$B$2:$B$10,"&lt;"&amp;C571,mdr_rate_cleaned!$F$2:$F$10,"&gt;="&amp;C571)</f>
        <v>1</v>
      </c>
      <c r="G571">
        <v>3.0000000000000001E-3</v>
      </c>
      <c r="H571">
        <v>15</v>
      </c>
      <c r="I571" t="s">
        <v>15</v>
      </c>
      <c r="J571" t="s">
        <v>15</v>
      </c>
      <c r="K571">
        <v>2.7</v>
      </c>
      <c r="L571">
        <v>0</v>
      </c>
    </row>
    <row r="572" spans="1:12" x14ac:dyDescent="0.3">
      <c r="A572" t="s">
        <v>588</v>
      </c>
      <c r="B572" t="s">
        <v>17</v>
      </c>
      <c r="C572">
        <v>599</v>
      </c>
      <c r="D572">
        <v>10.78</v>
      </c>
      <c r="E572">
        <v>1.94</v>
      </c>
      <c r="F572">
        <f>COUNTIFS(mdr_rate_cleaned!$A$2:$A$10,B572,mdr_rate_cleaned!$B$2:$B$10,"&lt;"&amp;C572,mdr_rate_cleaned!$F$2:$F$10,"&gt;="&amp;C572)</f>
        <v>1</v>
      </c>
      <c r="G572">
        <v>1.7999999999999999E-2</v>
      </c>
      <c r="H572">
        <v>10.78</v>
      </c>
      <c r="I572" t="s">
        <v>15</v>
      </c>
      <c r="J572" t="s">
        <v>15</v>
      </c>
      <c r="K572">
        <v>1.94</v>
      </c>
      <c r="L572">
        <v>0</v>
      </c>
    </row>
    <row r="573" spans="1:12" x14ac:dyDescent="0.3">
      <c r="A573" t="s">
        <v>589</v>
      </c>
      <c r="B573" t="s">
        <v>21</v>
      </c>
      <c r="C573">
        <v>299</v>
      </c>
      <c r="D573">
        <v>0</v>
      </c>
      <c r="E573">
        <v>0</v>
      </c>
      <c r="F573">
        <f>COUNTIFS(mdr_rate_cleaned!$A$2:$A$10,B573,mdr_rate_cleaned!$B$2:$B$10,"&lt;"&amp;C573,mdr_rate_cleaned!$F$2:$F$10,"&gt;="&amp;C573)</f>
        <v>1</v>
      </c>
      <c r="G573">
        <v>0</v>
      </c>
      <c r="H573">
        <v>0</v>
      </c>
      <c r="I573" t="s">
        <v>15</v>
      </c>
      <c r="J573" t="s">
        <v>15</v>
      </c>
      <c r="K573">
        <v>0</v>
      </c>
      <c r="L573">
        <v>0</v>
      </c>
    </row>
    <row r="574" spans="1:12" x14ac:dyDescent="0.3">
      <c r="A574" t="s">
        <v>590</v>
      </c>
      <c r="B574" t="s">
        <v>17</v>
      </c>
      <c r="C574">
        <v>6498</v>
      </c>
      <c r="D574">
        <v>103.97</v>
      </c>
      <c r="E574">
        <v>18.71</v>
      </c>
      <c r="F574">
        <f>COUNTIFS(mdr_rate_cleaned!$A$2:$A$10,B574,mdr_rate_cleaned!$B$2:$B$10,"&lt;"&amp;C574,mdr_rate_cleaned!$F$2:$F$10,"&gt;="&amp;C574)</f>
        <v>1</v>
      </c>
      <c r="G574">
        <v>1.6E-2</v>
      </c>
      <c r="H574">
        <v>103.97</v>
      </c>
      <c r="I574" t="s">
        <v>15</v>
      </c>
      <c r="J574" t="s">
        <v>15</v>
      </c>
      <c r="K574">
        <v>18.71</v>
      </c>
      <c r="L574">
        <v>0</v>
      </c>
    </row>
    <row r="575" spans="1:12" x14ac:dyDescent="0.3">
      <c r="A575" t="s">
        <v>591</v>
      </c>
      <c r="B575" t="s">
        <v>21</v>
      </c>
      <c r="C575">
        <v>499</v>
      </c>
      <c r="D575">
        <v>0</v>
      </c>
      <c r="E575">
        <v>0</v>
      </c>
      <c r="F575">
        <f>COUNTIFS(mdr_rate_cleaned!$A$2:$A$10,B575,mdr_rate_cleaned!$B$2:$B$10,"&lt;"&amp;C575,mdr_rate_cleaned!$F$2:$F$10,"&gt;="&amp;C575)</f>
        <v>1</v>
      </c>
      <c r="G575">
        <v>0</v>
      </c>
      <c r="H575">
        <v>0</v>
      </c>
      <c r="I575" t="s">
        <v>15</v>
      </c>
      <c r="J575" t="s">
        <v>15</v>
      </c>
      <c r="K575">
        <v>0</v>
      </c>
      <c r="L575">
        <v>0</v>
      </c>
    </row>
    <row r="576" spans="1:12" x14ac:dyDescent="0.3">
      <c r="A576" t="s">
        <v>592</v>
      </c>
      <c r="B576" t="s">
        <v>17</v>
      </c>
      <c r="C576">
        <v>948</v>
      </c>
      <c r="D576">
        <v>17.059999999999999</v>
      </c>
      <c r="E576">
        <v>3.07</v>
      </c>
      <c r="F576">
        <f>COUNTIFS(mdr_rate_cleaned!$A$2:$A$10,B576,mdr_rate_cleaned!$B$2:$B$10,"&lt;"&amp;C576,mdr_rate_cleaned!$F$2:$F$10,"&gt;="&amp;C576)</f>
        <v>1</v>
      </c>
      <c r="G576">
        <v>1.7999999999999999E-2</v>
      </c>
      <c r="H576">
        <v>17.059999999999999</v>
      </c>
      <c r="I576" t="s">
        <v>15</v>
      </c>
      <c r="J576" t="s">
        <v>15</v>
      </c>
      <c r="K576">
        <v>3.07</v>
      </c>
      <c r="L576">
        <v>0</v>
      </c>
    </row>
    <row r="577" spans="1:12" x14ac:dyDescent="0.3">
      <c r="A577" t="s">
        <v>593</v>
      </c>
      <c r="B577" t="s">
        <v>21</v>
      </c>
      <c r="C577">
        <v>799</v>
      </c>
      <c r="D577">
        <v>0</v>
      </c>
      <c r="E577">
        <v>0</v>
      </c>
      <c r="F577">
        <f>COUNTIFS(mdr_rate_cleaned!$A$2:$A$10,B577,mdr_rate_cleaned!$B$2:$B$10,"&lt;"&amp;C577,mdr_rate_cleaned!$F$2:$F$10,"&gt;="&amp;C577)</f>
        <v>1</v>
      </c>
      <c r="G577">
        <v>0</v>
      </c>
      <c r="H577">
        <v>0</v>
      </c>
      <c r="I577" t="s">
        <v>15</v>
      </c>
      <c r="J577" t="s">
        <v>15</v>
      </c>
      <c r="K577">
        <v>0</v>
      </c>
      <c r="L577">
        <v>0</v>
      </c>
    </row>
    <row r="578" spans="1:12" x14ac:dyDescent="0.3">
      <c r="A578" t="s">
        <v>594</v>
      </c>
      <c r="B578" t="s">
        <v>17</v>
      </c>
      <c r="C578">
        <v>8798</v>
      </c>
      <c r="D578">
        <v>140.77000000000001</v>
      </c>
      <c r="E578">
        <v>25.34</v>
      </c>
      <c r="F578">
        <f>COUNTIFS(mdr_rate_cleaned!$A$2:$A$10,B578,mdr_rate_cleaned!$B$2:$B$10,"&lt;"&amp;C578,mdr_rate_cleaned!$F$2:$F$10,"&gt;="&amp;C578)</f>
        <v>1</v>
      </c>
      <c r="G578">
        <v>1.6E-2</v>
      </c>
      <c r="H578">
        <v>140.77000000000001</v>
      </c>
      <c r="I578" t="s">
        <v>15</v>
      </c>
      <c r="J578" t="s">
        <v>15</v>
      </c>
      <c r="K578">
        <v>25.34</v>
      </c>
      <c r="L578">
        <v>0</v>
      </c>
    </row>
    <row r="579" spans="1:12" x14ac:dyDescent="0.3">
      <c r="A579" t="s">
        <v>595</v>
      </c>
      <c r="B579" t="s">
        <v>17</v>
      </c>
      <c r="C579">
        <v>2498</v>
      </c>
      <c r="D579">
        <v>39.97</v>
      </c>
      <c r="E579">
        <v>7.19</v>
      </c>
      <c r="F579">
        <f>COUNTIFS(mdr_rate_cleaned!$A$2:$A$10,B579,mdr_rate_cleaned!$B$2:$B$10,"&lt;"&amp;C579,mdr_rate_cleaned!$F$2:$F$10,"&gt;="&amp;C579)</f>
        <v>1</v>
      </c>
      <c r="G579">
        <v>1.6E-2</v>
      </c>
      <c r="H579">
        <v>39.97</v>
      </c>
      <c r="I579" t="s">
        <v>15</v>
      </c>
      <c r="J579" t="s">
        <v>15</v>
      </c>
      <c r="K579">
        <v>7.19</v>
      </c>
      <c r="L579">
        <v>0</v>
      </c>
    </row>
    <row r="580" spans="1:12" x14ac:dyDescent="0.3">
      <c r="A580" t="s">
        <v>596</v>
      </c>
      <c r="B580" t="s">
        <v>21</v>
      </c>
      <c r="C580">
        <v>2999</v>
      </c>
      <c r="D580">
        <v>9</v>
      </c>
      <c r="E580">
        <v>1.62</v>
      </c>
      <c r="F580">
        <f>COUNTIFS(mdr_rate_cleaned!$A$2:$A$10,B580,mdr_rate_cleaned!$B$2:$B$10,"&lt;"&amp;C580,mdr_rate_cleaned!$F$2:$F$10,"&gt;="&amp;C580)</f>
        <v>1</v>
      </c>
      <c r="G580">
        <v>3.0000000000000001E-3</v>
      </c>
      <c r="H580">
        <v>9</v>
      </c>
      <c r="I580" t="s">
        <v>15</v>
      </c>
      <c r="J580" t="s">
        <v>15</v>
      </c>
      <c r="K580">
        <v>1.62</v>
      </c>
      <c r="L580">
        <v>0</v>
      </c>
    </row>
    <row r="581" spans="1:12" x14ac:dyDescent="0.3">
      <c r="A581" t="s">
        <v>597</v>
      </c>
      <c r="B581" t="s">
        <v>13</v>
      </c>
      <c r="C581">
        <v>3348</v>
      </c>
      <c r="D581">
        <v>56.92</v>
      </c>
      <c r="E581">
        <v>10.25</v>
      </c>
      <c r="F581">
        <f>COUNTIFS(mdr_rate_cleaned!$A$2:$A$10,B581,mdr_rate_cleaned!$B$2:$B$10,"&lt;"&amp;C581,mdr_rate_cleaned!$F$2:$F$10,"&gt;="&amp;C581)</f>
        <v>1</v>
      </c>
      <c r="G581">
        <v>1.7000000000000001E-2</v>
      </c>
      <c r="H581">
        <v>56.92</v>
      </c>
      <c r="I581" t="s">
        <v>15</v>
      </c>
      <c r="J581" t="s">
        <v>15</v>
      </c>
      <c r="K581">
        <v>10.25</v>
      </c>
      <c r="L581">
        <v>0</v>
      </c>
    </row>
    <row r="582" spans="1:12" x14ac:dyDescent="0.3">
      <c r="A582" t="s">
        <v>598</v>
      </c>
      <c r="B582" t="s">
        <v>21</v>
      </c>
      <c r="C582">
        <v>1098</v>
      </c>
      <c r="D582">
        <v>0</v>
      </c>
      <c r="E582">
        <v>0</v>
      </c>
      <c r="F582">
        <f>COUNTIFS(mdr_rate_cleaned!$A$2:$A$10,B582,mdr_rate_cleaned!$B$2:$B$10,"&lt;"&amp;C582,mdr_rate_cleaned!$F$2:$F$10,"&gt;="&amp;C582)</f>
        <v>1</v>
      </c>
      <c r="G582">
        <v>0</v>
      </c>
      <c r="H582">
        <v>0</v>
      </c>
      <c r="I582" t="s">
        <v>15</v>
      </c>
      <c r="J582" t="s">
        <v>15</v>
      </c>
      <c r="K582">
        <v>0</v>
      </c>
      <c r="L582">
        <v>0</v>
      </c>
    </row>
    <row r="583" spans="1:12" x14ac:dyDescent="0.3">
      <c r="A583" t="s">
        <v>599</v>
      </c>
      <c r="B583" t="s">
        <v>21</v>
      </c>
      <c r="C583">
        <v>5947</v>
      </c>
      <c r="D583">
        <v>17.84</v>
      </c>
      <c r="E583">
        <v>3.21</v>
      </c>
      <c r="F583">
        <f>COUNTIFS(mdr_rate_cleaned!$A$2:$A$10,B583,mdr_rate_cleaned!$B$2:$B$10,"&lt;"&amp;C583,mdr_rate_cleaned!$F$2:$F$10,"&gt;="&amp;C583)</f>
        <v>1</v>
      </c>
      <c r="G583">
        <v>3.0000000000000001E-3</v>
      </c>
      <c r="H583">
        <v>17.84</v>
      </c>
      <c r="I583" t="s">
        <v>15</v>
      </c>
      <c r="J583" t="s">
        <v>15</v>
      </c>
      <c r="K583">
        <v>3.21</v>
      </c>
      <c r="L583">
        <v>0</v>
      </c>
    </row>
    <row r="584" spans="1:12" x14ac:dyDescent="0.3">
      <c r="A584" t="s">
        <v>600</v>
      </c>
      <c r="B584" t="s">
        <v>17</v>
      </c>
      <c r="C584">
        <v>3447</v>
      </c>
      <c r="D584">
        <v>55.15</v>
      </c>
      <c r="E584">
        <v>9.93</v>
      </c>
      <c r="F584">
        <f>COUNTIFS(mdr_rate_cleaned!$A$2:$A$10,B584,mdr_rate_cleaned!$B$2:$B$10,"&lt;"&amp;C584,mdr_rate_cleaned!$F$2:$F$10,"&gt;="&amp;C584)</f>
        <v>1</v>
      </c>
      <c r="G584">
        <v>1.6E-2</v>
      </c>
      <c r="H584">
        <v>55.15</v>
      </c>
      <c r="I584" t="s">
        <v>15</v>
      </c>
      <c r="J584" t="s">
        <v>15</v>
      </c>
      <c r="K584">
        <v>9.93</v>
      </c>
      <c r="L584">
        <v>0</v>
      </c>
    </row>
    <row r="585" spans="1:12" x14ac:dyDescent="0.3">
      <c r="A585" t="s">
        <v>601</v>
      </c>
      <c r="B585" t="s">
        <v>39</v>
      </c>
      <c r="C585">
        <v>2499</v>
      </c>
      <c r="D585">
        <v>29.99</v>
      </c>
      <c r="E585">
        <v>5.4</v>
      </c>
      <c r="F585">
        <f>COUNTIFS(mdr_rate_cleaned!$A$2:$A$10,B585,mdr_rate_cleaned!$B$2:$B$10,"&lt;"&amp;C585,mdr_rate_cleaned!$F$2:$F$10,"&gt;="&amp;C585)</f>
        <v>1</v>
      </c>
      <c r="G585">
        <v>1.2E-2</v>
      </c>
      <c r="H585">
        <v>29.99</v>
      </c>
      <c r="I585" t="s">
        <v>15</v>
      </c>
      <c r="J585" t="s">
        <v>15</v>
      </c>
      <c r="K585">
        <v>5.4</v>
      </c>
      <c r="L585">
        <v>0</v>
      </c>
    </row>
    <row r="586" spans="1:12" x14ac:dyDescent="0.3">
      <c r="A586" t="s">
        <v>602</v>
      </c>
      <c r="B586" t="s">
        <v>21</v>
      </c>
      <c r="C586">
        <v>1947</v>
      </c>
      <c r="D586">
        <v>0</v>
      </c>
      <c r="E586">
        <v>0</v>
      </c>
      <c r="F586">
        <f>COUNTIFS(mdr_rate_cleaned!$A$2:$A$10,B586,mdr_rate_cleaned!$B$2:$B$10,"&lt;"&amp;C586,mdr_rate_cleaned!$F$2:$F$10,"&gt;="&amp;C586)</f>
        <v>1</v>
      </c>
      <c r="G586">
        <v>0</v>
      </c>
      <c r="H586">
        <v>0</v>
      </c>
      <c r="I586" t="s">
        <v>15</v>
      </c>
      <c r="J586" t="s">
        <v>15</v>
      </c>
      <c r="K586">
        <v>0</v>
      </c>
      <c r="L586">
        <v>0</v>
      </c>
    </row>
    <row r="587" spans="1:12" x14ac:dyDescent="0.3">
      <c r="A587" t="s">
        <v>603</v>
      </c>
      <c r="B587" t="s">
        <v>13</v>
      </c>
      <c r="C587">
        <v>3499</v>
      </c>
      <c r="D587">
        <v>59.48</v>
      </c>
      <c r="E587">
        <v>10.71</v>
      </c>
      <c r="F587">
        <f>COUNTIFS(mdr_rate_cleaned!$A$2:$A$10,B587,mdr_rate_cleaned!$B$2:$B$10,"&lt;"&amp;C587,mdr_rate_cleaned!$F$2:$F$10,"&gt;="&amp;C587)</f>
        <v>1</v>
      </c>
      <c r="G587">
        <v>1.7000000000000001E-2</v>
      </c>
      <c r="H587">
        <v>59.48</v>
      </c>
      <c r="I587" t="s">
        <v>15</v>
      </c>
      <c r="J587" t="s">
        <v>15</v>
      </c>
      <c r="K587">
        <v>10.71</v>
      </c>
      <c r="L587">
        <v>0</v>
      </c>
    </row>
    <row r="588" spans="1:12" x14ac:dyDescent="0.3">
      <c r="A588" t="s">
        <v>604</v>
      </c>
      <c r="B588" t="s">
        <v>21</v>
      </c>
      <c r="C588">
        <v>2498</v>
      </c>
      <c r="D588">
        <v>7.49</v>
      </c>
      <c r="E588">
        <v>1.35</v>
      </c>
      <c r="F588">
        <f>COUNTIFS(mdr_rate_cleaned!$A$2:$A$10,B588,mdr_rate_cleaned!$B$2:$B$10,"&lt;"&amp;C588,mdr_rate_cleaned!$F$2:$F$10,"&gt;="&amp;C588)</f>
        <v>1</v>
      </c>
      <c r="G588">
        <v>3.0000000000000001E-3</v>
      </c>
      <c r="H588">
        <v>7.49</v>
      </c>
      <c r="I588" t="s">
        <v>15</v>
      </c>
      <c r="J588" t="s">
        <v>15</v>
      </c>
      <c r="K588">
        <v>1.35</v>
      </c>
      <c r="L588">
        <v>0</v>
      </c>
    </row>
    <row r="589" spans="1:12" x14ac:dyDescent="0.3">
      <c r="A589" t="s">
        <v>605</v>
      </c>
      <c r="B589" t="s">
        <v>13</v>
      </c>
      <c r="C589">
        <v>349</v>
      </c>
      <c r="D589">
        <v>6.63</v>
      </c>
      <c r="E589">
        <v>1.19</v>
      </c>
      <c r="F589">
        <f>COUNTIFS(mdr_rate_cleaned!$A$2:$A$10,B589,mdr_rate_cleaned!$B$2:$B$10,"&lt;"&amp;C589,mdr_rate_cleaned!$F$2:$F$10,"&gt;="&amp;C589)</f>
        <v>1</v>
      </c>
      <c r="G589">
        <v>1.9E-2</v>
      </c>
      <c r="H589">
        <v>6.63</v>
      </c>
      <c r="I589" t="s">
        <v>15</v>
      </c>
      <c r="J589" t="s">
        <v>15</v>
      </c>
      <c r="K589">
        <v>1.19</v>
      </c>
      <c r="L589">
        <v>0</v>
      </c>
    </row>
    <row r="590" spans="1:12" x14ac:dyDescent="0.3">
      <c r="A590" t="s">
        <v>606</v>
      </c>
      <c r="B590" t="s">
        <v>17</v>
      </c>
      <c r="C590">
        <v>499</v>
      </c>
      <c r="D590">
        <v>8.98</v>
      </c>
      <c r="E590">
        <v>1.62</v>
      </c>
      <c r="F590">
        <f>COUNTIFS(mdr_rate_cleaned!$A$2:$A$10,B590,mdr_rate_cleaned!$B$2:$B$10,"&lt;"&amp;C590,mdr_rate_cleaned!$F$2:$F$10,"&gt;="&amp;C590)</f>
        <v>1</v>
      </c>
      <c r="G590">
        <v>1.7999999999999999E-2</v>
      </c>
      <c r="H590">
        <v>8.98</v>
      </c>
      <c r="I590" t="s">
        <v>15</v>
      </c>
      <c r="J590" t="s">
        <v>15</v>
      </c>
      <c r="K590">
        <v>1.62</v>
      </c>
      <c r="L590">
        <v>0</v>
      </c>
    </row>
    <row r="591" spans="1:12" x14ac:dyDescent="0.3">
      <c r="A591" t="s">
        <v>607</v>
      </c>
      <c r="B591" t="s">
        <v>21</v>
      </c>
      <c r="C591">
        <v>6798</v>
      </c>
      <c r="D591">
        <v>20.39</v>
      </c>
      <c r="E591">
        <v>3.67</v>
      </c>
      <c r="F591">
        <f>COUNTIFS(mdr_rate_cleaned!$A$2:$A$10,B591,mdr_rate_cleaned!$B$2:$B$10,"&lt;"&amp;C591,mdr_rate_cleaned!$F$2:$F$10,"&gt;="&amp;C591)</f>
        <v>1</v>
      </c>
      <c r="G591">
        <v>3.0000000000000001E-3</v>
      </c>
      <c r="H591">
        <v>20.39</v>
      </c>
      <c r="I591" t="s">
        <v>15</v>
      </c>
      <c r="J591" t="s">
        <v>15</v>
      </c>
      <c r="K591">
        <v>3.67</v>
      </c>
      <c r="L591">
        <v>0</v>
      </c>
    </row>
    <row r="592" spans="1:12" x14ac:dyDescent="0.3">
      <c r="A592" t="s">
        <v>608</v>
      </c>
      <c r="B592" t="s">
        <v>17</v>
      </c>
      <c r="C592">
        <v>8998</v>
      </c>
      <c r="D592">
        <v>143.97</v>
      </c>
      <c r="E592">
        <v>25.91</v>
      </c>
      <c r="F592">
        <f>COUNTIFS(mdr_rate_cleaned!$A$2:$A$10,B592,mdr_rate_cleaned!$B$2:$B$10,"&lt;"&amp;C592,mdr_rate_cleaned!$F$2:$F$10,"&gt;="&amp;C592)</f>
        <v>1</v>
      </c>
      <c r="G592">
        <v>1.6E-2</v>
      </c>
      <c r="H592">
        <v>143.97</v>
      </c>
      <c r="I592" t="s">
        <v>15</v>
      </c>
      <c r="J592" t="s">
        <v>15</v>
      </c>
      <c r="K592">
        <v>25.91</v>
      </c>
      <c r="L592">
        <v>0</v>
      </c>
    </row>
    <row r="593" spans="1:12" x14ac:dyDescent="0.3">
      <c r="A593" t="s">
        <v>609</v>
      </c>
      <c r="B593" t="s">
        <v>21</v>
      </c>
      <c r="C593">
        <v>3499</v>
      </c>
      <c r="D593">
        <v>10.5</v>
      </c>
      <c r="E593">
        <v>1.89</v>
      </c>
      <c r="F593">
        <f>COUNTIFS(mdr_rate_cleaned!$A$2:$A$10,B593,mdr_rate_cleaned!$B$2:$B$10,"&lt;"&amp;C593,mdr_rate_cleaned!$F$2:$F$10,"&gt;="&amp;C593)</f>
        <v>1</v>
      </c>
      <c r="G593">
        <v>3.0000000000000001E-3</v>
      </c>
      <c r="H593">
        <v>10.5</v>
      </c>
      <c r="I593" t="s">
        <v>15</v>
      </c>
      <c r="J593" t="s">
        <v>15</v>
      </c>
      <c r="K593">
        <v>1.89</v>
      </c>
      <c r="L593">
        <v>0</v>
      </c>
    </row>
    <row r="594" spans="1:12" x14ac:dyDescent="0.3">
      <c r="A594" t="s">
        <v>610</v>
      </c>
      <c r="B594" t="s">
        <v>13</v>
      </c>
      <c r="C594">
        <v>2999</v>
      </c>
      <c r="D594">
        <v>50.98</v>
      </c>
      <c r="E594">
        <v>9.18</v>
      </c>
      <c r="F594">
        <f>COUNTIFS(mdr_rate_cleaned!$A$2:$A$10,B594,mdr_rate_cleaned!$B$2:$B$10,"&lt;"&amp;C594,mdr_rate_cleaned!$F$2:$F$10,"&gt;="&amp;C594)</f>
        <v>1</v>
      </c>
      <c r="G594">
        <v>1.7000000000000001E-2</v>
      </c>
      <c r="H594">
        <v>50.98</v>
      </c>
      <c r="I594" t="s">
        <v>15</v>
      </c>
      <c r="J594" t="s">
        <v>15</v>
      </c>
      <c r="K594">
        <v>9.18</v>
      </c>
      <c r="L594">
        <v>0</v>
      </c>
    </row>
    <row r="595" spans="1:12" x14ac:dyDescent="0.3">
      <c r="A595" t="s">
        <v>611</v>
      </c>
      <c r="B595" t="s">
        <v>17</v>
      </c>
      <c r="C595">
        <v>1298</v>
      </c>
      <c r="D595">
        <v>23.36</v>
      </c>
      <c r="E595">
        <v>4.2</v>
      </c>
      <c r="F595">
        <f>COUNTIFS(mdr_rate_cleaned!$A$2:$A$10,B595,mdr_rate_cleaned!$B$2:$B$10,"&lt;"&amp;C595,mdr_rate_cleaned!$F$2:$F$10,"&gt;="&amp;C595)</f>
        <v>1</v>
      </c>
      <c r="G595">
        <v>1.7999999999999999E-2</v>
      </c>
      <c r="H595">
        <v>23.36</v>
      </c>
      <c r="I595" t="s">
        <v>15</v>
      </c>
      <c r="J595" t="s">
        <v>15</v>
      </c>
      <c r="K595">
        <v>4.2</v>
      </c>
      <c r="L595">
        <v>0</v>
      </c>
    </row>
    <row r="596" spans="1:12" x14ac:dyDescent="0.3">
      <c r="A596" t="s">
        <v>612</v>
      </c>
      <c r="B596" t="s">
        <v>39</v>
      </c>
      <c r="C596">
        <v>1348</v>
      </c>
      <c r="D596">
        <v>20.22</v>
      </c>
      <c r="E596">
        <v>3.64</v>
      </c>
      <c r="F596">
        <f>COUNTIFS(mdr_rate_cleaned!$A$2:$A$10,B596,mdr_rate_cleaned!$B$2:$B$10,"&lt;"&amp;C596,mdr_rate_cleaned!$F$2:$F$10,"&gt;="&amp;C596)</f>
        <v>1</v>
      </c>
      <c r="G596">
        <v>1.4999999999999999E-2</v>
      </c>
      <c r="H596">
        <v>20.22</v>
      </c>
      <c r="I596" t="s">
        <v>15</v>
      </c>
      <c r="J596" t="s">
        <v>15</v>
      </c>
      <c r="K596">
        <v>3.64</v>
      </c>
      <c r="L596">
        <v>0</v>
      </c>
    </row>
    <row r="597" spans="1:12" x14ac:dyDescent="0.3">
      <c r="A597" t="s">
        <v>613</v>
      </c>
      <c r="B597" t="s">
        <v>39</v>
      </c>
      <c r="C597">
        <v>5298</v>
      </c>
      <c r="D597">
        <v>63.58</v>
      </c>
      <c r="E597">
        <v>11.44</v>
      </c>
      <c r="F597">
        <f>COUNTIFS(mdr_rate_cleaned!$A$2:$A$10,B597,mdr_rate_cleaned!$B$2:$B$10,"&lt;"&amp;C597,mdr_rate_cleaned!$F$2:$F$10,"&gt;="&amp;C597)</f>
        <v>1</v>
      </c>
      <c r="G597">
        <v>1.2E-2</v>
      </c>
      <c r="H597">
        <v>63.58</v>
      </c>
      <c r="I597" t="s">
        <v>15</v>
      </c>
      <c r="J597" t="s">
        <v>15</v>
      </c>
      <c r="K597">
        <v>11.44</v>
      </c>
      <c r="L597">
        <v>0</v>
      </c>
    </row>
    <row r="598" spans="1:12" x14ac:dyDescent="0.3">
      <c r="A598" t="s">
        <v>614</v>
      </c>
      <c r="B598" t="s">
        <v>17</v>
      </c>
      <c r="C598">
        <v>9297</v>
      </c>
      <c r="D598">
        <v>148.75</v>
      </c>
      <c r="E598">
        <v>26.78</v>
      </c>
      <c r="F598">
        <f>COUNTIFS(mdr_rate_cleaned!$A$2:$A$10,B598,mdr_rate_cleaned!$B$2:$B$10,"&lt;"&amp;C598,mdr_rate_cleaned!$F$2:$F$10,"&gt;="&amp;C598)</f>
        <v>1</v>
      </c>
      <c r="G598">
        <v>1.6E-2</v>
      </c>
      <c r="H598">
        <v>148.75</v>
      </c>
      <c r="I598" t="s">
        <v>15</v>
      </c>
      <c r="J598" t="s">
        <v>15</v>
      </c>
      <c r="K598">
        <v>26.78</v>
      </c>
      <c r="L598">
        <v>0</v>
      </c>
    </row>
    <row r="599" spans="1:12" x14ac:dyDescent="0.3">
      <c r="A599" t="s">
        <v>615</v>
      </c>
      <c r="B599" t="s">
        <v>13</v>
      </c>
      <c r="C599">
        <v>1799</v>
      </c>
      <c r="D599">
        <v>34.18</v>
      </c>
      <c r="E599">
        <v>6.15</v>
      </c>
      <c r="F599">
        <f>COUNTIFS(mdr_rate_cleaned!$A$2:$A$10,B599,mdr_rate_cleaned!$B$2:$B$10,"&lt;"&amp;C599,mdr_rate_cleaned!$F$2:$F$10,"&gt;="&amp;C599)</f>
        <v>1</v>
      </c>
      <c r="G599">
        <v>1.9E-2</v>
      </c>
      <c r="H599">
        <v>34.18</v>
      </c>
      <c r="I599" t="s">
        <v>15</v>
      </c>
      <c r="J599" t="s">
        <v>15</v>
      </c>
      <c r="K599">
        <v>6.15</v>
      </c>
      <c r="L599">
        <v>0</v>
      </c>
    </row>
    <row r="600" spans="1:12" x14ac:dyDescent="0.3">
      <c r="A600" t="s">
        <v>616</v>
      </c>
      <c r="B600" t="s">
        <v>21</v>
      </c>
      <c r="C600">
        <v>1397</v>
      </c>
      <c r="D600">
        <v>0</v>
      </c>
      <c r="E600">
        <v>0</v>
      </c>
      <c r="F600">
        <f>COUNTIFS(mdr_rate_cleaned!$A$2:$A$10,B600,mdr_rate_cleaned!$B$2:$B$10,"&lt;"&amp;C600,mdr_rate_cleaned!$F$2:$F$10,"&gt;="&amp;C600)</f>
        <v>1</v>
      </c>
      <c r="G600">
        <v>0</v>
      </c>
      <c r="H600">
        <v>0</v>
      </c>
      <c r="I600" t="s">
        <v>15</v>
      </c>
      <c r="J600" t="s">
        <v>15</v>
      </c>
      <c r="K600">
        <v>0</v>
      </c>
      <c r="L600">
        <v>0</v>
      </c>
    </row>
    <row r="601" spans="1:12" x14ac:dyDescent="0.3">
      <c r="A601" t="s">
        <v>617</v>
      </c>
      <c r="B601" t="s">
        <v>21</v>
      </c>
      <c r="C601">
        <v>4999</v>
      </c>
      <c r="D601">
        <v>15</v>
      </c>
      <c r="E601">
        <v>2.7</v>
      </c>
      <c r="F601">
        <f>COUNTIFS(mdr_rate_cleaned!$A$2:$A$10,B601,mdr_rate_cleaned!$B$2:$B$10,"&lt;"&amp;C601,mdr_rate_cleaned!$F$2:$F$10,"&gt;="&amp;C601)</f>
        <v>1</v>
      </c>
      <c r="G601">
        <v>3.0000000000000001E-3</v>
      </c>
      <c r="H601">
        <v>15</v>
      </c>
      <c r="I601" t="s">
        <v>15</v>
      </c>
      <c r="J601" t="s">
        <v>15</v>
      </c>
      <c r="K601">
        <v>2.7</v>
      </c>
      <c r="L601">
        <v>0</v>
      </c>
    </row>
    <row r="602" spans="1:12" x14ac:dyDescent="0.3">
      <c r="A602" t="s">
        <v>618</v>
      </c>
      <c r="B602" t="s">
        <v>21</v>
      </c>
      <c r="C602">
        <v>798</v>
      </c>
      <c r="D602">
        <v>0</v>
      </c>
      <c r="E602">
        <v>0</v>
      </c>
      <c r="F602">
        <f>COUNTIFS(mdr_rate_cleaned!$A$2:$A$10,B602,mdr_rate_cleaned!$B$2:$B$10,"&lt;"&amp;C602,mdr_rate_cleaned!$F$2:$F$10,"&gt;="&amp;C602)</f>
        <v>1</v>
      </c>
      <c r="G602">
        <v>0</v>
      </c>
      <c r="H602">
        <v>0</v>
      </c>
      <c r="I602" t="s">
        <v>15</v>
      </c>
      <c r="J602" t="s">
        <v>15</v>
      </c>
      <c r="K602">
        <v>0</v>
      </c>
      <c r="L602">
        <v>0</v>
      </c>
    </row>
    <row r="603" spans="1:12" x14ac:dyDescent="0.3">
      <c r="A603" t="s">
        <v>619</v>
      </c>
      <c r="B603" t="s">
        <v>17</v>
      </c>
      <c r="C603">
        <v>3499</v>
      </c>
      <c r="D603">
        <v>55.98</v>
      </c>
      <c r="E603">
        <v>10.08</v>
      </c>
      <c r="F603">
        <f>COUNTIFS(mdr_rate_cleaned!$A$2:$A$10,B603,mdr_rate_cleaned!$B$2:$B$10,"&lt;"&amp;C603,mdr_rate_cleaned!$F$2:$F$10,"&gt;="&amp;C603)</f>
        <v>1</v>
      </c>
      <c r="G603">
        <v>1.6E-2</v>
      </c>
      <c r="H603">
        <v>55.98</v>
      </c>
      <c r="I603" t="s">
        <v>15</v>
      </c>
      <c r="J603" t="s">
        <v>15</v>
      </c>
      <c r="K603">
        <v>10.08</v>
      </c>
      <c r="L603">
        <v>0</v>
      </c>
    </row>
    <row r="604" spans="1:12" x14ac:dyDescent="0.3">
      <c r="A604" t="s">
        <v>620</v>
      </c>
      <c r="B604" t="s">
        <v>17</v>
      </c>
      <c r="C604">
        <v>799</v>
      </c>
      <c r="D604">
        <v>14.38</v>
      </c>
      <c r="E604">
        <v>2.59</v>
      </c>
      <c r="F604">
        <f>COUNTIFS(mdr_rate_cleaned!$A$2:$A$10,B604,mdr_rate_cleaned!$B$2:$B$10,"&lt;"&amp;C604,mdr_rate_cleaned!$F$2:$F$10,"&gt;="&amp;C604)</f>
        <v>1</v>
      </c>
      <c r="G604">
        <v>1.7999999999999999E-2</v>
      </c>
      <c r="H604">
        <v>14.38</v>
      </c>
      <c r="I604" t="s">
        <v>15</v>
      </c>
      <c r="J604" t="s">
        <v>15</v>
      </c>
      <c r="K604">
        <v>2.59</v>
      </c>
      <c r="L604">
        <v>0</v>
      </c>
    </row>
    <row r="605" spans="1:12" x14ac:dyDescent="0.3">
      <c r="A605" t="s">
        <v>621</v>
      </c>
      <c r="B605" t="s">
        <v>21</v>
      </c>
      <c r="C605">
        <v>2499</v>
      </c>
      <c r="D605">
        <v>7.5</v>
      </c>
      <c r="E605">
        <v>1.35</v>
      </c>
      <c r="F605">
        <f>COUNTIFS(mdr_rate_cleaned!$A$2:$A$10,B605,mdr_rate_cleaned!$B$2:$B$10,"&lt;"&amp;C605,mdr_rate_cleaned!$F$2:$F$10,"&gt;="&amp;C605)</f>
        <v>1</v>
      </c>
      <c r="G605">
        <v>3.0000000000000001E-3</v>
      </c>
      <c r="H605">
        <v>7.5</v>
      </c>
      <c r="I605" t="s">
        <v>15</v>
      </c>
      <c r="J605" t="s">
        <v>15</v>
      </c>
      <c r="K605">
        <v>1.35</v>
      </c>
      <c r="L605">
        <v>0</v>
      </c>
    </row>
    <row r="606" spans="1:12" x14ac:dyDescent="0.3">
      <c r="A606" t="s">
        <v>622</v>
      </c>
      <c r="B606" t="s">
        <v>21</v>
      </c>
      <c r="C606">
        <v>1799</v>
      </c>
      <c r="D606">
        <v>5.4</v>
      </c>
      <c r="E606">
        <v>0.97</v>
      </c>
      <c r="F606">
        <f>COUNTIFS(mdr_rate_cleaned!$A$2:$A$10,B606,mdr_rate_cleaned!$B$2:$B$10,"&lt;"&amp;C606,mdr_rate_cleaned!$F$2:$F$10,"&gt;="&amp;C606)</f>
        <v>1</v>
      </c>
      <c r="G606">
        <v>0</v>
      </c>
      <c r="H606">
        <v>0</v>
      </c>
      <c r="I606" t="s">
        <v>14</v>
      </c>
      <c r="J606" t="s">
        <v>15</v>
      </c>
      <c r="K606">
        <v>0</v>
      </c>
      <c r="L606">
        <v>6.37</v>
      </c>
    </row>
    <row r="607" spans="1:12" x14ac:dyDescent="0.3">
      <c r="A607" t="s">
        <v>623</v>
      </c>
      <c r="B607" t="s">
        <v>21</v>
      </c>
      <c r="C607">
        <v>299</v>
      </c>
      <c r="D607">
        <v>0</v>
      </c>
      <c r="E607">
        <v>0</v>
      </c>
      <c r="F607">
        <f>COUNTIFS(mdr_rate_cleaned!$A$2:$A$10,B607,mdr_rate_cleaned!$B$2:$B$10,"&lt;"&amp;C607,mdr_rate_cleaned!$F$2:$F$10,"&gt;="&amp;C607)</f>
        <v>1</v>
      </c>
      <c r="G607">
        <v>0</v>
      </c>
      <c r="H607">
        <v>0</v>
      </c>
      <c r="I607" t="s">
        <v>15</v>
      </c>
      <c r="J607" t="s">
        <v>15</v>
      </c>
      <c r="K607">
        <v>0</v>
      </c>
      <c r="L607">
        <v>0</v>
      </c>
    </row>
    <row r="608" spans="1:12" x14ac:dyDescent="0.3">
      <c r="A608" t="s">
        <v>624</v>
      </c>
      <c r="B608" t="s">
        <v>13</v>
      </c>
      <c r="C608">
        <v>599</v>
      </c>
      <c r="D608">
        <v>11.38</v>
      </c>
      <c r="E608">
        <v>2.0499999999999998</v>
      </c>
      <c r="F608">
        <f>COUNTIFS(mdr_rate_cleaned!$A$2:$A$10,B608,mdr_rate_cleaned!$B$2:$B$10,"&lt;"&amp;C608,mdr_rate_cleaned!$F$2:$F$10,"&gt;="&amp;C608)</f>
        <v>1</v>
      </c>
      <c r="G608">
        <v>1.9E-2</v>
      </c>
      <c r="H608">
        <v>11.38</v>
      </c>
      <c r="I608" t="s">
        <v>15</v>
      </c>
      <c r="J608" t="s">
        <v>15</v>
      </c>
      <c r="K608">
        <v>2.0499999999999998</v>
      </c>
      <c r="L608">
        <v>0</v>
      </c>
    </row>
    <row r="609" spans="1:12" x14ac:dyDescent="0.3">
      <c r="A609" t="s">
        <v>625</v>
      </c>
      <c r="B609" t="s">
        <v>21</v>
      </c>
      <c r="C609">
        <v>1299</v>
      </c>
      <c r="D609">
        <v>0</v>
      </c>
      <c r="E609">
        <v>0</v>
      </c>
      <c r="F609">
        <f>COUNTIFS(mdr_rate_cleaned!$A$2:$A$10,B609,mdr_rate_cleaned!$B$2:$B$10,"&lt;"&amp;C609,mdr_rate_cleaned!$F$2:$F$10,"&gt;="&amp;C609)</f>
        <v>1</v>
      </c>
      <c r="G609">
        <v>0</v>
      </c>
      <c r="H609">
        <v>0</v>
      </c>
      <c r="I609" t="s">
        <v>15</v>
      </c>
      <c r="J609" t="s">
        <v>15</v>
      </c>
      <c r="K609">
        <v>0</v>
      </c>
      <c r="L609">
        <v>0</v>
      </c>
    </row>
    <row r="610" spans="1:12" x14ac:dyDescent="0.3">
      <c r="A610" t="s">
        <v>626</v>
      </c>
      <c r="B610" t="s">
        <v>17</v>
      </c>
      <c r="C610">
        <v>1499</v>
      </c>
      <c r="D610">
        <v>26.98</v>
      </c>
      <c r="E610">
        <v>4.8600000000000003</v>
      </c>
      <c r="F610">
        <f>COUNTIFS(mdr_rate_cleaned!$A$2:$A$10,B610,mdr_rate_cleaned!$B$2:$B$10,"&lt;"&amp;C610,mdr_rate_cleaned!$F$2:$F$10,"&gt;="&amp;C610)</f>
        <v>1</v>
      </c>
      <c r="G610">
        <v>1.7999999999999999E-2</v>
      </c>
      <c r="H610">
        <v>26.98</v>
      </c>
      <c r="I610" t="s">
        <v>15</v>
      </c>
      <c r="J610" t="s">
        <v>15</v>
      </c>
      <c r="K610">
        <v>4.8600000000000003</v>
      </c>
      <c r="L610">
        <v>0</v>
      </c>
    </row>
    <row r="611" spans="1:12" x14ac:dyDescent="0.3">
      <c r="A611" t="s">
        <v>627</v>
      </c>
      <c r="B611" t="s">
        <v>13</v>
      </c>
      <c r="C611">
        <v>499</v>
      </c>
      <c r="D611">
        <v>9.48</v>
      </c>
      <c r="E611">
        <v>1.71</v>
      </c>
      <c r="F611">
        <f>COUNTIFS(mdr_rate_cleaned!$A$2:$A$10,B611,mdr_rate_cleaned!$B$2:$B$10,"&lt;"&amp;C611,mdr_rate_cleaned!$F$2:$F$10,"&gt;="&amp;C611)</f>
        <v>1</v>
      </c>
      <c r="G611">
        <v>1.9E-2</v>
      </c>
      <c r="H611">
        <v>9.48</v>
      </c>
      <c r="I611" t="s">
        <v>15</v>
      </c>
      <c r="J611" t="s">
        <v>15</v>
      </c>
      <c r="K611">
        <v>1.71</v>
      </c>
      <c r="L611">
        <v>0</v>
      </c>
    </row>
    <row r="612" spans="1:12" x14ac:dyDescent="0.3">
      <c r="A612" t="s">
        <v>628</v>
      </c>
      <c r="B612" t="s">
        <v>21</v>
      </c>
      <c r="C612">
        <v>648</v>
      </c>
      <c r="D612">
        <v>0</v>
      </c>
      <c r="E612">
        <v>0</v>
      </c>
      <c r="F612">
        <f>COUNTIFS(mdr_rate_cleaned!$A$2:$A$10,B612,mdr_rate_cleaned!$B$2:$B$10,"&lt;"&amp;C612,mdr_rate_cleaned!$F$2:$F$10,"&gt;="&amp;C612)</f>
        <v>1</v>
      </c>
      <c r="G612">
        <v>0</v>
      </c>
      <c r="H612">
        <v>0</v>
      </c>
      <c r="I612" t="s">
        <v>15</v>
      </c>
      <c r="J612" t="s">
        <v>15</v>
      </c>
      <c r="K612">
        <v>0</v>
      </c>
      <c r="L612">
        <v>0</v>
      </c>
    </row>
    <row r="613" spans="1:12" x14ac:dyDescent="0.3">
      <c r="A613" t="s">
        <v>629</v>
      </c>
      <c r="B613" t="s">
        <v>13</v>
      </c>
      <c r="C613">
        <v>1998</v>
      </c>
      <c r="D613">
        <v>37.96</v>
      </c>
      <c r="E613">
        <v>6.83</v>
      </c>
      <c r="F613">
        <f>COUNTIFS(mdr_rate_cleaned!$A$2:$A$10,B613,mdr_rate_cleaned!$B$2:$B$10,"&lt;"&amp;C613,mdr_rate_cleaned!$F$2:$F$10,"&gt;="&amp;C613)</f>
        <v>1</v>
      </c>
      <c r="G613">
        <v>1.9E-2</v>
      </c>
      <c r="H613">
        <v>37.96</v>
      </c>
      <c r="I613" t="s">
        <v>15</v>
      </c>
      <c r="J613" t="s">
        <v>15</v>
      </c>
      <c r="K613">
        <v>6.83</v>
      </c>
      <c r="L613">
        <v>0</v>
      </c>
    </row>
    <row r="614" spans="1:12" x14ac:dyDescent="0.3">
      <c r="A614" t="s">
        <v>630</v>
      </c>
      <c r="B614" t="s">
        <v>21</v>
      </c>
      <c r="C614">
        <v>1798</v>
      </c>
      <c r="D614">
        <v>0</v>
      </c>
      <c r="E614">
        <v>0</v>
      </c>
      <c r="F614">
        <f>COUNTIFS(mdr_rate_cleaned!$A$2:$A$10,B614,mdr_rate_cleaned!$B$2:$B$10,"&lt;"&amp;C614,mdr_rate_cleaned!$F$2:$F$10,"&gt;="&amp;C614)</f>
        <v>1</v>
      </c>
      <c r="G614">
        <v>0</v>
      </c>
      <c r="H614">
        <v>0</v>
      </c>
      <c r="I614" t="s">
        <v>15</v>
      </c>
      <c r="J614" t="s">
        <v>15</v>
      </c>
      <c r="K614">
        <v>0</v>
      </c>
      <c r="L614">
        <v>0</v>
      </c>
    </row>
    <row r="615" spans="1:12" x14ac:dyDescent="0.3">
      <c r="A615" t="s">
        <v>631</v>
      </c>
      <c r="B615" t="s">
        <v>17</v>
      </c>
      <c r="C615">
        <v>2447</v>
      </c>
      <c r="D615">
        <v>39.15</v>
      </c>
      <c r="E615">
        <v>7.05</v>
      </c>
      <c r="F615">
        <f>COUNTIFS(mdr_rate_cleaned!$A$2:$A$10,B615,mdr_rate_cleaned!$B$2:$B$10,"&lt;"&amp;C615,mdr_rate_cleaned!$F$2:$F$10,"&gt;="&amp;C615)</f>
        <v>1</v>
      </c>
      <c r="G615">
        <v>1.6E-2</v>
      </c>
      <c r="H615">
        <v>39.15</v>
      </c>
      <c r="I615" t="s">
        <v>15</v>
      </c>
      <c r="J615" t="s">
        <v>15</v>
      </c>
      <c r="K615">
        <v>7.05</v>
      </c>
      <c r="L615">
        <v>0</v>
      </c>
    </row>
    <row r="616" spans="1:12" x14ac:dyDescent="0.3">
      <c r="A616" t="s">
        <v>632</v>
      </c>
      <c r="B616" t="s">
        <v>21</v>
      </c>
      <c r="C616">
        <v>299</v>
      </c>
      <c r="D616">
        <v>0</v>
      </c>
      <c r="E616">
        <v>0</v>
      </c>
      <c r="F616">
        <f>COUNTIFS(mdr_rate_cleaned!$A$2:$A$10,B616,mdr_rate_cleaned!$B$2:$B$10,"&lt;"&amp;C616,mdr_rate_cleaned!$F$2:$F$10,"&gt;="&amp;C616)</f>
        <v>1</v>
      </c>
      <c r="G616">
        <v>0</v>
      </c>
      <c r="H616">
        <v>0</v>
      </c>
      <c r="I616" t="s">
        <v>15</v>
      </c>
      <c r="J616" t="s">
        <v>15</v>
      </c>
      <c r="K616">
        <v>0</v>
      </c>
      <c r="L616">
        <v>0</v>
      </c>
    </row>
    <row r="617" spans="1:12" x14ac:dyDescent="0.3">
      <c r="A617" t="s">
        <v>633</v>
      </c>
      <c r="B617" t="s">
        <v>21</v>
      </c>
      <c r="C617">
        <v>349</v>
      </c>
      <c r="D617">
        <v>0</v>
      </c>
      <c r="E617">
        <v>0</v>
      </c>
      <c r="F617">
        <f>COUNTIFS(mdr_rate_cleaned!$A$2:$A$10,B617,mdr_rate_cleaned!$B$2:$B$10,"&lt;"&amp;C617,mdr_rate_cleaned!$F$2:$F$10,"&gt;="&amp;C617)</f>
        <v>1</v>
      </c>
      <c r="G617">
        <v>0</v>
      </c>
      <c r="H617">
        <v>0</v>
      </c>
      <c r="I617" t="s">
        <v>15</v>
      </c>
      <c r="J617" t="s">
        <v>15</v>
      </c>
      <c r="K617">
        <v>0</v>
      </c>
      <c r="L617">
        <v>0</v>
      </c>
    </row>
    <row r="618" spans="1:12" x14ac:dyDescent="0.3">
      <c r="A618" t="s">
        <v>634</v>
      </c>
      <c r="B618" t="s">
        <v>21</v>
      </c>
      <c r="C618">
        <v>499</v>
      </c>
      <c r="D618">
        <v>0</v>
      </c>
      <c r="E618">
        <v>0</v>
      </c>
      <c r="F618">
        <f>COUNTIFS(mdr_rate_cleaned!$A$2:$A$10,B618,mdr_rate_cleaned!$B$2:$B$10,"&lt;"&amp;C618,mdr_rate_cleaned!$F$2:$F$10,"&gt;="&amp;C618)</f>
        <v>1</v>
      </c>
      <c r="G618">
        <v>0</v>
      </c>
      <c r="H618">
        <v>0</v>
      </c>
      <c r="I618" t="s">
        <v>15</v>
      </c>
      <c r="J618" t="s">
        <v>15</v>
      </c>
      <c r="K618">
        <v>0</v>
      </c>
      <c r="L618">
        <v>0</v>
      </c>
    </row>
    <row r="619" spans="1:12" x14ac:dyDescent="0.3">
      <c r="A619" t="s">
        <v>635</v>
      </c>
      <c r="B619" t="s">
        <v>17</v>
      </c>
      <c r="C619">
        <v>2148</v>
      </c>
      <c r="D619">
        <v>34.369999999999997</v>
      </c>
      <c r="E619">
        <v>6.19</v>
      </c>
      <c r="F619">
        <f>COUNTIFS(mdr_rate_cleaned!$A$2:$A$10,B619,mdr_rate_cleaned!$B$2:$B$10,"&lt;"&amp;C619,mdr_rate_cleaned!$F$2:$F$10,"&gt;="&amp;C619)</f>
        <v>1</v>
      </c>
      <c r="G619">
        <v>1.6E-2</v>
      </c>
      <c r="H619">
        <v>34.369999999999997</v>
      </c>
      <c r="I619" t="s">
        <v>15</v>
      </c>
      <c r="J619" t="s">
        <v>15</v>
      </c>
      <c r="K619">
        <v>6.19</v>
      </c>
      <c r="L619">
        <v>0</v>
      </c>
    </row>
    <row r="620" spans="1:12" x14ac:dyDescent="0.3">
      <c r="A620" t="s">
        <v>636</v>
      </c>
      <c r="B620" t="s">
        <v>21</v>
      </c>
      <c r="C620">
        <v>999</v>
      </c>
      <c r="D620">
        <v>0</v>
      </c>
      <c r="E620">
        <v>0</v>
      </c>
      <c r="F620">
        <f>COUNTIFS(mdr_rate_cleaned!$A$2:$A$10,B620,mdr_rate_cleaned!$B$2:$B$10,"&lt;"&amp;C620,mdr_rate_cleaned!$F$2:$F$10,"&gt;="&amp;C620)</f>
        <v>1</v>
      </c>
      <c r="G620">
        <v>0</v>
      </c>
      <c r="H620">
        <v>0</v>
      </c>
      <c r="I620" t="s">
        <v>15</v>
      </c>
      <c r="J620" t="s">
        <v>15</v>
      </c>
      <c r="K620">
        <v>0</v>
      </c>
      <c r="L620">
        <v>0</v>
      </c>
    </row>
    <row r="621" spans="1:12" x14ac:dyDescent="0.3">
      <c r="A621" t="s">
        <v>637</v>
      </c>
      <c r="B621" t="s">
        <v>21</v>
      </c>
      <c r="C621">
        <v>10498</v>
      </c>
      <c r="D621">
        <v>31.49</v>
      </c>
      <c r="E621">
        <v>5.67</v>
      </c>
      <c r="F621">
        <f>COUNTIFS(mdr_rate_cleaned!$A$2:$A$10,B621,mdr_rate_cleaned!$B$2:$B$10,"&lt;"&amp;C621,mdr_rate_cleaned!$F$2:$F$10,"&gt;="&amp;C621)</f>
        <v>1</v>
      </c>
      <c r="G621">
        <v>3.0000000000000001E-3</v>
      </c>
      <c r="H621">
        <v>31.49</v>
      </c>
      <c r="I621" t="s">
        <v>15</v>
      </c>
      <c r="J621" t="s">
        <v>15</v>
      </c>
      <c r="K621">
        <v>5.67</v>
      </c>
      <c r="L621">
        <v>0</v>
      </c>
    </row>
    <row r="622" spans="1:12" x14ac:dyDescent="0.3">
      <c r="A622" t="s">
        <v>638</v>
      </c>
      <c r="B622" t="s">
        <v>13</v>
      </c>
      <c r="C622">
        <v>999</v>
      </c>
      <c r="D622">
        <v>18.98</v>
      </c>
      <c r="E622">
        <v>3.42</v>
      </c>
      <c r="F622">
        <f>COUNTIFS(mdr_rate_cleaned!$A$2:$A$10,B622,mdr_rate_cleaned!$B$2:$B$10,"&lt;"&amp;C622,mdr_rate_cleaned!$F$2:$F$10,"&gt;="&amp;C622)</f>
        <v>1</v>
      </c>
      <c r="G622">
        <v>1.9E-2</v>
      </c>
      <c r="H622">
        <v>18.98</v>
      </c>
      <c r="I622" t="s">
        <v>15</v>
      </c>
      <c r="J622" t="s">
        <v>15</v>
      </c>
      <c r="K622">
        <v>3.42</v>
      </c>
      <c r="L622">
        <v>0</v>
      </c>
    </row>
    <row r="623" spans="1:12" x14ac:dyDescent="0.3">
      <c r="A623" t="s">
        <v>639</v>
      </c>
      <c r="B623" t="s">
        <v>21</v>
      </c>
      <c r="C623">
        <v>7498</v>
      </c>
      <c r="D623">
        <v>22.49</v>
      </c>
      <c r="E623">
        <v>4.05</v>
      </c>
      <c r="F623">
        <f>COUNTIFS(mdr_rate_cleaned!$A$2:$A$10,B623,mdr_rate_cleaned!$B$2:$B$10,"&lt;"&amp;C623,mdr_rate_cleaned!$F$2:$F$10,"&gt;="&amp;C623)</f>
        <v>1</v>
      </c>
      <c r="G623">
        <v>3.0000000000000001E-3</v>
      </c>
      <c r="H623">
        <v>22.49</v>
      </c>
      <c r="I623" t="s">
        <v>15</v>
      </c>
      <c r="J623" t="s">
        <v>15</v>
      </c>
      <c r="K623">
        <v>4.05</v>
      </c>
      <c r="L623">
        <v>0</v>
      </c>
    </row>
    <row r="624" spans="1:12" x14ac:dyDescent="0.3">
      <c r="A624" t="s">
        <v>640</v>
      </c>
      <c r="B624" t="s">
        <v>17</v>
      </c>
      <c r="C624">
        <v>9097</v>
      </c>
      <c r="D624">
        <v>145.55000000000001</v>
      </c>
      <c r="E624">
        <v>26.2</v>
      </c>
      <c r="F624">
        <f>COUNTIFS(mdr_rate_cleaned!$A$2:$A$10,B624,mdr_rate_cleaned!$B$2:$B$10,"&lt;"&amp;C624,mdr_rate_cleaned!$F$2:$F$10,"&gt;="&amp;C624)</f>
        <v>1</v>
      </c>
      <c r="G624">
        <v>1.6E-2</v>
      </c>
      <c r="H624">
        <v>145.55000000000001</v>
      </c>
      <c r="I624" t="s">
        <v>15</v>
      </c>
      <c r="J624" t="s">
        <v>15</v>
      </c>
      <c r="K624">
        <v>26.2</v>
      </c>
      <c r="L624">
        <v>0</v>
      </c>
    </row>
    <row r="625" spans="1:12" x14ac:dyDescent="0.3">
      <c r="A625" t="s">
        <v>641</v>
      </c>
      <c r="B625" t="s">
        <v>17</v>
      </c>
      <c r="C625">
        <v>349</v>
      </c>
      <c r="D625">
        <v>6.28</v>
      </c>
      <c r="E625">
        <v>1.1299999999999999</v>
      </c>
      <c r="F625">
        <f>COUNTIFS(mdr_rate_cleaned!$A$2:$A$10,B625,mdr_rate_cleaned!$B$2:$B$10,"&lt;"&amp;C625,mdr_rate_cleaned!$F$2:$F$10,"&gt;="&amp;C625)</f>
        <v>1</v>
      </c>
      <c r="G625">
        <v>1.7999999999999999E-2</v>
      </c>
      <c r="H625">
        <v>6.28</v>
      </c>
      <c r="I625" t="s">
        <v>15</v>
      </c>
      <c r="J625" t="s">
        <v>15</v>
      </c>
      <c r="K625">
        <v>1.1299999999999999</v>
      </c>
      <c r="L625">
        <v>0</v>
      </c>
    </row>
    <row r="626" spans="1:12" x14ac:dyDescent="0.3">
      <c r="A626" t="s">
        <v>642</v>
      </c>
      <c r="B626" t="s">
        <v>21</v>
      </c>
      <c r="C626">
        <v>4999</v>
      </c>
      <c r="D626">
        <v>15</v>
      </c>
      <c r="E626">
        <v>2.7</v>
      </c>
      <c r="F626">
        <f>COUNTIFS(mdr_rate_cleaned!$A$2:$A$10,B626,mdr_rate_cleaned!$B$2:$B$10,"&lt;"&amp;C626,mdr_rate_cleaned!$F$2:$F$10,"&gt;="&amp;C626)</f>
        <v>1</v>
      </c>
      <c r="G626">
        <v>3.0000000000000001E-3</v>
      </c>
      <c r="H626">
        <v>15</v>
      </c>
      <c r="I626" t="s">
        <v>15</v>
      </c>
      <c r="J626" t="s">
        <v>15</v>
      </c>
      <c r="K626">
        <v>2.7</v>
      </c>
      <c r="L626">
        <v>0</v>
      </c>
    </row>
    <row r="627" spans="1:12" x14ac:dyDescent="0.3">
      <c r="A627" t="s">
        <v>643</v>
      </c>
      <c r="B627" t="s">
        <v>21</v>
      </c>
      <c r="C627">
        <v>6597</v>
      </c>
      <c r="D627">
        <v>19.79</v>
      </c>
      <c r="E627">
        <v>3.56</v>
      </c>
      <c r="F627">
        <f>COUNTIFS(mdr_rate_cleaned!$A$2:$A$10,B627,mdr_rate_cleaned!$B$2:$B$10,"&lt;"&amp;C627,mdr_rate_cleaned!$F$2:$F$10,"&gt;="&amp;C627)</f>
        <v>1</v>
      </c>
      <c r="G627">
        <v>3.0000000000000001E-3</v>
      </c>
      <c r="H627">
        <v>19.79</v>
      </c>
      <c r="I627" t="s">
        <v>15</v>
      </c>
      <c r="J627" t="s">
        <v>15</v>
      </c>
      <c r="K627">
        <v>3.56</v>
      </c>
      <c r="L627">
        <v>0</v>
      </c>
    </row>
    <row r="628" spans="1:12" x14ac:dyDescent="0.3">
      <c r="A628" t="s">
        <v>644</v>
      </c>
      <c r="B628" t="s">
        <v>21</v>
      </c>
      <c r="C628">
        <v>7999</v>
      </c>
      <c r="D628">
        <v>24</v>
      </c>
      <c r="E628">
        <v>4.32</v>
      </c>
      <c r="F628">
        <f>COUNTIFS(mdr_rate_cleaned!$A$2:$A$10,B628,mdr_rate_cleaned!$B$2:$B$10,"&lt;"&amp;C628,mdr_rate_cleaned!$F$2:$F$10,"&gt;="&amp;C628)</f>
        <v>1</v>
      </c>
      <c r="G628">
        <v>3.0000000000000001E-3</v>
      </c>
      <c r="H628">
        <v>24</v>
      </c>
      <c r="I628" t="s">
        <v>15</v>
      </c>
      <c r="J628" t="s">
        <v>15</v>
      </c>
      <c r="K628">
        <v>4.32</v>
      </c>
      <c r="L628">
        <v>0</v>
      </c>
    </row>
    <row r="629" spans="1:12" x14ac:dyDescent="0.3">
      <c r="A629" t="s">
        <v>645</v>
      </c>
      <c r="B629" t="s">
        <v>13</v>
      </c>
      <c r="C629">
        <v>4999</v>
      </c>
      <c r="D629">
        <v>84.98</v>
      </c>
      <c r="E629">
        <v>15.3</v>
      </c>
      <c r="F629">
        <f>COUNTIFS(mdr_rate_cleaned!$A$2:$A$10,B629,mdr_rate_cleaned!$B$2:$B$10,"&lt;"&amp;C629,mdr_rate_cleaned!$F$2:$F$10,"&gt;="&amp;C629)</f>
        <v>1</v>
      </c>
      <c r="G629">
        <v>1.7000000000000001E-2</v>
      </c>
      <c r="H629">
        <v>84.98</v>
      </c>
      <c r="I629" t="s">
        <v>15</v>
      </c>
      <c r="J629" t="s">
        <v>15</v>
      </c>
      <c r="K629">
        <v>15.3</v>
      </c>
      <c r="L629">
        <v>0</v>
      </c>
    </row>
    <row r="630" spans="1:12" x14ac:dyDescent="0.3">
      <c r="A630" t="s">
        <v>646</v>
      </c>
      <c r="B630" t="s">
        <v>13</v>
      </c>
      <c r="C630">
        <v>1798</v>
      </c>
      <c r="D630">
        <v>34.159999999999997</v>
      </c>
      <c r="E630">
        <v>6.15</v>
      </c>
      <c r="F630">
        <f>COUNTIFS(mdr_rate_cleaned!$A$2:$A$10,B630,mdr_rate_cleaned!$B$2:$B$10,"&lt;"&amp;C630,mdr_rate_cleaned!$F$2:$F$10,"&gt;="&amp;C630)</f>
        <v>1</v>
      </c>
      <c r="G630">
        <v>1.9E-2</v>
      </c>
      <c r="H630">
        <v>34.159999999999997</v>
      </c>
      <c r="I630" t="s">
        <v>15</v>
      </c>
      <c r="J630" t="s">
        <v>15</v>
      </c>
      <c r="K630">
        <v>6.15</v>
      </c>
      <c r="L630">
        <v>0</v>
      </c>
    </row>
    <row r="631" spans="1:12" x14ac:dyDescent="0.3">
      <c r="A631" t="s">
        <v>647</v>
      </c>
      <c r="B631" t="s">
        <v>21</v>
      </c>
      <c r="C631">
        <v>1299</v>
      </c>
      <c r="D631">
        <v>0</v>
      </c>
      <c r="E631">
        <v>0</v>
      </c>
      <c r="F631">
        <f>COUNTIFS(mdr_rate_cleaned!$A$2:$A$10,B631,mdr_rate_cleaned!$B$2:$B$10,"&lt;"&amp;C631,mdr_rate_cleaned!$F$2:$F$10,"&gt;="&amp;C631)</f>
        <v>1</v>
      </c>
      <c r="G631">
        <v>0</v>
      </c>
      <c r="H631">
        <v>0</v>
      </c>
      <c r="I631" t="s">
        <v>15</v>
      </c>
      <c r="J631" t="s">
        <v>15</v>
      </c>
      <c r="K631">
        <v>0</v>
      </c>
      <c r="L631">
        <v>0</v>
      </c>
    </row>
    <row r="632" spans="1:12" x14ac:dyDescent="0.3">
      <c r="A632" t="s">
        <v>648</v>
      </c>
      <c r="B632" t="s">
        <v>13</v>
      </c>
      <c r="C632">
        <v>4298</v>
      </c>
      <c r="D632">
        <v>73.069999999999993</v>
      </c>
      <c r="E632">
        <v>13.15</v>
      </c>
      <c r="F632">
        <f>COUNTIFS(mdr_rate_cleaned!$A$2:$A$10,B632,mdr_rate_cleaned!$B$2:$B$10,"&lt;"&amp;C632,mdr_rate_cleaned!$F$2:$F$10,"&gt;="&amp;C632)</f>
        <v>1</v>
      </c>
      <c r="G632">
        <v>1.7000000000000001E-2</v>
      </c>
      <c r="H632">
        <v>73.069999999999993</v>
      </c>
      <c r="I632" t="s">
        <v>15</v>
      </c>
      <c r="J632" t="s">
        <v>15</v>
      </c>
      <c r="K632">
        <v>13.15</v>
      </c>
      <c r="L632">
        <v>0</v>
      </c>
    </row>
    <row r="633" spans="1:12" x14ac:dyDescent="0.3">
      <c r="A633" t="s">
        <v>649</v>
      </c>
      <c r="B633" t="s">
        <v>17</v>
      </c>
      <c r="C633">
        <v>3998</v>
      </c>
      <c r="D633">
        <v>63.97</v>
      </c>
      <c r="E633">
        <v>11.51</v>
      </c>
      <c r="F633">
        <f>COUNTIFS(mdr_rate_cleaned!$A$2:$A$10,B633,mdr_rate_cleaned!$B$2:$B$10,"&lt;"&amp;C633,mdr_rate_cleaned!$F$2:$F$10,"&gt;="&amp;C633)</f>
        <v>1</v>
      </c>
      <c r="G633">
        <v>1.6E-2</v>
      </c>
      <c r="H633">
        <v>63.97</v>
      </c>
      <c r="I633" t="s">
        <v>15</v>
      </c>
      <c r="J633" t="s">
        <v>15</v>
      </c>
      <c r="K633">
        <v>11.51</v>
      </c>
      <c r="L633">
        <v>0</v>
      </c>
    </row>
    <row r="634" spans="1:12" x14ac:dyDescent="0.3">
      <c r="A634" t="s">
        <v>650</v>
      </c>
      <c r="B634" t="s">
        <v>21</v>
      </c>
      <c r="C634">
        <v>799</v>
      </c>
      <c r="D634">
        <v>0</v>
      </c>
      <c r="E634">
        <v>0</v>
      </c>
      <c r="F634">
        <f>COUNTIFS(mdr_rate_cleaned!$A$2:$A$10,B634,mdr_rate_cleaned!$B$2:$B$10,"&lt;"&amp;C634,mdr_rate_cleaned!$F$2:$F$10,"&gt;="&amp;C634)</f>
        <v>1</v>
      </c>
      <c r="G634">
        <v>0</v>
      </c>
      <c r="H634">
        <v>0</v>
      </c>
      <c r="I634" t="s">
        <v>15</v>
      </c>
      <c r="J634" t="s">
        <v>15</v>
      </c>
      <c r="K634">
        <v>0</v>
      </c>
      <c r="L634">
        <v>0</v>
      </c>
    </row>
    <row r="635" spans="1:12" x14ac:dyDescent="0.3">
      <c r="A635" t="s">
        <v>651</v>
      </c>
      <c r="B635" t="s">
        <v>39</v>
      </c>
      <c r="C635">
        <v>4298</v>
      </c>
      <c r="D635">
        <v>51.58</v>
      </c>
      <c r="E635">
        <v>9.2799999999999994</v>
      </c>
      <c r="F635">
        <f>COUNTIFS(mdr_rate_cleaned!$A$2:$A$10,B635,mdr_rate_cleaned!$B$2:$B$10,"&lt;"&amp;C635,mdr_rate_cleaned!$F$2:$F$10,"&gt;="&amp;C635)</f>
        <v>1</v>
      </c>
      <c r="G635">
        <v>1.2E-2</v>
      </c>
      <c r="H635">
        <v>51.58</v>
      </c>
      <c r="I635" t="s">
        <v>15</v>
      </c>
      <c r="J635" t="s">
        <v>15</v>
      </c>
      <c r="K635">
        <v>9.2799999999999994</v>
      </c>
      <c r="L635">
        <v>0</v>
      </c>
    </row>
    <row r="636" spans="1:12" x14ac:dyDescent="0.3">
      <c r="A636" t="s">
        <v>652</v>
      </c>
      <c r="B636" t="s">
        <v>17</v>
      </c>
      <c r="C636">
        <v>9147</v>
      </c>
      <c r="D636">
        <v>146.35</v>
      </c>
      <c r="E636">
        <v>26.34</v>
      </c>
      <c r="F636">
        <f>COUNTIFS(mdr_rate_cleaned!$A$2:$A$10,B636,mdr_rate_cleaned!$B$2:$B$10,"&lt;"&amp;C636,mdr_rate_cleaned!$F$2:$F$10,"&gt;="&amp;C636)</f>
        <v>1</v>
      </c>
      <c r="G636">
        <v>1.6E-2</v>
      </c>
      <c r="H636">
        <v>146.35</v>
      </c>
      <c r="I636" t="s">
        <v>15</v>
      </c>
      <c r="J636" t="s">
        <v>15</v>
      </c>
      <c r="K636">
        <v>26.34</v>
      </c>
      <c r="L636">
        <v>0</v>
      </c>
    </row>
    <row r="637" spans="1:12" x14ac:dyDescent="0.3">
      <c r="A637" t="s">
        <v>653</v>
      </c>
      <c r="B637" t="s">
        <v>21</v>
      </c>
      <c r="C637">
        <v>799</v>
      </c>
      <c r="D637">
        <v>0</v>
      </c>
      <c r="E637">
        <v>0</v>
      </c>
      <c r="F637">
        <f>COUNTIFS(mdr_rate_cleaned!$A$2:$A$10,B637,mdr_rate_cleaned!$B$2:$B$10,"&lt;"&amp;C637,mdr_rate_cleaned!$F$2:$F$10,"&gt;="&amp;C637)</f>
        <v>1</v>
      </c>
      <c r="G637">
        <v>0</v>
      </c>
      <c r="H637">
        <v>0</v>
      </c>
      <c r="I637" t="s">
        <v>15</v>
      </c>
      <c r="J637" t="s">
        <v>15</v>
      </c>
      <c r="K637">
        <v>0</v>
      </c>
      <c r="L637">
        <v>0</v>
      </c>
    </row>
    <row r="638" spans="1:12" x14ac:dyDescent="0.3">
      <c r="A638" t="s">
        <v>654</v>
      </c>
      <c r="B638" t="s">
        <v>21</v>
      </c>
      <c r="C638">
        <v>6797</v>
      </c>
      <c r="D638">
        <v>20.39</v>
      </c>
      <c r="E638">
        <v>3.67</v>
      </c>
      <c r="F638">
        <f>COUNTIFS(mdr_rate_cleaned!$A$2:$A$10,B638,mdr_rate_cleaned!$B$2:$B$10,"&lt;"&amp;C638,mdr_rate_cleaned!$F$2:$F$10,"&gt;="&amp;C638)</f>
        <v>1</v>
      </c>
      <c r="G638">
        <v>3.0000000000000001E-3</v>
      </c>
      <c r="H638">
        <v>20.39</v>
      </c>
      <c r="I638" t="s">
        <v>15</v>
      </c>
      <c r="J638" t="s">
        <v>15</v>
      </c>
      <c r="K638">
        <v>3.67</v>
      </c>
      <c r="L638">
        <v>0</v>
      </c>
    </row>
    <row r="639" spans="1:12" x14ac:dyDescent="0.3">
      <c r="A639" t="s">
        <v>655</v>
      </c>
      <c r="B639" t="s">
        <v>21</v>
      </c>
      <c r="C639">
        <v>10997</v>
      </c>
      <c r="D639">
        <v>32.99</v>
      </c>
      <c r="E639">
        <v>5.94</v>
      </c>
      <c r="F639">
        <f>COUNTIFS(mdr_rate_cleaned!$A$2:$A$10,B639,mdr_rate_cleaned!$B$2:$B$10,"&lt;"&amp;C639,mdr_rate_cleaned!$F$2:$F$10,"&gt;="&amp;C639)</f>
        <v>1</v>
      </c>
      <c r="G639">
        <v>3.0000000000000001E-3</v>
      </c>
      <c r="H639">
        <v>32.99</v>
      </c>
      <c r="I639" t="s">
        <v>15</v>
      </c>
      <c r="J639" t="s">
        <v>15</v>
      </c>
      <c r="K639">
        <v>5.94</v>
      </c>
      <c r="L639">
        <v>0</v>
      </c>
    </row>
    <row r="640" spans="1:12" x14ac:dyDescent="0.3">
      <c r="A640" t="s">
        <v>656</v>
      </c>
      <c r="B640" t="s">
        <v>17</v>
      </c>
      <c r="C640">
        <v>6798</v>
      </c>
      <c r="D640">
        <v>108.77</v>
      </c>
      <c r="E640">
        <v>19.579999999999998</v>
      </c>
      <c r="F640">
        <f>COUNTIFS(mdr_rate_cleaned!$A$2:$A$10,B640,mdr_rate_cleaned!$B$2:$B$10,"&lt;"&amp;C640,mdr_rate_cleaned!$F$2:$F$10,"&gt;="&amp;C640)</f>
        <v>1</v>
      </c>
      <c r="G640">
        <v>1.6E-2</v>
      </c>
      <c r="H640">
        <v>108.77</v>
      </c>
      <c r="I640" t="s">
        <v>15</v>
      </c>
      <c r="J640" t="s">
        <v>15</v>
      </c>
      <c r="K640">
        <v>19.579999999999998</v>
      </c>
      <c r="L640">
        <v>0</v>
      </c>
    </row>
    <row r="641" spans="1:12" x14ac:dyDescent="0.3">
      <c r="A641" t="s">
        <v>657</v>
      </c>
      <c r="B641" t="s">
        <v>21</v>
      </c>
      <c r="C641">
        <v>7999</v>
      </c>
      <c r="D641">
        <v>24</v>
      </c>
      <c r="E641">
        <v>4.32</v>
      </c>
      <c r="F641">
        <f>COUNTIFS(mdr_rate_cleaned!$A$2:$A$10,B641,mdr_rate_cleaned!$B$2:$B$10,"&lt;"&amp;C641,mdr_rate_cleaned!$F$2:$F$10,"&gt;="&amp;C641)</f>
        <v>1</v>
      </c>
      <c r="G641">
        <v>3.0000000000000001E-3</v>
      </c>
      <c r="H641">
        <v>24</v>
      </c>
      <c r="I641" t="s">
        <v>15</v>
      </c>
      <c r="J641" t="s">
        <v>15</v>
      </c>
      <c r="K641">
        <v>4.32</v>
      </c>
      <c r="L641">
        <v>0</v>
      </c>
    </row>
    <row r="642" spans="1:12" x14ac:dyDescent="0.3">
      <c r="A642" t="s">
        <v>658</v>
      </c>
      <c r="B642" t="s">
        <v>17</v>
      </c>
      <c r="C642">
        <v>7999</v>
      </c>
      <c r="D642">
        <v>127.98</v>
      </c>
      <c r="E642">
        <v>23.04</v>
      </c>
      <c r="F642">
        <f>COUNTIFS(mdr_rate_cleaned!$A$2:$A$10,B642,mdr_rate_cleaned!$B$2:$B$10,"&lt;"&amp;C642,mdr_rate_cleaned!$F$2:$F$10,"&gt;="&amp;C642)</f>
        <v>1</v>
      </c>
      <c r="G642">
        <v>1.6E-2</v>
      </c>
      <c r="H642">
        <v>127.98</v>
      </c>
      <c r="I642" t="s">
        <v>15</v>
      </c>
      <c r="J642" t="s">
        <v>15</v>
      </c>
      <c r="K642">
        <v>23.04</v>
      </c>
      <c r="L642">
        <v>0</v>
      </c>
    </row>
    <row r="643" spans="1:12" x14ac:dyDescent="0.3">
      <c r="A643" t="s">
        <v>659</v>
      </c>
      <c r="B643" t="s">
        <v>17</v>
      </c>
      <c r="C643">
        <v>4798</v>
      </c>
      <c r="D643">
        <v>76.77</v>
      </c>
      <c r="E643">
        <v>13.82</v>
      </c>
      <c r="F643">
        <f>COUNTIFS(mdr_rate_cleaned!$A$2:$A$10,B643,mdr_rate_cleaned!$B$2:$B$10,"&lt;"&amp;C643,mdr_rate_cleaned!$F$2:$F$10,"&gt;="&amp;C643)</f>
        <v>1</v>
      </c>
      <c r="G643">
        <v>1.6E-2</v>
      </c>
      <c r="H643">
        <v>76.77</v>
      </c>
      <c r="I643" t="s">
        <v>15</v>
      </c>
      <c r="J643" t="s">
        <v>15</v>
      </c>
      <c r="K643">
        <v>13.82</v>
      </c>
      <c r="L643">
        <v>0</v>
      </c>
    </row>
    <row r="644" spans="1:12" x14ac:dyDescent="0.3">
      <c r="A644" t="s">
        <v>660</v>
      </c>
      <c r="B644" t="s">
        <v>39</v>
      </c>
      <c r="C644">
        <v>4999</v>
      </c>
      <c r="D644">
        <v>59.99</v>
      </c>
      <c r="E644">
        <v>10.8</v>
      </c>
      <c r="F644">
        <f>COUNTIFS(mdr_rate_cleaned!$A$2:$A$10,B644,mdr_rate_cleaned!$B$2:$B$10,"&lt;"&amp;C644,mdr_rate_cleaned!$F$2:$F$10,"&gt;="&amp;C644)</f>
        <v>1</v>
      </c>
      <c r="G644">
        <v>1.2E-2</v>
      </c>
      <c r="H644">
        <v>59.99</v>
      </c>
      <c r="I644" t="s">
        <v>15</v>
      </c>
      <c r="J644" t="s">
        <v>15</v>
      </c>
      <c r="K644">
        <v>10.8</v>
      </c>
      <c r="L644">
        <v>0</v>
      </c>
    </row>
    <row r="645" spans="1:12" x14ac:dyDescent="0.3">
      <c r="A645" t="s">
        <v>661</v>
      </c>
      <c r="B645" t="s">
        <v>39</v>
      </c>
      <c r="C645">
        <v>1499</v>
      </c>
      <c r="D645">
        <v>22.49</v>
      </c>
      <c r="E645">
        <v>4.05</v>
      </c>
      <c r="F645">
        <f>COUNTIFS(mdr_rate_cleaned!$A$2:$A$10,B645,mdr_rate_cleaned!$B$2:$B$10,"&lt;"&amp;C645,mdr_rate_cleaned!$F$2:$F$10,"&gt;="&amp;C645)</f>
        <v>1</v>
      </c>
      <c r="G645">
        <v>1.4999999999999999E-2</v>
      </c>
      <c r="H645">
        <v>22.49</v>
      </c>
      <c r="I645" t="s">
        <v>15</v>
      </c>
      <c r="J645" t="s">
        <v>15</v>
      </c>
      <c r="K645">
        <v>4.05</v>
      </c>
      <c r="L645">
        <v>0</v>
      </c>
    </row>
    <row r="646" spans="1:12" x14ac:dyDescent="0.3">
      <c r="A646" t="s">
        <v>662</v>
      </c>
      <c r="B646" t="s">
        <v>39</v>
      </c>
      <c r="C646">
        <v>8298</v>
      </c>
      <c r="D646">
        <v>99.58</v>
      </c>
      <c r="E646">
        <v>17.920000000000002</v>
      </c>
      <c r="F646">
        <f>COUNTIFS(mdr_rate_cleaned!$A$2:$A$10,B646,mdr_rate_cleaned!$B$2:$B$10,"&lt;"&amp;C646,mdr_rate_cleaned!$F$2:$F$10,"&gt;="&amp;C646)</f>
        <v>1</v>
      </c>
      <c r="G646">
        <v>1.2E-2</v>
      </c>
      <c r="H646">
        <v>99.58</v>
      </c>
      <c r="I646" t="s">
        <v>15</v>
      </c>
      <c r="J646" t="s">
        <v>15</v>
      </c>
      <c r="K646">
        <v>17.920000000000002</v>
      </c>
      <c r="L646">
        <v>0</v>
      </c>
    </row>
    <row r="647" spans="1:12" x14ac:dyDescent="0.3">
      <c r="A647" t="s">
        <v>663</v>
      </c>
      <c r="B647" t="s">
        <v>21</v>
      </c>
      <c r="C647">
        <v>9497</v>
      </c>
      <c r="D647">
        <v>28.49</v>
      </c>
      <c r="E647">
        <v>5.13</v>
      </c>
      <c r="F647">
        <f>COUNTIFS(mdr_rate_cleaned!$A$2:$A$10,B647,mdr_rate_cleaned!$B$2:$B$10,"&lt;"&amp;C647,mdr_rate_cleaned!$F$2:$F$10,"&gt;="&amp;C647)</f>
        <v>1</v>
      </c>
      <c r="G647">
        <v>3.0000000000000001E-3</v>
      </c>
      <c r="H647">
        <v>28.49</v>
      </c>
      <c r="I647" t="s">
        <v>15</v>
      </c>
      <c r="J647" t="s">
        <v>15</v>
      </c>
      <c r="K647">
        <v>5.13</v>
      </c>
      <c r="L647">
        <v>0</v>
      </c>
    </row>
    <row r="648" spans="1:12" x14ac:dyDescent="0.3">
      <c r="A648" t="s">
        <v>664</v>
      </c>
      <c r="B648" t="s">
        <v>17</v>
      </c>
      <c r="C648">
        <v>999</v>
      </c>
      <c r="D648">
        <v>17.98</v>
      </c>
      <c r="E648">
        <v>3.24</v>
      </c>
      <c r="F648">
        <f>COUNTIFS(mdr_rate_cleaned!$A$2:$A$10,B648,mdr_rate_cleaned!$B$2:$B$10,"&lt;"&amp;C648,mdr_rate_cleaned!$F$2:$F$10,"&gt;="&amp;C648)</f>
        <v>1</v>
      </c>
      <c r="G648">
        <v>1.7999999999999999E-2</v>
      </c>
      <c r="H648">
        <v>17.98</v>
      </c>
      <c r="I648" t="s">
        <v>15</v>
      </c>
      <c r="J648" t="s">
        <v>15</v>
      </c>
      <c r="K648">
        <v>3.24</v>
      </c>
      <c r="L648">
        <v>0</v>
      </c>
    </row>
    <row r="649" spans="1:12" x14ac:dyDescent="0.3">
      <c r="A649" t="s">
        <v>665</v>
      </c>
      <c r="B649" t="s">
        <v>17</v>
      </c>
      <c r="C649">
        <v>4197</v>
      </c>
      <c r="D649">
        <v>67.150000000000006</v>
      </c>
      <c r="E649">
        <v>12.09</v>
      </c>
      <c r="F649">
        <f>COUNTIFS(mdr_rate_cleaned!$A$2:$A$10,B649,mdr_rate_cleaned!$B$2:$B$10,"&lt;"&amp;C649,mdr_rate_cleaned!$F$2:$F$10,"&gt;="&amp;C649)</f>
        <v>1</v>
      </c>
      <c r="G649">
        <v>1.6E-2</v>
      </c>
      <c r="H649">
        <v>67.150000000000006</v>
      </c>
      <c r="I649" t="s">
        <v>15</v>
      </c>
      <c r="J649" t="s">
        <v>15</v>
      </c>
      <c r="K649">
        <v>12.09</v>
      </c>
      <c r="L649">
        <v>0</v>
      </c>
    </row>
    <row r="650" spans="1:12" x14ac:dyDescent="0.3">
      <c r="A650" t="s">
        <v>666</v>
      </c>
      <c r="B650" t="s">
        <v>21</v>
      </c>
      <c r="C650">
        <v>3097</v>
      </c>
      <c r="D650">
        <v>9.2899999999999991</v>
      </c>
      <c r="E650">
        <v>1.67</v>
      </c>
      <c r="F650">
        <f>COUNTIFS(mdr_rate_cleaned!$A$2:$A$10,B650,mdr_rate_cleaned!$B$2:$B$10,"&lt;"&amp;C650,mdr_rate_cleaned!$F$2:$F$10,"&gt;="&amp;C650)</f>
        <v>1</v>
      </c>
      <c r="G650">
        <v>3.0000000000000001E-3</v>
      </c>
      <c r="H650">
        <v>9.2899999999999991</v>
      </c>
      <c r="I650" t="s">
        <v>15</v>
      </c>
      <c r="J650" t="s">
        <v>15</v>
      </c>
      <c r="K650">
        <v>1.67</v>
      </c>
      <c r="L650">
        <v>0</v>
      </c>
    </row>
    <row r="651" spans="1:12" x14ac:dyDescent="0.3">
      <c r="A651" t="s">
        <v>667</v>
      </c>
      <c r="B651" t="s">
        <v>21</v>
      </c>
      <c r="C651">
        <v>7998</v>
      </c>
      <c r="D651">
        <v>23.99</v>
      </c>
      <c r="E651">
        <v>4.32</v>
      </c>
      <c r="F651">
        <f>COUNTIFS(mdr_rate_cleaned!$A$2:$A$10,B651,mdr_rate_cleaned!$B$2:$B$10,"&lt;"&amp;C651,mdr_rate_cleaned!$F$2:$F$10,"&gt;="&amp;C651)</f>
        <v>1</v>
      </c>
      <c r="G651">
        <v>3.0000000000000001E-3</v>
      </c>
      <c r="H651">
        <v>23.99</v>
      </c>
      <c r="I651" t="s">
        <v>15</v>
      </c>
      <c r="J651" t="s">
        <v>15</v>
      </c>
      <c r="K651">
        <v>4.32</v>
      </c>
      <c r="L651">
        <v>0</v>
      </c>
    </row>
    <row r="652" spans="1:12" x14ac:dyDescent="0.3">
      <c r="A652" t="s">
        <v>668</v>
      </c>
      <c r="B652" t="s">
        <v>21</v>
      </c>
      <c r="C652">
        <v>799</v>
      </c>
      <c r="D652">
        <v>0</v>
      </c>
      <c r="E652">
        <v>0</v>
      </c>
      <c r="F652">
        <f>COUNTIFS(mdr_rate_cleaned!$A$2:$A$10,B652,mdr_rate_cleaned!$B$2:$B$10,"&lt;"&amp;C652,mdr_rate_cleaned!$F$2:$F$10,"&gt;="&amp;C652)</f>
        <v>1</v>
      </c>
      <c r="G652">
        <v>0</v>
      </c>
      <c r="H652">
        <v>0</v>
      </c>
      <c r="I652" t="s">
        <v>15</v>
      </c>
      <c r="J652" t="s">
        <v>15</v>
      </c>
      <c r="K652">
        <v>0</v>
      </c>
      <c r="L652">
        <v>0</v>
      </c>
    </row>
    <row r="653" spans="1:12" x14ac:dyDescent="0.3">
      <c r="A653" t="s">
        <v>669</v>
      </c>
      <c r="B653" t="s">
        <v>21</v>
      </c>
      <c r="C653">
        <v>7999</v>
      </c>
      <c r="D653">
        <v>24</v>
      </c>
      <c r="E653">
        <v>4.32</v>
      </c>
      <c r="F653">
        <f>COUNTIFS(mdr_rate_cleaned!$A$2:$A$10,B653,mdr_rate_cleaned!$B$2:$B$10,"&lt;"&amp;C653,mdr_rate_cleaned!$F$2:$F$10,"&gt;="&amp;C653)</f>
        <v>1</v>
      </c>
      <c r="G653">
        <v>3.0000000000000001E-3</v>
      </c>
      <c r="H653">
        <v>24</v>
      </c>
      <c r="I653" t="s">
        <v>15</v>
      </c>
      <c r="J653" t="s">
        <v>15</v>
      </c>
      <c r="K653">
        <v>4.32</v>
      </c>
      <c r="L653">
        <v>0</v>
      </c>
    </row>
    <row r="654" spans="1:12" x14ac:dyDescent="0.3">
      <c r="A654" t="s">
        <v>670</v>
      </c>
      <c r="B654" t="s">
        <v>21</v>
      </c>
      <c r="C654">
        <v>599</v>
      </c>
      <c r="D654">
        <v>0</v>
      </c>
      <c r="E654">
        <v>0</v>
      </c>
      <c r="F654">
        <f>COUNTIFS(mdr_rate_cleaned!$A$2:$A$10,B654,mdr_rate_cleaned!$B$2:$B$10,"&lt;"&amp;C654,mdr_rate_cleaned!$F$2:$F$10,"&gt;="&amp;C654)</f>
        <v>1</v>
      </c>
      <c r="G654">
        <v>0</v>
      </c>
      <c r="H654">
        <v>0</v>
      </c>
      <c r="I654" t="s">
        <v>15</v>
      </c>
      <c r="J654" t="s">
        <v>15</v>
      </c>
      <c r="K654">
        <v>0</v>
      </c>
      <c r="L654">
        <v>0</v>
      </c>
    </row>
    <row r="655" spans="1:12" x14ac:dyDescent="0.3">
      <c r="A655" t="s">
        <v>671</v>
      </c>
      <c r="B655" t="s">
        <v>21</v>
      </c>
      <c r="C655">
        <v>6597</v>
      </c>
      <c r="D655">
        <v>19.79</v>
      </c>
      <c r="E655">
        <v>3.56</v>
      </c>
      <c r="F655">
        <f>COUNTIFS(mdr_rate_cleaned!$A$2:$A$10,B655,mdr_rate_cleaned!$B$2:$B$10,"&lt;"&amp;C655,mdr_rate_cleaned!$F$2:$F$10,"&gt;="&amp;C655)</f>
        <v>1</v>
      </c>
      <c r="G655">
        <v>3.0000000000000001E-3</v>
      </c>
      <c r="H655">
        <v>19.79</v>
      </c>
      <c r="I655" t="s">
        <v>15</v>
      </c>
      <c r="J655" t="s">
        <v>15</v>
      </c>
      <c r="K655">
        <v>3.56</v>
      </c>
      <c r="L655">
        <v>0</v>
      </c>
    </row>
    <row r="656" spans="1:12" x14ac:dyDescent="0.3">
      <c r="A656" t="s">
        <v>672</v>
      </c>
      <c r="B656" t="s">
        <v>21</v>
      </c>
      <c r="C656">
        <v>3397</v>
      </c>
      <c r="D656">
        <v>10.19</v>
      </c>
      <c r="E656">
        <v>1.83</v>
      </c>
      <c r="F656">
        <f>COUNTIFS(mdr_rate_cleaned!$A$2:$A$10,B656,mdr_rate_cleaned!$B$2:$B$10,"&lt;"&amp;C656,mdr_rate_cleaned!$F$2:$F$10,"&gt;="&amp;C656)</f>
        <v>1</v>
      </c>
      <c r="G656">
        <v>3.0000000000000001E-3</v>
      </c>
      <c r="H656">
        <v>10.19</v>
      </c>
      <c r="I656" t="s">
        <v>15</v>
      </c>
      <c r="J656" t="s">
        <v>15</v>
      </c>
      <c r="K656">
        <v>1.83</v>
      </c>
      <c r="L656">
        <v>0</v>
      </c>
    </row>
    <row r="657" spans="1:12" x14ac:dyDescent="0.3">
      <c r="A657" t="s">
        <v>673</v>
      </c>
      <c r="B657" t="s">
        <v>21</v>
      </c>
      <c r="C657">
        <v>2148</v>
      </c>
      <c r="D657">
        <v>6.44</v>
      </c>
      <c r="E657">
        <v>1.1599999999999999</v>
      </c>
      <c r="F657">
        <f>COUNTIFS(mdr_rate_cleaned!$A$2:$A$10,B657,mdr_rate_cleaned!$B$2:$B$10,"&lt;"&amp;C657,mdr_rate_cleaned!$F$2:$F$10,"&gt;="&amp;C657)</f>
        <v>1</v>
      </c>
      <c r="G657">
        <v>3.0000000000000001E-3</v>
      </c>
      <c r="H657">
        <v>6.44</v>
      </c>
      <c r="I657" t="s">
        <v>15</v>
      </c>
      <c r="J657" t="s">
        <v>15</v>
      </c>
      <c r="K657">
        <v>1.1599999999999999</v>
      </c>
      <c r="L657">
        <v>0</v>
      </c>
    </row>
    <row r="658" spans="1:12" x14ac:dyDescent="0.3">
      <c r="A658" t="s">
        <v>674</v>
      </c>
      <c r="B658" t="s">
        <v>21</v>
      </c>
      <c r="C658">
        <v>2798</v>
      </c>
      <c r="D658">
        <v>8.39</v>
      </c>
      <c r="E658">
        <v>1.51</v>
      </c>
      <c r="F658">
        <f>COUNTIFS(mdr_rate_cleaned!$A$2:$A$10,B658,mdr_rate_cleaned!$B$2:$B$10,"&lt;"&amp;C658,mdr_rate_cleaned!$F$2:$F$10,"&gt;="&amp;C658)</f>
        <v>1</v>
      </c>
      <c r="G658">
        <v>3.0000000000000001E-3</v>
      </c>
      <c r="H658">
        <v>8.39</v>
      </c>
      <c r="I658" t="s">
        <v>15</v>
      </c>
      <c r="J658" t="s">
        <v>15</v>
      </c>
      <c r="K658">
        <v>1.51</v>
      </c>
      <c r="L658">
        <v>0</v>
      </c>
    </row>
    <row r="659" spans="1:12" x14ac:dyDescent="0.3">
      <c r="A659" t="s">
        <v>675</v>
      </c>
      <c r="B659" t="s">
        <v>21</v>
      </c>
      <c r="C659">
        <v>898</v>
      </c>
      <c r="D659">
        <v>0</v>
      </c>
      <c r="E659">
        <v>0</v>
      </c>
      <c r="F659">
        <f>COUNTIFS(mdr_rate_cleaned!$A$2:$A$10,B659,mdr_rate_cleaned!$B$2:$B$10,"&lt;"&amp;C659,mdr_rate_cleaned!$F$2:$F$10,"&gt;="&amp;C659)</f>
        <v>1</v>
      </c>
      <c r="G659">
        <v>0</v>
      </c>
      <c r="H659">
        <v>0</v>
      </c>
      <c r="I659" t="s">
        <v>15</v>
      </c>
      <c r="J659" t="s">
        <v>15</v>
      </c>
      <c r="K659">
        <v>0</v>
      </c>
      <c r="L659">
        <v>0</v>
      </c>
    </row>
    <row r="660" spans="1:12" x14ac:dyDescent="0.3">
      <c r="A660" t="s">
        <v>676</v>
      </c>
      <c r="B660" t="s">
        <v>17</v>
      </c>
      <c r="C660">
        <v>1848</v>
      </c>
      <c r="D660">
        <v>33.26</v>
      </c>
      <c r="E660">
        <v>5.99</v>
      </c>
      <c r="F660">
        <f>COUNTIFS(mdr_rate_cleaned!$A$2:$A$10,B660,mdr_rate_cleaned!$B$2:$B$10,"&lt;"&amp;C660,mdr_rate_cleaned!$F$2:$F$10,"&gt;="&amp;C660)</f>
        <v>1</v>
      </c>
      <c r="G660">
        <v>1.7999999999999999E-2</v>
      </c>
      <c r="H660">
        <v>33.26</v>
      </c>
      <c r="I660" t="s">
        <v>15</v>
      </c>
      <c r="J660" t="s">
        <v>15</v>
      </c>
      <c r="K660">
        <v>5.99</v>
      </c>
      <c r="L660">
        <v>0</v>
      </c>
    </row>
    <row r="661" spans="1:12" x14ac:dyDescent="0.3">
      <c r="A661" t="s">
        <v>677</v>
      </c>
      <c r="B661" t="s">
        <v>17</v>
      </c>
      <c r="C661">
        <v>299</v>
      </c>
      <c r="D661">
        <v>5.38</v>
      </c>
      <c r="E661">
        <v>0.97</v>
      </c>
      <c r="F661">
        <f>COUNTIFS(mdr_rate_cleaned!$A$2:$A$10,B661,mdr_rate_cleaned!$B$2:$B$10,"&lt;"&amp;C661,mdr_rate_cleaned!$F$2:$F$10,"&gt;="&amp;C661)</f>
        <v>1</v>
      </c>
      <c r="G661">
        <v>1.7999999999999999E-2</v>
      </c>
      <c r="H661">
        <v>5.38</v>
      </c>
      <c r="I661" t="s">
        <v>15</v>
      </c>
      <c r="J661" t="s">
        <v>15</v>
      </c>
      <c r="K661">
        <v>0.97</v>
      </c>
      <c r="L661">
        <v>0</v>
      </c>
    </row>
    <row r="662" spans="1:12" x14ac:dyDescent="0.3">
      <c r="A662" t="s">
        <v>678</v>
      </c>
      <c r="B662" t="s">
        <v>17</v>
      </c>
      <c r="C662">
        <v>11797</v>
      </c>
      <c r="D662">
        <v>188.75</v>
      </c>
      <c r="E662">
        <v>33.979999999999997</v>
      </c>
      <c r="F662">
        <f>COUNTIFS(mdr_rate_cleaned!$A$2:$A$10,B662,mdr_rate_cleaned!$B$2:$B$10,"&lt;"&amp;C662,mdr_rate_cleaned!$F$2:$F$10,"&gt;="&amp;C662)</f>
        <v>1</v>
      </c>
      <c r="G662">
        <v>1.6E-2</v>
      </c>
      <c r="H662">
        <v>188.75</v>
      </c>
      <c r="I662" t="s">
        <v>15</v>
      </c>
      <c r="J662" t="s">
        <v>15</v>
      </c>
      <c r="K662">
        <v>33.979999999999997</v>
      </c>
      <c r="L662">
        <v>0</v>
      </c>
    </row>
    <row r="663" spans="1:12" x14ac:dyDescent="0.3">
      <c r="A663" t="s">
        <v>679</v>
      </c>
      <c r="B663" t="s">
        <v>17</v>
      </c>
      <c r="C663">
        <v>799</v>
      </c>
      <c r="D663">
        <v>14.38</v>
      </c>
      <c r="E663">
        <v>2.59</v>
      </c>
      <c r="F663">
        <f>COUNTIFS(mdr_rate_cleaned!$A$2:$A$10,B663,mdr_rate_cleaned!$B$2:$B$10,"&lt;"&amp;C663,mdr_rate_cleaned!$F$2:$F$10,"&gt;="&amp;C663)</f>
        <v>1</v>
      </c>
      <c r="G663">
        <v>1.7999999999999999E-2</v>
      </c>
      <c r="H663">
        <v>14.38</v>
      </c>
      <c r="I663" t="s">
        <v>15</v>
      </c>
      <c r="J663" t="s">
        <v>15</v>
      </c>
      <c r="K663">
        <v>2.59</v>
      </c>
      <c r="L663">
        <v>0</v>
      </c>
    </row>
    <row r="664" spans="1:12" x14ac:dyDescent="0.3">
      <c r="A664" t="s">
        <v>680</v>
      </c>
      <c r="B664" t="s">
        <v>17</v>
      </c>
      <c r="C664">
        <v>7999</v>
      </c>
      <c r="D664">
        <v>127.98</v>
      </c>
      <c r="E664">
        <v>23.04</v>
      </c>
      <c r="F664">
        <f>COUNTIFS(mdr_rate_cleaned!$A$2:$A$10,B664,mdr_rate_cleaned!$B$2:$B$10,"&lt;"&amp;C664,mdr_rate_cleaned!$F$2:$F$10,"&gt;="&amp;C664)</f>
        <v>1</v>
      </c>
      <c r="G664">
        <v>1.6E-2</v>
      </c>
      <c r="H664">
        <v>127.98</v>
      </c>
      <c r="I664" t="s">
        <v>15</v>
      </c>
      <c r="J664" t="s">
        <v>15</v>
      </c>
      <c r="K664">
        <v>23.04</v>
      </c>
      <c r="L664">
        <v>0</v>
      </c>
    </row>
    <row r="665" spans="1:12" x14ac:dyDescent="0.3">
      <c r="A665" t="s">
        <v>681</v>
      </c>
      <c r="B665" t="s">
        <v>17</v>
      </c>
      <c r="C665">
        <v>1648</v>
      </c>
      <c r="D665">
        <v>29.66</v>
      </c>
      <c r="E665">
        <v>5.34</v>
      </c>
      <c r="F665">
        <f>COUNTIFS(mdr_rate_cleaned!$A$2:$A$10,B665,mdr_rate_cleaned!$B$2:$B$10,"&lt;"&amp;C665,mdr_rate_cleaned!$F$2:$F$10,"&gt;="&amp;C665)</f>
        <v>1</v>
      </c>
      <c r="G665">
        <v>1.7999999999999999E-2</v>
      </c>
      <c r="H665">
        <v>29.66</v>
      </c>
      <c r="I665" t="s">
        <v>15</v>
      </c>
      <c r="J665" t="s">
        <v>15</v>
      </c>
      <c r="K665">
        <v>5.34</v>
      </c>
      <c r="L665">
        <v>0</v>
      </c>
    </row>
    <row r="666" spans="1:12" x14ac:dyDescent="0.3">
      <c r="A666" t="s">
        <v>682</v>
      </c>
      <c r="B666" t="s">
        <v>21</v>
      </c>
      <c r="C666">
        <v>4298</v>
      </c>
      <c r="D666">
        <v>12.89</v>
      </c>
      <c r="E666">
        <v>2.3199999999999998</v>
      </c>
      <c r="F666">
        <f>COUNTIFS(mdr_rate_cleaned!$A$2:$A$10,B666,mdr_rate_cleaned!$B$2:$B$10,"&lt;"&amp;C666,mdr_rate_cleaned!$F$2:$F$10,"&gt;="&amp;C666)</f>
        <v>1</v>
      </c>
      <c r="G666">
        <v>3.0000000000000001E-3</v>
      </c>
      <c r="H666">
        <v>12.89</v>
      </c>
      <c r="I666" t="s">
        <v>15</v>
      </c>
      <c r="J666" t="s">
        <v>15</v>
      </c>
      <c r="K666">
        <v>2.3199999999999998</v>
      </c>
      <c r="L666">
        <v>0</v>
      </c>
    </row>
    <row r="667" spans="1:12" x14ac:dyDescent="0.3">
      <c r="A667" t="s">
        <v>683</v>
      </c>
      <c r="B667" t="s">
        <v>21</v>
      </c>
      <c r="C667">
        <v>2098</v>
      </c>
      <c r="D667">
        <v>6.29</v>
      </c>
      <c r="E667">
        <v>1.1299999999999999</v>
      </c>
      <c r="F667">
        <f>COUNTIFS(mdr_rate_cleaned!$A$2:$A$10,B667,mdr_rate_cleaned!$B$2:$B$10,"&lt;"&amp;C667,mdr_rate_cleaned!$F$2:$F$10,"&gt;="&amp;C667)</f>
        <v>1</v>
      </c>
      <c r="G667">
        <v>3.0000000000000001E-3</v>
      </c>
      <c r="H667">
        <v>6.29</v>
      </c>
      <c r="I667" t="s">
        <v>15</v>
      </c>
      <c r="J667" t="s">
        <v>15</v>
      </c>
      <c r="K667">
        <v>1.1299999999999999</v>
      </c>
      <c r="L667">
        <v>0</v>
      </c>
    </row>
    <row r="668" spans="1:12" x14ac:dyDescent="0.3">
      <c r="A668" t="s">
        <v>684</v>
      </c>
      <c r="B668" t="s">
        <v>13</v>
      </c>
      <c r="C668">
        <v>1499</v>
      </c>
      <c r="D668">
        <v>28.48</v>
      </c>
      <c r="E668">
        <v>5.13</v>
      </c>
      <c r="F668">
        <f>COUNTIFS(mdr_rate_cleaned!$A$2:$A$10,B668,mdr_rate_cleaned!$B$2:$B$10,"&lt;"&amp;C668,mdr_rate_cleaned!$F$2:$F$10,"&gt;="&amp;C668)</f>
        <v>1</v>
      </c>
      <c r="G668">
        <v>1.9E-2</v>
      </c>
      <c r="H668">
        <v>28.48</v>
      </c>
      <c r="I668" t="s">
        <v>15</v>
      </c>
      <c r="J668" t="s">
        <v>15</v>
      </c>
      <c r="K668">
        <v>5.13</v>
      </c>
      <c r="L668">
        <v>0</v>
      </c>
    </row>
    <row r="669" spans="1:12" x14ac:dyDescent="0.3">
      <c r="A669" t="s">
        <v>685</v>
      </c>
      <c r="B669" t="s">
        <v>21</v>
      </c>
      <c r="C669">
        <v>4999</v>
      </c>
      <c r="D669">
        <v>15</v>
      </c>
      <c r="E669">
        <v>2.7</v>
      </c>
      <c r="F669">
        <f>COUNTIFS(mdr_rate_cleaned!$A$2:$A$10,B669,mdr_rate_cleaned!$B$2:$B$10,"&lt;"&amp;C669,mdr_rate_cleaned!$F$2:$F$10,"&gt;="&amp;C669)</f>
        <v>1</v>
      </c>
      <c r="G669">
        <v>3.0000000000000001E-3</v>
      </c>
      <c r="H669">
        <v>15</v>
      </c>
      <c r="I669" t="s">
        <v>15</v>
      </c>
      <c r="J669" t="s">
        <v>15</v>
      </c>
      <c r="K669">
        <v>2.7</v>
      </c>
      <c r="L669">
        <v>0</v>
      </c>
    </row>
    <row r="670" spans="1:12" x14ac:dyDescent="0.3">
      <c r="A670" t="s">
        <v>686</v>
      </c>
      <c r="B670" t="s">
        <v>17</v>
      </c>
      <c r="C670">
        <v>599</v>
      </c>
      <c r="D670">
        <v>10.78</v>
      </c>
      <c r="E670">
        <v>1.94</v>
      </c>
      <c r="F670">
        <f>COUNTIFS(mdr_rate_cleaned!$A$2:$A$10,B670,mdr_rate_cleaned!$B$2:$B$10,"&lt;"&amp;C670,mdr_rate_cleaned!$F$2:$F$10,"&gt;="&amp;C670)</f>
        <v>1</v>
      </c>
      <c r="G670">
        <v>1.7999999999999999E-2</v>
      </c>
      <c r="H670">
        <v>10.78</v>
      </c>
      <c r="I670" t="s">
        <v>15</v>
      </c>
      <c r="J670" t="s">
        <v>15</v>
      </c>
      <c r="K670">
        <v>1.94</v>
      </c>
      <c r="L670">
        <v>0</v>
      </c>
    </row>
    <row r="671" spans="1:12" x14ac:dyDescent="0.3">
      <c r="A671" t="s">
        <v>687</v>
      </c>
      <c r="B671" t="s">
        <v>21</v>
      </c>
      <c r="C671">
        <v>4298</v>
      </c>
      <c r="D671">
        <v>12.89</v>
      </c>
      <c r="E671">
        <v>2.3199999999999998</v>
      </c>
      <c r="F671">
        <f>COUNTIFS(mdr_rate_cleaned!$A$2:$A$10,B671,mdr_rate_cleaned!$B$2:$B$10,"&lt;"&amp;C671,mdr_rate_cleaned!$F$2:$F$10,"&gt;="&amp;C671)</f>
        <v>1</v>
      </c>
      <c r="G671">
        <v>3.0000000000000001E-3</v>
      </c>
      <c r="H671">
        <v>12.89</v>
      </c>
      <c r="I671" t="s">
        <v>15</v>
      </c>
      <c r="J671" t="s">
        <v>15</v>
      </c>
      <c r="K671">
        <v>2.3199999999999998</v>
      </c>
      <c r="L671">
        <v>0</v>
      </c>
    </row>
    <row r="672" spans="1:12" x14ac:dyDescent="0.3">
      <c r="A672" t="s">
        <v>688</v>
      </c>
      <c r="B672" t="s">
        <v>17</v>
      </c>
      <c r="C672">
        <v>599</v>
      </c>
      <c r="D672">
        <v>10.78</v>
      </c>
      <c r="E672">
        <v>1.94</v>
      </c>
      <c r="F672">
        <f>COUNTIFS(mdr_rate_cleaned!$A$2:$A$10,B672,mdr_rate_cleaned!$B$2:$B$10,"&lt;"&amp;C672,mdr_rate_cleaned!$F$2:$F$10,"&gt;="&amp;C672)</f>
        <v>1</v>
      </c>
      <c r="G672">
        <v>1.7999999999999999E-2</v>
      </c>
      <c r="H672">
        <v>10.78</v>
      </c>
      <c r="I672" t="s">
        <v>15</v>
      </c>
      <c r="J672" t="s">
        <v>15</v>
      </c>
      <c r="K672">
        <v>1.94</v>
      </c>
      <c r="L672">
        <v>0</v>
      </c>
    </row>
    <row r="673" spans="1:12" x14ac:dyDescent="0.3">
      <c r="A673" t="s">
        <v>689</v>
      </c>
      <c r="B673" t="s">
        <v>21</v>
      </c>
      <c r="C673">
        <v>5897</v>
      </c>
      <c r="D673">
        <v>17.690000000000001</v>
      </c>
      <c r="E673">
        <v>3.18</v>
      </c>
      <c r="F673">
        <f>COUNTIFS(mdr_rate_cleaned!$A$2:$A$10,B673,mdr_rate_cleaned!$B$2:$B$10,"&lt;"&amp;C673,mdr_rate_cleaned!$F$2:$F$10,"&gt;="&amp;C673)</f>
        <v>1</v>
      </c>
      <c r="G673">
        <v>3.0000000000000001E-3</v>
      </c>
      <c r="H673">
        <v>17.690000000000001</v>
      </c>
      <c r="I673" t="s">
        <v>15</v>
      </c>
      <c r="J673" t="s">
        <v>15</v>
      </c>
      <c r="K673">
        <v>3.18</v>
      </c>
      <c r="L673">
        <v>0</v>
      </c>
    </row>
    <row r="674" spans="1:12" x14ac:dyDescent="0.3">
      <c r="A674" t="s">
        <v>690</v>
      </c>
      <c r="B674" t="s">
        <v>21</v>
      </c>
      <c r="C674">
        <v>2148</v>
      </c>
      <c r="D674">
        <v>6.44</v>
      </c>
      <c r="E674">
        <v>1.1599999999999999</v>
      </c>
      <c r="F674">
        <f>COUNTIFS(mdr_rate_cleaned!$A$2:$A$10,B674,mdr_rate_cleaned!$B$2:$B$10,"&lt;"&amp;C674,mdr_rate_cleaned!$F$2:$F$10,"&gt;="&amp;C674)</f>
        <v>1</v>
      </c>
      <c r="G674">
        <v>3.0000000000000001E-3</v>
      </c>
      <c r="H674">
        <v>6.44</v>
      </c>
      <c r="I674" t="s">
        <v>15</v>
      </c>
      <c r="J674" t="s">
        <v>15</v>
      </c>
      <c r="K674">
        <v>1.1599999999999999</v>
      </c>
      <c r="L674">
        <v>0</v>
      </c>
    </row>
    <row r="675" spans="1:12" x14ac:dyDescent="0.3">
      <c r="A675" t="s">
        <v>691</v>
      </c>
      <c r="B675" t="s">
        <v>21</v>
      </c>
      <c r="C675">
        <v>2098</v>
      </c>
      <c r="D675">
        <v>6.29</v>
      </c>
      <c r="E675">
        <v>1.1299999999999999</v>
      </c>
      <c r="F675">
        <f>COUNTIFS(mdr_rate_cleaned!$A$2:$A$10,B675,mdr_rate_cleaned!$B$2:$B$10,"&lt;"&amp;C675,mdr_rate_cleaned!$F$2:$F$10,"&gt;="&amp;C675)</f>
        <v>1</v>
      </c>
      <c r="G675">
        <v>3.0000000000000001E-3</v>
      </c>
      <c r="H675">
        <v>6.29</v>
      </c>
      <c r="I675" t="s">
        <v>15</v>
      </c>
      <c r="J675" t="s">
        <v>15</v>
      </c>
      <c r="K675">
        <v>1.1299999999999999</v>
      </c>
      <c r="L675">
        <v>0</v>
      </c>
    </row>
    <row r="676" spans="1:12" x14ac:dyDescent="0.3">
      <c r="A676" t="s">
        <v>692</v>
      </c>
      <c r="B676" t="s">
        <v>21</v>
      </c>
      <c r="C676">
        <v>6597</v>
      </c>
      <c r="D676">
        <v>19.79</v>
      </c>
      <c r="E676">
        <v>3.56</v>
      </c>
      <c r="F676">
        <f>COUNTIFS(mdr_rate_cleaned!$A$2:$A$10,B676,mdr_rate_cleaned!$B$2:$B$10,"&lt;"&amp;C676,mdr_rate_cleaned!$F$2:$F$10,"&gt;="&amp;C676)</f>
        <v>1</v>
      </c>
      <c r="G676">
        <v>3.0000000000000001E-3</v>
      </c>
      <c r="H676">
        <v>19.79</v>
      </c>
      <c r="I676" t="s">
        <v>15</v>
      </c>
      <c r="J676" t="s">
        <v>15</v>
      </c>
      <c r="K676">
        <v>3.56</v>
      </c>
      <c r="L676">
        <v>0</v>
      </c>
    </row>
    <row r="677" spans="1:12" x14ac:dyDescent="0.3">
      <c r="A677" t="s">
        <v>693</v>
      </c>
      <c r="B677" t="s">
        <v>13</v>
      </c>
      <c r="C677">
        <v>4897</v>
      </c>
      <c r="D677">
        <v>83.25</v>
      </c>
      <c r="E677">
        <v>14.99</v>
      </c>
      <c r="F677">
        <f>COUNTIFS(mdr_rate_cleaned!$A$2:$A$10,B677,mdr_rate_cleaned!$B$2:$B$10,"&lt;"&amp;C677,mdr_rate_cleaned!$F$2:$F$10,"&gt;="&amp;C677)</f>
        <v>1</v>
      </c>
      <c r="G677">
        <v>1.7000000000000001E-2</v>
      </c>
      <c r="H677">
        <v>83.25</v>
      </c>
      <c r="I677" t="s">
        <v>15</v>
      </c>
      <c r="J677" t="s">
        <v>15</v>
      </c>
      <c r="K677">
        <v>14.99</v>
      </c>
      <c r="L677">
        <v>0</v>
      </c>
    </row>
    <row r="678" spans="1:12" x14ac:dyDescent="0.3">
      <c r="A678" t="s">
        <v>694</v>
      </c>
      <c r="B678" t="s">
        <v>21</v>
      </c>
      <c r="C678">
        <v>1799</v>
      </c>
      <c r="D678">
        <v>0</v>
      </c>
      <c r="E678">
        <v>0</v>
      </c>
      <c r="F678">
        <f>COUNTIFS(mdr_rate_cleaned!$A$2:$A$10,B678,mdr_rate_cleaned!$B$2:$B$10,"&lt;"&amp;C678,mdr_rate_cleaned!$F$2:$F$10,"&gt;="&amp;C678)</f>
        <v>1</v>
      </c>
      <c r="G678">
        <v>0</v>
      </c>
      <c r="H678">
        <v>0</v>
      </c>
      <c r="I678" t="s">
        <v>15</v>
      </c>
      <c r="J678" t="s">
        <v>15</v>
      </c>
      <c r="K678">
        <v>0</v>
      </c>
      <c r="L678">
        <v>0</v>
      </c>
    </row>
    <row r="679" spans="1:12" x14ac:dyDescent="0.3">
      <c r="A679" t="s">
        <v>695</v>
      </c>
      <c r="B679" t="s">
        <v>21</v>
      </c>
      <c r="C679">
        <v>2499</v>
      </c>
      <c r="D679">
        <v>7.5</v>
      </c>
      <c r="E679">
        <v>1.35</v>
      </c>
      <c r="F679">
        <f>COUNTIFS(mdr_rate_cleaned!$A$2:$A$10,B679,mdr_rate_cleaned!$B$2:$B$10,"&lt;"&amp;C679,mdr_rate_cleaned!$F$2:$F$10,"&gt;="&amp;C679)</f>
        <v>1</v>
      </c>
      <c r="G679">
        <v>3.0000000000000001E-3</v>
      </c>
      <c r="H679">
        <v>7.5</v>
      </c>
      <c r="I679" t="s">
        <v>15</v>
      </c>
      <c r="J679" t="s">
        <v>15</v>
      </c>
      <c r="K679">
        <v>1.35</v>
      </c>
      <c r="L679">
        <v>0</v>
      </c>
    </row>
    <row r="680" spans="1:12" x14ac:dyDescent="0.3">
      <c r="A680" t="s">
        <v>696</v>
      </c>
      <c r="B680" t="s">
        <v>21</v>
      </c>
      <c r="C680">
        <v>7999</v>
      </c>
      <c r="D680">
        <v>24</v>
      </c>
      <c r="E680">
        <v>4.32</v>
      </c>
      <c r="F680">
        <f>COUNTIFS(mdr_rate_cleaned!$A$2:$A$10,B680,mdr_rate_cleaned!$B$2:$B$10,"&lt;"&amp;C680,mdr_rate_cleaned!$F$2:$F$10,"&gt;="&amp;C680)</f>
        <v>1</v>
      </c>
      <c r="G680">
        <v>3.0000000000000001E-3</v>
      </c>
      <c r="H680">
        <v>24</v>
      </c>
      <c r="I680" t="s">
        <v>15</v>
      </c>
      <c r="J680" t="s">
        <v>15</v>
      </c>
      <c r="K680">
        <v>4.32</v>
      </c>
      <c r="L680">
        <v>0</v>
      </c>
    </row>
    <row r="681" spans="1:12" x14ac:dyDescent="0.3">
      <c r="A681" t="s">
        <v>697</v>
      </c>
      <c r="B681" t="s">
        <v>21</v>
      </c>
      <c r="C681">
        <v>349</v>
      </c>
      <c r="D681">
        <v>0</v>
      </c>
      <c r="E681">
        <v>0</v>
      </c>
      <c r="F681">
        <f>COUNTIFS(mdr_rate_cleaned!$A$2:$A$10,B681,mdr_rate_cleaned!$B$2:$B$10,"&lt;"&amp;C681,mdr_rate_cleaned!$F$2:$F$10,"&gt;="&amp;C681)</f>
        <v>1</v>
      </c>
      <c r="G681">
        <v>0</v>
      </c>
      <c r="H681">
        <v>0</v>
      </c>
      <c r="I681" t="s">
        <v>15</v>
      </c>
      <c r="J681" t="s">
        <v>15</v>
      </c>
      <c r="K681">
        <v>0</v>
      </c>
      <c r="L681">
        <v>0</v>
      </c>
    </row>
    <row r="682" spans="1:12" x14ac:dyDescent="0.3">
      <c r="A682" t="s">
        <v>698</v>
      </c>
      <c r="B682" t="s">
        <v>21</v>
      </c>
      <c r="C682">
        <v>1348</v>
      </c>
      <c r="D682">
        <v>0</v>
      </c>
      <c r="E682">
        <v>0</v>
      </c>
      <c r="F682">
        <f>COUNTIFS(mdr_rate_cleaned!$A$2:$A$10,B682,mdr_rate_cleaned!$B$2:$B$10,"&lt;"&amp;C682,mdr_rate_cleaned!$F$2:$F$10,"&gt;="&amp;C682)</f>
        <v>1</v>
      </c>
      <c r="G682">
        <v>0</v>
      </c>
      <c r="H682">
        <v>0</v>
      </c>
      <c r="I682" t="s">
        <v>15</v>
      </c>
      <c r="J682" t="s">
        <v>15</v>
      </c>
      <c r="K682">
        <v>0</v>
      </c>
      <c r="L682">
        <v>0</v>
      </c>
    </row>
    <row r="683" spans="1:12" x14ac:dyDescent="0.3">
      <c r="A683" t="s">
        <v>699</v>
      </c>
      <c r="B683" t="s">
        <v>39</v>
      </c>
      <c r="C683">
        <v>1799</v>
      </c>
      <c r="D683">
        <v>26.99</v>
      </c>
      <c r="E683">
        <v>4.8600000000000003</v>
      </c>
      <c r="F683">
        <f>COUNTIFS(mdr_rate_cleaned!$A$2:$A$10,B683,mdr_rate_cleaned!$B$2:$B$10,"&lt;"&amp;C683,mdr_rate_cleaned!$F$2:$F$10,"&gt;="&amp;C683)</f>
        <v>1</v>
      </c>
      <c r="G683">
        <v>1.4999999999999999E-2</v>
      </c>
      <c r="H683">
        <v>26.99</v>
      </c>
      <c r="I683" t="s">
        <v>15</v>
      </c>
      <c r="J683" t="s">
        <v>15</v>
      </c>
      <c r="K683">
        <v>4.8600000000000003</v>
      </c>
      <c r="L683">
        <v>0</v>
      </c>
    </row>
    <row r="684" spans="1:12" x14ac:dyDescent="0.3">
      <c r="A684" t="s">
        <v>700</v>
      </c>
      <c r="B684" t="s">
        <v>21</v>
      </c>
      <c r="C684">
        <v>2499</v>
      </c>
      <c r="D684">
        <v>7.5</v>
      </c>
      <c r="E684">
        <v>1.35</v>
      </c>
      <c r="F684">
        <f>COUNTIFS(mdr_rate_cleaned!$A$2:$A$10,B684,mdr_rate_cleaned!$B$2:$B$10,"&lt;"&amp;C684,mdr_rate_cleaned!$F$2:$F$10,"&gt;="&amp;C684)</f>
        <v>1</v>
      </c>
      <c r="G684">
        <v>3.0000000000000001E-3</v>
      </c>
      <c r="H684">
        <v>7.5</v>
      </c>
      <c r="I684" t="s">
        <v>15</v>
      </c>
      <c r="J684" t="s">
        <v>15</v>
      </c>
      <c r="K684">
        <v>1.35</v>
      </c>
      <c r="L684">
        <v>0</v>
      </c>
    </row>
    <row r="685" spans="1:12" x14ac:dyDescent="0.3">
      <c r="A685" t="s">
        <v>701</v>
      </c>
      <c r="B685" t="s">
        <v>21</v>
      </c>
      <c r="C685">
        <v>3348</v>
      </c>
      <c r="D685">
        <v>10.039999999999999</v>
      </c>
      <c r="E685">
        <v>1.81</v>
      </c>
      <c r="F685">
        <f>COUNTIFS(mdr_rate_cleaned!$A$2:$A$10,B685,mdr_rate_cleaned!$B$2:$B$10,"&lt;"&amp;C685,mdr_rate_cleaned!$F$2:$F$10,"&gt;="&amp;C685)</f>
        <v>1</v>
      </c>
      <c r="G685">
        <v>3.0000000000000001E-3</v>
      </c>
      <c r="H685">
        <v>10.039999999999999</v>
      </c>
      <c r="I685" t="s">
        <v>15</v>
      </c>
      <c r="J685" t="s">
        <v>15</v>
      </c>
      <c r="K685">
        <v>1.81</v>
      </c>
      <c r="L685">
        <v>0</v>
      </c>
    </row>
    <row r="686" spans="1:12" x14ac:dyDescent="0.3">
      <c r="A686" t="s">
        <v>702</v>
      </c>
      <c r="B686" t="s">
        <v>21</v>
      </c>
      <c r="C686">
        <v>7498</v>
      </c>
      <c r="D686">
        <v>22.49</v>
      </c>
      <c r="E686">
        <v>4.05</v>
      </c>
      <c r="F686">
        <f>COUNTIFS(mdr_rate_cleaned!$A$2:$A$10,B686,mdr_rate_cleaned!$B$2:$B$10,"&lt;"&amp;C686,mdr_rate_cleaned!$F$2:$F$10,"&gt;="&amp;C686)</f>
        <v>1</v>
      </c>
      <c r="G686">
        <v>3.0000000000000001E-3</v>
      </c>
      <c r="H686">
        <v>22.49</v>
      </c>
      <c r="I686" t="s">
        <v>15</v>
      </c>
      <c r="J686" t="s">
        <v>15</v>
      </c>
      <c r="K686">
        <v>4.05</v>
      </c>
      <c r="L686">
        <v>0</v>
      </c>
    </row>
    <row r="687" spans="1:12" x14ac:dyDescent="0.3">
      <c r="A687" t="s">
        <v>703</v>
      </c>
      <c r="B687" t="s">
        <v>17</v>
      </c>
      <c r="C687">
        <v>3798</v>
      </c>
      <c r="D687">
        <v>60.77</v>
      </c>
      <c r="E687">
        <v>10.94</v>
      </c>
      <c r="F687">
        <f>COUNTIFS(mdr_rate_cleaned!$A$2:$A$10,B687,mdr_rate_cleaned!$B$2:$B$10,"&lt;"&amp;C687,mdr_rate_cleaned!$F$2:$F$10,"&gt;="&amp;C687)</f>
        <v>1</v>
      </c>
      <c r="G687">
        <v>1.6E-2</v>
      </c>
      <c r="H687">
        <v>60.77</v>
      </c>
      <c r="I687" t="s">
        <v>15</v>
      </c>
      <c r="J687" t="s">
        <v>15</v>
      </c>
      <c r="K687">
        <v>10.94</v>
      </c>
      <c r="L687">
        <v>0</v>
      </c>
    </row>
    <row r="688" spans="1:12" x14ac:dyDescent="0.3">
      <c r="A688" t="s">
        <v>704</v>
      </c>
      <c r="B688" t="s">
        <v>17</v>
      </c>
      <c r="C688">
        <v>1499</v>
      </c>
      <c r="D688">
        <v>26.98</v>
      </c>
      <c r="E688">
        <v>4.8600000000000003</v>
      </c>
      <c r="F688">
        <f>COUNTIFS(mdr_rate_cleaned!$A$2:$A$10,B688,mdr_rate_cleaned!$B$2:$B$10,"&lt;"&amp;C688,mdr_rate_cleaned!$F$2:$F$10,"&gt;="&amp;C688)</f>
        <v>1</v>
      </c>
      <c r="G688">
        <v>1.7999999999999999E-2</v>
      </c>
      <c r="H688">
        <v>26.98</v>
      </c>
      <c r="I688" t="s">
        <v>15</v>
      </c>
      <c r="J688" t="s">
        <v>15</v>
      </c>
      <c r="K688">
        <v>4.8600000000000003</v>
      </c>
      <c r="L688">
        <v>0</v>
      </c>
    </row>
    <row r="689" spans="1:12" x14ac:dyDescent="0.3">
      <c r="A689" t="s">
        <v>705</v>
      </c>
      <c r="B689" t="s">
        <v>13</v>
      </c>
      <c r="C689">
        <v>15997</v>
      </c>
      <c r="D689">
        <v>271.95</v>
      </c>
      <c r="E689">
        <v>48.95</v>
      </c>
      <c r="F689">
        <f>COUNTIFS(mdr_rate_cleaned!$A$2:$A$10,B689,mdr_rate_cleaned!$B$2:$B$10,"&lt;"&amp;C689,mdr_rate_cleaned!$F$2:$F$10,"&gt;="&amp;C689)</f>
        <v>1</v>
      </c>
      <c r="G689">
        <v>1.7000000000000001E-2</v>
      </c>
      <c r="H689">
        <v>271.95</v>
      </c>
      <c r="I689" t="s">
        <v>15</v>
      </c>
      <c r="J689" t="s">
        <v>15</v>
      </c>
      <c r="K689">
        <v>48.95</v>
      </c>
      <c r="L689">
        <v>0</v>
      </c>
    </row>
    <row r="690" spans="1:12" x14ac:dyDescent="0.3">
      <c r="A690" t="s">
        <v>706</v>
      </c>
      <c r="B690" t="s">
        <v>21</v>
      </c>
      <c r="C690">
        <v>999</v>
      </c>
      <c r="D690">
        <v>0</v>
      </c>
      <c r="E690">
        <v>0</v>
      </c>
      <c r="F690">
        <f>COUNTIFS(mdr_rate_cleaned!$A$2:$A$10,B690,mdr_rate_cleaned!$B$2:$B$10,"&lt;"&amp;C690,mdr_rate_cleaned!$F$2:$F$10,"&gt;="&amp;C690)</f>
        <v>1</v>
      </c>
      <c r="G690">
        <v>0</v>
      </c>
      <c r="H690">
        <v>0</v>
      </c>
      <c r="I690" t="s">
        <v>15</v>
      </c>
      <c r="J690" t="s">
        <v>15</v>
      </c>
      <c r="K690">
        <v>0</v>
      </c>
      <c r="L690">
        <v>0</v>
      </c>
    </row>
    <row r="691" spans="1:12" x14ac:dyDescent="0.3">
      <c r="A691" t="s">
        <v>707</v>
      </c>
      <c r="B691" t="s">
        <v>13</v>
      </c>
      <c r="C691">
        <v>4397</v>
      </c>
      <c r="D691">
        <v>105.53</v>
      </c>
      <c r="E691">
        <v>19</v>
      </c>
      <c r="F691">
        <f>COUNTIFS(mdr_rate_cleaned!$A$2:$A$10,B691,mdr_rate_cleaned!$B$2:$B$10,"&lt;"&amp;C691,mdr_rate_cleaned!$F$2:$F$10,"&gt;="&amp;C691)</f>
        <v>1</v>
      </c>
      <c r="G691">
        <v>1.7000000000000001E-2</v>
      </c>
      <c r="H691">
        <v>74.75</v>
      </c>
      <c r="I691" t="s">
        <v>14</v>
      </c>
      <c r="J691" t="s">
        <v>15</v>
      </c>
      <c r="K691">
        <v>13.46</v>
      </c>
      <c r="L691">
        <v>36.32</v>
      </c>
    </row>
    <row r="692" spans="1:12" x14ac:dyDescent="0.3">
      <c r="A692" t="s">
        <v>708</v>
      </c>
      <c r="B692" t="s">
        <v>21</v>
      </c>
      <c r="C692">
        <v>7999</v>
      </c>
      <c r="D692">
        <v>24</v>
      </c>
      <c r="E692">
        <v>4.32</v>
      </c>
      <c r="F692">
        <f>COUNTIFS(mdr_rate_cleaned!$A$2:$A$10,B692,mdr_rate_cleaned!$B$2:$B$10,"&lt;"&amp;C692,mdr_rate_cleaned!$F$2:$F$10,"&gt;="&amp;C692)</f>
        <v>1</v>
      </c>
      <c r="G692">
        <v>3.0000000000000001E-3</v>
      </c>
      <c r="H692">
        <v>24</v>
      </c>
      <c r="I692" t="s">
        <v>15</v>
      </c>
      <c r="J692" t="s">
        <v>15</v>
      </c>
      <c r="K692">
        <v>4.32</v>
      </c>
      <c r="L692">
        <v>0</v>
      </c>
    </row>
    <row r="693" spans="1:12" x14ac:dyDescent="0.3">
      <c r="A693" t="s">
        <v>709</v>
      </c>
      <c r="B693" t="s">
        <v>21</v>
      </c>
      <c r="C693">
        <v>6498</v>
      </c>
      <c r="D693">
        <v>19.489999999999998</v>
      </c>
      <c r="E693">
        <v>3.51</v>
      </c>
      <c r="F693">
        <f>COUNTIFS(mdr_rate_cleaned!$A$2:$A$10,B693,mdr_rate_cleaned!$B$2:$B$10,"&lt;"&amp;C693,mdr_rate_cleaned!$F$2:$F$10,"&gt;="&amp;C693)</f>
        <v>1</v>
      </c>
      <c r="G693">
        <v>3.0000000000000001E-3</v>
      </c>
      <c r="H693">
        <v>19.489999999999998</v>
      </c>
      <c r="I693" t="s">
        <v>15</v>
      </c>
      <c r="J693" t="s">
        <v>15</v>
      </c>
      <c r="K693">
        <v>3.51</v>
      </c>
      <c r="L693">
        <v>0</v>
      </c>
    </row>
    <row r="694" spans="1:12" x14ac:dyDescent="0.3">
      <c r="A694" t="s">
        <v>710</v>
      </c>
      <c r="B694" t="s">
        <v>21</v>
      </c>
      <c r="C694">
        <v>8298</v>
      </c>
      <c r="D694">
        <v>24.89</v>
      </c>
      <c r="E694">
        <v>4.4800000000000004</v>
      </c>
      <c r="F694">
        <f>COUNTIFS(mdr_rate_cleaned!$A$2:$A$10,B694,mdr_rate_cleaned!$B$2:$B$10,"&lt;"&amp;C694,mdr_rate_cleaned!$F$2:$F$10,"&gt;="&amp;C694)</f>
        <v>1</v>
      </c>
      <c r="G694">
        <v>3.0000000000000001E-3</v>
      </c>
      <c r="H694">
        <v>24.89</v>
      </c>
      <c r="I694" t="s">
        <v>15</v>
      </c>
      <c r="J694" t="s">
        <v>15</v>
      </c>
      <c r="K694">
        <v>4.4800000000000004</v>
      </c>
      <c r="L694">
        <v>0</v>
      </c>
    </row>
    <row r="695" spans="1:12" x14ac:dyDescent="0.3">
      <c r="A695" t="s">
        <v>711</v>
      </c>
      <c r="B695" t="s">
        <v>21</v>
      </c>
      <c r="C695">
        <v>1299</v>
      </c>
      <c r="D695">
        <v>0</v>
      </c>
      <c r="E695">
        <v>0</v>
      </c>
      <c r="F695">
        <f>COUNTIFS(mdr_rate_cleaned!$A$2:$A$10,B695,mdr_rate_cleaned!$B$2:$B$10,"&lt;"&amp;C695,mdr_rate_cleaned!$F$2:$F$10,"&gt;="&amp;C695)</f>
        <v>1</v>
      </c>
      <c r="G695">
        <v>0</v>
      </c>
      <c r="H695">
        <v>0</v>
      </c>
      <c r="I695" t="s">
        <v>15</v>
      </c>
      <c r="J695" t="s">
        <v>15</v>
      </c>
      <c r="K695">
        <v>0</v>
      </c>
      <c r="L695">
        <v>0</v>
      </c>
    </row>
    <row r="696" spans="1:12" x14ac:dyDescent="0.3">
      <c r="A696" t="s">
        <v>712</v>
      </c>
      <c r="B696" t="s">
        <v>39</v>
      </c>
      <c r="C696">
        <v>5348</v>
      </c>
      <c r="D696">
        <v>64.180000000000007</v>
      </c>
      <c r="E696">
        <v>11.55</v>
      </c>
      <c r="F696">
        <f>COUNTIFS(mdr_rate_cleaned!$A$2:$A$10,B696,mdr_rate_cleaned!$B$2:$B$10,"&lt;"&amp;C696,mdr_rate_cleaned!$F$2:$F$10,"&gt;="&amp;C696)</f>
        <v>1</v>
      </c>
      <c r="G696">
        <v>1.2E-2</v>
      </c>
      <c r="H696">
        <v>64.180000000000007</v>
      </c>
      <c r="I696" t="s">
        <v>15</v>
      </c>
      <c r="J696" t="s">
        <v>15</v>
      </c>
      <c r="K696">
        <v>11.55</v>
      </c>
      <c r="L696">
        <v>0</v>
      </c>
    </row>
    <row r="697" spans="1:12" x14ac:dyDescent="0.3">
      <c r="A697" t="s">
        <v>713</v>
      </c>
      <c r="B697" t="s">
        <v>17</v>
      </c>
      <c r="C697">
        <v>999</v>
      </c>
      <c r="D697">
        <v>17.98</v>
      </c>
      <c r="E697">
        <v>3.24</v>
      </c>
      <c r="F697">
        <f>COUNTIFS(mdr_rate_cleaned!$A$2:$A$10,B697,mdr_rate_cleaned!$B$2:$B$10,"&lt;"&amp;C697,mdr_rate_cleaned!$F$2:$F$10,"&gt;="&amp;C697)</f>
        <v>1</v>
      </c>
      <c r="G697">
        <v>1.7999999999999999E-2</v>
      </c>
      <c r="H697">
        <v>17.98</v>
      </c>
      <c r="I697" t="s">
        <v>15</v>
      </c>
      <c r="J697" t="s">
        <v>15</v>
      </c>
      <c r="K697">
        <v>3.24</v>
      </c>
      <c r="L697">
        <v>0</v>
      </c>
    </row>
    <row r="698" spans="1:12" x14ac:dyDescent="0.3">
      <c r="A698" t="s">
        <v>714</v>
      </c>
      <c r="B698" t="s">
        <v>21</v>
      </c>
      <c r="C698">
        <v>599</v>
      </c>
      <c r="D698">
        <v>0</v>
      </c>
      <c r="E698">
        <v>0</v>
      </c>
      <c r="F698">
        <f>COUNTIFS(mdr_rate_cleaned!$A$2:$A$10,B698,mdr_rate_cleaned!$B$2:$B$10,"&lt;"&amp;C698,mdr_rate_cleaned!$F$2:$F$10,"&gt;="&amp;C698)</f>
        <v>1</v>
      </c>
      <c r="G698">
        <v>0</v>
      </c>
      <c r="H698">
        <v>0</v>
      </c>
      <c r="I698" t="s">
        <v>15</v>
      </c>
      <c r="J698" t="s">
        <v>15</v>
      </c>
      <c r="K698">
        <v>0</v>
      </c>
      <c r="L698">
        <v>0</v>
      </c>
    </row>
    <row r="699" spans="1:12" x14ac:dyDescent="0.3">
      <c r="A699" t="s">
        <v>715</v>
      </c>
      <c r="B699" t="s">
        <v>17</v>
      </c>
      <c r="C699">
        <v>349</v>
      </c>
      <c r="D699">
        <v>6.28</v>
      </c>
      <c r="E699">
        <v>1.1299999999999999</v>
      </c>
      <c r="F699">
        <f>COUNTIFS(mdr_rate_cleaned!$A$2:$A$10,B699,mdr_rate_cleaned!$B$2:$B$10,"&lt;"&amp;C699,mdr_rate_cleaned!$F$2:$F$10,"&gt;="&amp;C699)</f>
        <v>1</v>
      </c>
      <c r="G699">
        <v>1.7999999999999999E-2</v>
      </c>
      <c r="H699">
        <v>6.28</v>
      </c>
      <c r="I699" t="s">
        <v>15</v>
      </c>
      <c r="J699" t="s">
        <v>15</v>
      </c>
      <c r="K699">
        <v>1.1299999999999999</v>
      </c>
      <c r="L699">
        <v>0</v>
      </c>
    </row>
    <row r="700" spans="1:12" x14ac:dyDescent="0.3">
      <c r="A700" t="s">
        <v>716</v>
      </c>
      <c r="B700" t="s">
        <v>17</v>
      </c>
      <c r="C700">
        <v>599</v>
      </c>
      <c r="D700">
        <v>10.78</v>
      </c>
      <c r="E700">
        <v>1.94</v>
      </c>
      <c r="F700">
        <f>COUNTIFS(mdr_rate_cleaned!$A$2:$A$10,B700,mdr_rate_cleaned!$B$2:$B$10,"&lt;"&amp;C700,mdr_rate_cleaned!$F$2:$F$10,"&gt;="&amp;C700)</f>
        <v>1</v>
      </c>
      <c r="G700">
        <v>1.7999999999999999E-2</v>
      </c>
      <c r="H700">
        <v>10.78</v>
      </c>
      <c r="I700" t="s">
        <v>15</v>
      </c>
      <c r="J700" t="s">
        <v>15</v>
      </c>
      <c r="K700">
        <v>1.94</v>
      </c>
      <c r="L700">
        <v>0</v>
      </c>
    </row>
    <row r="701" spans="1:12" x14ac:dyDescent="0.3">
      <c r="A701" t="s">
        <v>717</v>
      </c>
      <c r="B701" t="s">
        <v>21</v>
      </c>
      <c r="C701">
        <v>1299</v>
      </c>
      <c r="D701">
        <v>0</v>
      </c>
      <c r="E701">
        <v>0</v>
      </c>
      <c r="F701">
        <f>COUNTIFS(mdr_rate_cleaned!$A$2:$A$10,B701,mdr_rate_cleaned!$B$2:$B$10,"&lt;"&amp;C701,mdr_rate_cleaned!$F$2:$F$10,"&gt;="&amp;C701)</f>
        <v>1</v>
      </c>
      <c r="G701">
        <v>0</v>
      </c>
      <c r="H701">
        <v>0</v>
      </c>
      <c r="I701" t="s">
        <v>15</v>
      </c>
      <c r="J701" t="s">
        <v>15</v>
      </c>
      <c r="K701">
        <v>0</v>
      </c>
      <c r="L701">
        <v>0</v>
      </c>
    </row>
    <row r="702" spans="1:12" x14ac:dyDescent="0.3">
      <c r="A702" t="s">
        <v>718</v>
      </c>
      <c r="B702" t="s">
        <v>21</v>
      </c>
      <c r="C702">
        <v>1799</v>
      </c>
      <c r="D702">
        <v>0</v>
      </c>
      <c r="E702">
        <v>0</v>
      </c>
      <c r="F702">
        <f>COUNTIFS(mdr_rate_cleaned!$A$2:$A$10,B702,mdr_rate_cleaned!$B$2:$B$10,"&lt;"&amp;C702,mdr_rate_cleaned!$F$2:$F$10,"&gt;="&amp;C702)</f>
        <v>1</v>
      </c>
      <c r="G702">
        <v>0</v>
      </c>
      <c r="H702">
        <v>0</v>
      </c>
      <c r="I702" t="s">
        <v>15</v>
      </c>
      <c r="J702" t="s">
        <v>15</v>
      </c>
      <c r="K702">
        <v>0</v>
      </c>
      <c r="L702">
        <v>0</v>
      </c>
    </row>
    <row r="703" spans="1:12" x14ac:dyDescent="0.3">
      <c r="A703" t="s">
        <v>719</v>
      </c>
      <c r="B703" t="s">
        <v>21</v>
      </c>
      <c r="C703">
        <v>2998</v>
      </c>
      <c r="D703">
        <v>8.99</v>
      </c>
      <c r="E703">
        <v>1.62</v>
      </c>
      <c r="F703">
        <f>COUNTIFS(mdr_rate_cleaned!$A$2:$A$10,B703,mdr_rate_cleaned!$B$2:$B$10,"&lt;"&amp;C703,mdr_rate_cleaned!$F$2:$F$10,"&gt;="&amp;C703)</f>
        <v>1</v>
      </c>
      <c r="G703">
        <v>3.0000000000000001E-3</v>
      </c>
      <c r="H703">
        <v>8.99</v>
      </c>
      <c r="I703" t="s">
        <v>15</v>
      </c>
      <c r="J703" t="s">
        <v>15</v>
      </c>
      <c r="K703">
        <v>1.62</v>
      </c>
      <c r="L703">
        <v>0</v>
      </c>
    </row>
    <row r="704" spans="1:12" x14ac:dyDescent="0.3">
      <c r="A704" t="s">
        <v>720</v>
      </c>
      <c r="B704" t="s">
        <v>17</v>
      </c>
      <c r="C704">
        <v>1247</v>
      </c>
      <c r="D704">
        <v>22.45</v>
      </c>
      <c r="E704">
        <v>4.04</v>
      </c>
      <c r="F704">
        <f>COUNTIFS(mdr_rate_cleaned!$A$2:$A$10,B704,mdr_rate_cleaned!$B$2:$B$10,"&lt;"&amp;C704,mdr_rate_cleaned!$F$2:$F$10,"&gt;="&amp;C704)</f>
        <v>1</v>
      </c>
      <c r="G704">
        <v>1.7999999999999999E-2</v>
      </c>
      <c r="H704">
        <v>22.45</v>
      </c>
      <c r="I704" t="s">
        <v>15</v>
      </c>
      <c r="J704" t="s">
        <v>15</v>
      </c>
      <c r="K704">
        <v>4.04</v>
      </c>
      <c r="L704">
        <v>0</v>
      </c>
    </row>
    <row r="705" spans="1:12" x14ac:dyDescent="0.3">
      <c r="A705" t="s">
        <v>721</v>
      </c>
      <c r="B705" t="s">
        <v>17</v>
      </c>
      <c r="C705">
        <v>3499</v>
      </c>
      <c r="D705">
        <v>55.98</v>
      </c>
      <c r="E705">
        <v>10.08</v>
      </c>
      <c r="F705">
        <f>COUNTIFS(mdr_rate_cleaned!$A$2:$A$10,B705,mdr_rate_cleaned!$B$2:$B$10,"&lt;"&amp;C705,mdr_rate_cleaned!$F$2:$F$10,"&gt;="&amp;C705)</f>
        <v>1</v>
      </c>
      <c r="G705">
        <v>1.6E-2</v>
      </c>
      <c r="H705">
        <v>55.98</v>
      </c>
      <c r="I705" t="s">
        <v>15</v>
      </c>
      <c r="J705" t="s">
        <v>15</v>
      </c>
      <c r="K705">
        <v>10.08</v>
      </c>
      <c r="L705">
        <v>0</v>
      </c>
    </row>
    <row r="706" spans="1:12" x14ac:dyDescent="0.3">
      <c r="A706" t="s">
        <v>722</v>
      </c>
      <c r="B706" t="s">
        <v>39</v>
      </c>
      <c r="C706">
        <v>7999</v>
      </c>
      <c r="D706">
        <v>95.99</v>
      </c>
      <c r="E706">
        <v>17.28</v>
      </c>
      <c r="F706">
        <f>COUNTIFS(mdr_rate_cleaned!$A$2:$A$10,B706,mdr_rate_cleaned!$B$2:$B$10,"&lt;"&amp;C706,mdr_rate_cleaned!$F$2:$F$10,"&gt;="&amp;C706)</f>
        <v>1</v>
      </c>
      <c r="G706">
        <v>1.2E-2</v>
      </c>
      <c r="H706">
        <v>95.99</v>
      </c>
      <c r="I706" t="s">
        <v>15</v>
      </c>
      <c r="J706" t="s">
        <v>15</v>
      </c>
      <c r="K706">
        <v>17.28</v>
      </c>
      <c r="L706">
        <v>0</v>
      </c>
    </row>
    <row r="707" spans="1:12" x14ac:dyDescent="0.3">
      <c r="A707" t="s">
        <v>723</v>
      </c>
      <c r="B707" t="s">
        <v>21</v>
      </c>
      <c r="C707">
        <v>1799</v>
      </c>
      <c r="D707">
        <v>0</v>
      </c>
      <c r="E707">
        <v>0</v>
      </c>
      <c r="F707">
        <f>COUNTIFS(mdr_rate_cleaned!$A$2:$A$10,B707,mdr_rate_cleaned!$B$2:$B$10,"&lt;"&amp;C707,mdr_rate_cleaned!$F$2:$F$10,"&gt;="&amp;C707)</f>
        <v>1</v>
      </c>
      <c r="G707">
        <v>0</v>
      </c>
      <c r="H707">
        <v>0</v>
      </c>
      <c r="I707" t="s">
        <v>15</v>
      </c>
      <c r="J707" t="s">
        <v>15</v>
      </c>
      <c r="K707">
        <v>0</v>
      </c>
      <c r="L707">
        <v>0</v>
      </c>
    </row>
    <row r="708" spans="1:12" x14ac:dyDescent="0.3">
      <c r="A708" t="s">
        <v>724</v>
      </c>
      <c r="B708" t="s">
        <v>21</v>
      </c>
      <c r="C708">
        <v>2499</v>
      </c>
      <c r="D708">
        <v>7.5</v>
      </c>
      <c r="E708">
        <v>1.35</v>
      </c>
      <c r="F708">
        <f>COUNTIFS(mdr_rate_cleaned!$A$2:$A$10,B708,mdr_rate_cleaned!$B$2:$B$10,"&lt;"&amp;C708,mdr_rate_cleaned!$F$2:$F$10,"&gt;="&amp;C708)</f>
        <v>1</v>
      </c>
      <c r="G708">
        <v>3.0000000000000001E-3</v>
      </c>
      <c r="H708">
        <v>7.5</v>
      </c>
      <c r="I708" t="s">
        <v>15</v>
      </c>
      <c r="J708" t="s">
        <v>15</v>
      </c>
      <c r="K708">
        <v>1.35</v>
      </c>
      <c r="L708">
        <v>0</v>
      </c>
    </row>
    <row r="709" spans="1:12" x14ac:dyDescent="0.3">
      <c r="A709" t="s">
        <v>725</v>
      </c>
      <c r="B709" t="s">
        <v>17</v>
      </c>
      <c r="C709">
        <v>1299</v>
      </c>
      <c r="D709">
        <v>23.38</v>
      </c>
      <c r="E709">
        <v>4.21</v>
      </c>
      <c r="F709">
        <f>COUNTIFS(mdr_rate_cleaned!$A$2:$A$10,B709,mdr_rate_cleaned!$B$2:$B$10,"&lt;"&amp;C709,mdr_rate_cleaned!$F$2:$F$10,"&gt;="&amp;C709)</f>
        <v>1</v>
      </c>
      <c r="G709">
        <v>1.7999999999999999E-2</v>
      </c>
      <c r="H709">
        <v>23.38</v>
      </c>
      <c r="I709" t="s">
        <v>15</v>
      </c>
      <c r="J709" t="s">
        <v>15</v>
      </c>
      <c r="K709">
        <v>4.21</v>
      </c>
      <c r="L709">
        <v>0</v>
      </c>
    </row>
    <row r="710" spans="1:12" x14ac:dyDescent="0.3">
      <c r="A710" t="s">
        <v>726</v>
      </c>
      <c r="B710" t="s">
        <v>21</v>
      </c>
      <c r="C710">
        <v>948</v>
      </c>
      <c r="D710">
        <v>0</v>
      </c>
      <c r="E710">
        <v>0</v>
      </c>
      <c r="F710">
        <f>COUNTIFS(mdr_rate_cleaned!$A$2:$A$10,B710,mdr_rate_cleaned!$B$2:$B$10,"&lt;"&amp;C710,mdr_rate_cleaned!$F$2:$F$10,"&gt;="&amp;C710)</f>
        <v>1</v>
      </c>
      <c r="G710">
        <v>0</v>
      </c>
      <c r="H710">
        <v>0</v>
      </c>
      <c r="I710" t="s">
        <v>15</v>
      </c>
      <c r="J710" t="s">
        <v>15</v>
      </c>
      <c r="K710">
        <v>0</v>
      </c>
      <c r="L710">
        <v>0</v>
      </c>
    </row>
    <row r="711" spans="1:12" x14ac:dyDescent="0.3">
      <c r="A711" t="s">
        <v>727</v>
      </c>
      <c r="B711" t="s">
        <v>17</v>
      </c>
      <c r="C711">
        <v>349</v>
      </c>
      <c r="D711">
        <v>6.28</v>
      </c>
      <c r="E711">
        <v>1.1299999999999999</v>
      </c>
      <c r="F711">
        <f>COUNTIFS(mdr_rate_cleaned!$A$2:$A$10,B711,mdr_rate_cleaned!$B$2:$B$10,"&lt;"&amp;C711,mdr_rate_cleaned!$F$2:$F$10,"&gt;="&amp;C711)</f>
        <v>1</v>
      </c>
      <c r="G711">
        <v>1.7999999999999999E-2</v>
      </c>
      <c r="H711">
        <v>6.28</v>
      </c>
      <c r="I711" t="s">
        <v>15</v>
      </c>
      <c r="J711" t="s">
        <v>15</v>
      </c>
      <c r="K711">
        <v>1.1299999999999999</v>
      </c>
      <c r="L711">
        <v>0</v>
      </c>
    </row>
    <row r="712" spans="1:12" x14ac:dyDescent="0.3">
      <c r="A712" t="s">
        <v>728</v>
      </c>
      <c r="B712" t="s">
        <v>21</v>
      </c>
      <c r="C712">
        <v>349</v>
      </c>
      <c r="D712">
        <v>0</v>
      </c>
      <c r="E712">
        <v>0</v>
      </c>
      <c r="F712">
        <f>COUNTIFS(mdr_rate_cleaned!$A$2:$A$10,B712,mdr_rate_cleaned!$B$2:$B$10,"&lt;"&amp;C712,mdr_rate_cleaned!$F$2:$F$10,"&gt;="&amp;C712)</f>
        <v>1</v>
      </c>
      <c r="G712">
        <v>0</v>
      </c>
      <c r="H712">
        <v>0</v>
      </c>
      <c r="I712" t="s">
        <v>15</v>
      </c>
      <c r="J712" t="s">
        <v>15</v>
      </c>
      <c r="K712">
        <v>0</v>
      </c>
      <c r="L712">
        <v>0</v>
      </c>
    </row>
    <row r="713" spans="1:12" x14ac:dyDescent="0.3">
      <c r="A713" t="s">
        <v>729</v>
      </c>
      <c r="B713" t="s">
        <v>21</v>
      </c>
      <c r="C713">
        <v>349</v>
      </c>
      <c r="D713">
        <v>0</v>
      </c>
      <c r="E713">
        <v>0</v>
      </c>
      <c r="F713">
        <f>COUNTIFS(mdr_rate_cleaned!$A$2:$A$10,B713,mdr_rate_cleaned!$B$2:$B$10,"&lt;"&amp;C713,mdr_rate_cleaned!$F$2:$F$10,"&gt;="&amp;C713)</f>
        <v>1</v>
      </c>
      <c r="G713">
        <v>0</v>
      </c>
      <c r="H713">
        <v>0</v>
      </c>
      <c r="I713" t="s">
        <v>15</v>
      </c>
      <c r="J713" t="s">
        <v>15</v>
      </c>
      <c r="K713">
        <v>0</v>
      </c>
      <c r="L713">
        <v>0</v>
      </c>
    </row>
    <row r="714" spans="1:12" x14ac:dyDescent="0.3">
      <c r="A714" t="s">
        <v>730</v>
      </c>
      <c r="B714" t="s">
        <v>21</v>
      </c>
      <c r="C714">
        <v>3598</v>
      </c>
      <c r="D714">
        <v>10.79</v>
      </c>
      <c r="E714">
        <v>1.94</v>
      </c>
      <c r="F714">
        <f>COUNTIFS(mdr_rate_cleaned!$A$2:$A$10,B714,mdr_rate_cleaned!$B$2:$B$10,"&lt;"&amp;C714,mdr_rate_cleaned!$F$2:$F$10,"&gt;="&amp;C714)</f>
        <v>1</v>
      </c>
      <c r="G714">
        <v>3.0000000000000001E-3</v>
      </c>
      <c r="H714">
        <v>10.79</v>
      </c>
      <c r="I714" t="s">
        <v>15</v>
      </c>
      <c r="J714" t="s">
        <v>15</v>
      </c>
      <c r="K714">
        <v>1.94</v>
      </c>
      <c r="L714">
        <v>0</v>
      </c>
    </row>
    <row r="715" spans="1:12" x14ac:dyDescent="0.3">
      <c r="A715" t="s">
        <v>731</v>
      </c>
      <c r="B715" t="s">
        <v>39</v>
      </c>
      <c r="C715">
        <v>1798</v>
      </c>
      <c r="D715">
        <v>26.97</v>
      </c>
      <c r="E715">
        <v>4.8499999999999996</v>
      </c>
      <c r="F715">
        <f>COUNTIFS(mdr_rate_cleaned!$A$2:$A$10,B715,mdr_rate_cleaned!$B$2:$B$10,"&lt;"&amp;C715,mdr_rate_cleaned!$F$2:$F$10,"&gt;="&amp;C715)</f>
        <v>1</v>
      </c>
      <c r="G715">
        <v>1.4999999999999999E-2</v>
      </c>
      <c r="H715">
        <v>26.97</v>
      </c>
      <c r="I715" t="s">
        <v>15</v>
      </c>
      <c r="J715" t="s">
        <v>15</v>
      </c>
      <c r="K715">
        <v>4.8499999999999996</v>
      </c>
      <c r="L715">
        <v>0</v>
      </c>
    </row>
    <row r="716" spans="1:12" x14ac:dyDescent="0.3">
      <c r="A716" t="s">
        <v>732</v>
      </c>
      <c r="B716" t="s">
        <v>17</v>
      </c>
      <c r="C716">
        <v>5097</v>
      </c>
      <c r="D716">
        <v>81.55</v>
      </c>
      <c r="E716">
        <v>14.68</v>
      </c>
      <c r="F716">
        <f>COUNTIFS(mdr_rate_cleaned!$A$2:$A$10,B716,mdr_rate_cleaned!$B$2:$B$10,"&lt;"&amp;C716,mdr_rate_cleaned!$F$2:$F$10,"&gt;="&amp;C716)</f>
        <v>1</v>
      </c>
      <c r="G716">
        <v>1.6E-2</v>
      </c>
      <c r="H716">
        <v>81.55</v>
      </c>
      <c r="I716" t="s">
        <v>15</v>
      </c>
      <c r="J716" t="s">
        <v>15</v>
      </c>
      <c r="K716">
        <v>14.68</v>
      </c>
      <c r="L716">
        <v>0</v>
      </c>
    </row>
    <row r="717" spans="1:12" x14ac:dyDescent="0.3">
      <c r="A717" t="s">
        <v>733</v>
      </c>
      <c r="B717" t="s">
        <v>13</v>
      </c>
      <c r="C717">
        <v>2999</v>
      </c>
      <c r="D717">
        <v>50.98</v>
      </c>
      <c r="E717">
        <v>9.18</v>
      </c>
      <c r="F717">
        <f>COUNTIFS(mdr_rate_cleaned!$A$2:$A$10,B717,mdr_rate_cleaned!$B$2:$B$10,"&lt;"&amp;C717,mdr_rate_cleaned!$F$2:$F$10,"&gt;="&amp;C717)</f>
        <v>1</v>
      </c>
      <c r="G717">
        <v>1.7000000000000001E-2</v>
      </c>
      <c r="H717">
        <v>50.98</v>
      </c>
      <c r="I717" t="s">
        <v>15</v>
      </c>
      <c r="J717" t="s">
        <v>15</v>
      </c>
      <c r="K717">
        <v>9.18</v>
      </c>
      <c r="L717">
        <v>0</v>
      </c>
    </row>
    <row r="718" spans="1:12" x14ac:dyDescent="0.3">
      <c r="A718" t="s">
        <v>734</v>
      </c>
      <c r="B718" t="s">
        <v>17</v>
      </c>
      <c r="C718">
        <v>5998</v>
      </c>
      <c r="D718">
        <v>95.97</v>
      </c>
      <c r="E718">
        <v>17.27</v>
      </c>
      <c r="F718">
        <f>COUNTIFS(mdr_rate_cleaned!$A$2:$A$10,B718,mdr_rate_cleaned!$B$2:$B$10,"&lt;"&amp;C718,mdr_rate_cleaned!$F$2:$F$10,"&gt;="&amp;C718)</f>
        <v>1</v>
      </c>
      <c r="G718">
        <v>1.6E-2</v>
      </c>
      <c r="H718">
        <v>95.97</v>
      </c>
      <c r="I718" t="s">
        <v>15</v>
      </c>
      <c r="J718" t="s">
        <v>15</v>
      </c>
      <c r="K718">
        <v>17.27</v>
      </c>
      <c r="L718">
        <v>0</v>
      </c>
    </row>
    <row r="719" spans="1:12" x14ac:dyDescent="0.3">
      <c r="A719" t="s">
        <v>735</v>
      </c>
      <c r="B719" t="s">
        <v>21</v>
      </c>
      <c r="C719">
        <v>9347</v>
      </c>
      <c r="D719">
        <v>28.04</v>
      </c>
      <c r="E719">
        <v>5.05</v>
      </c>
      <c r="F719">
        <f>COUNTIFS(mdr_rate_cleaned!$A$2:$A$10,B719,mdr_rate_cleaned!$B$2:$B$10,"&lt;"&amp;C719,mdr_rate_cleaned!$F$2:$F$10,"&gt;="&amp;C719)</f>
        <v>1</v>
      </c>
      <c r="G719">
        <v>3.0000000000000001E-3</v>
      </c>
      <c r="H719">
        <v>28.04</v>
      </c>
      <c r="I719" t="s">
        <v>15</v>
      </c>
      <c r="J719" t="s">
        <v>15</v>
      </c>
      <c r="K719">
        <v>5.05</v>
      </c>
      <c r="L719">
        <v>0</v>
      </c>
    </row>
    <row r="720" spans="1:12" x14ac:dyDescent="0.3">
      <c r="A720" t="s">
        <v>736</v>
      </c>
      <c r="B720" t="s">
        <v>17</v>
      </c>
      <c r="C720">
        <v>2197</v>
      </c>
      <c r="D720">
        <v>35.15</v>
      </c>
      <c r="E720">
        <v>6.33</v>
      </c>
      <c r="F720">
        <f>COUNTIFS(mdr_rate_cleaned!$A$2:$A$10,B720,mdr_rate_cleaned!$B$2:$B$10,"&lt;"&amp;C720,mdr_rate_cleaned!$F$2:$F$10,"&gt;="&amp;C720)</f>
        <v>1</v>
      </c>
      <c r="G720">
        <v>1.6E-2</v>
      </c>
      <c r="H720">
        <v>35.15</v>
      </c>
      <c r="I720" t="s">
        <v>15</v>
      </c>
      <c r="J720" t="s">
        <v>15</v>
      </c>
      <c r="K720">
        <v>6.33</v>
      </c>
      <c r="L720">
        <v>0</v>
      </c>
    </row>
    <row r="721" spans="1:12" x14ac:dyDescent="0.3">
      <c r="A721" t="s">
        <v>737</v>
      </c>
      <c r="B721" t="s">
        <v>21</v>
      </c>
      <c r="C721">
        <v>2999</v>
      </c>
      <c r="D721">
        <v>9</v>
      </c>
      <c r="E721">
        <v>1.62</v>
      </c>
      <c r="F721">
        <f>COUNTIFS(mdr_rate_cleaned!$A$2:$A$10,B721,mdr_rate_cleaned!$B$2:$B$10,"&lt;"&amp;C721,mdr_rate_cleaned!$F$2:$F$10,"&gt;="&amp;C721)</f>
        <v>1</v>
      </c>
      <c r="G721">
        <v>3.0000000000000001E-3</v>
      </c>
      <c r="H721">
        <v>9</v>
      </c>
      <c r="I721" t="s">
        <v>15</v>
      </c>
      <c r="J721" t="s">
        <v>15</v>
      </c>
      <c r="K721">
        <v>1.62</v>
      </c>
      <c r="L721">
        <v>0</v>
      </c>
    </row>
    <row r="722" spans="1:12" x14ac:dyDescent="0.3">
      <c r="A722" t="s">
        <v>738</v>
      </c>
      <c r="B722" t="s">
        <v>13</v>
      </c>
      <c r="C722">
        <v>8598</v>
      </c>
      <c r="D722">
        <v>146.16999999999999</v>
      </c>
      <c r="E722">
        <v>26.31</v>
      </c>
      <c r="F722">
        <f>COUNTIFS(mdr_rate_cleaned!$A$2:$A$10,B722,mdr_rate_cleaned!$B$2:$B$10,"&lt;"&amp;C722,mdr_rate_cleaned!$F$2:$F$10,"&gt;="&amp;C722)</f>
        <v>1</v>
      </c>
      <c r="G722">
        <v>1.7000000000000001E-2</v>
      </c>
      <c r="H722">
        <v>146.16999999999999</v>
      </c>
      <c r="I722" t="s">
        <v>15</v>
      </c>
      <c r="J722" t="s">
        <v>15</v>
      </c>
      <c r="K722">
        <v>26.31</v>
      </c>
      <c r="L722">
        <v>0</v>
      </c>
    </row>
    <row r="723" spans="1:12" x14ac:dyDescent="0.3">
      <c r="A723" t="s">
        <v>739</v>
      </c>
      <c r="B723" t="s">
        <v>21</v>
      </c>
      <c r="C723">
        <v>999</v>
      </c>
      <c r="D723">
        <v>0</v>
      </c>
      <c r="E723">
        <v>0</v>
      </c>
      <c r="F723">
        <f>COUNTIFS(mdr_rate_cleaned!$A$2:$A$10,B723,mdr_rate_cleaned!$B$2:$B$10,"&lt;"&amp;C723,mdr_rate_cleaned!$F$2:$F$10,"&gt;="&amp;C723)</f>
        <v>1</v>
      </c>
      <c r="G723">
        <v>0</v>
      </c>
      <c r="H723">
        <v>0</v>
      </c>
      <c r="I723" t="s">
        <v>15</v>
      </c>
      <c r="J723" t="s">
        <v>15</v>
      </c>
      <c r="K723">
        <v>0</v>
      </c>
      <c r="L723">
        <v>0</v>
      </c>
    </row>
    <row r="724" spans="1:12" x14ac:dyDescent="0.3">
      <c r="A724" t="s">
        <v>740</v>
      </c>
      <c r="B724" t="s">
        <v>17</v>
      </c>
      <c r="C724">
        <v>998</v>
      </c>
      <c r="D724">
        <v>17.96</v>
      </c>
      <c r="E724">
        <v>3.23</v>
      </c>
      <c r="F724">
        <f>COUNTIFS(mdr_rate_cleaned!$A$2:$A$10,B724,mdr_rate_cleaned!$B$2:$B$10,"&lt;"&amp;C724,mdr_rate_cleaned!$F$2:$F$10,"&gt;="&amp;C724)</f>
        <v>1</v>
      </c>
      <c r="G724">
        <v>1.7999999999999999E-2</v>
      </c>
      <c r="H724">
        <v>17.96</v>
      </c>
      <c r="I724" t="s">
        <v>15</v>
      </c>
      <c r="J724" t="s">
        <v>15</v>
      </c>
      <c r="K724">
        <v>3.23</v>
      </c>
      <c r="L724">
        <v>0</v>
      </c>
    </row>
    <row r="725" spans="1:12" x14ac:dyDescent="0.3">
      <c r="A725" t="s">
        <v>741</v>
      </c>
      <c r="B725" t="s">
        <v>21</v>
      </c>
      <c r="C725">
        <v>7999</v>
      </c>
      <c r="D725">
        <v>24</v>
      </c>
      <c r="E725">
        <v>4.32</v>
      </c>
      <c r="F725">
        <f>COUNTIFS(mdr_rate_cleaned!$A$2:$A$10,B725,mdr_rate_cleaned!$B$2:$B$10,"&lt;"&amp;C725,mdr_rate_cleaned!$F$2:$F$10,"&gt;="&amp;C725)</f>
        <v>1</v>
      </c>
      <c r="G725">
        <v>3.0000000000000001E-3</v>
      </c>
      <c r="H725">
        <v>24</v>
      </c>
      <c r="I725" t="s">
        <v>15</v>
      </c>
      <c r="J725" t="s">
        <v>15</v>
      </c>
      <c r="K725">
        <v>4.32</v>
      </c>
      <c r="L725">
        <v>0</v>
      </c>
    </row>
    <row r="726" spans="1:12" x14ac:dyDescent="0.3">
      <c r="A726" t="s">
        <v>742</v>
      </c>
      <c r="B726" t="s">
        <v>21</v>
      </c>
      <c r="C726">
        <v>11797</v>
      </c>
      <c r="D726">
        <v>35.39</v>
      </c>
      <c r="E726">
        <v>6.37</v>
      </c>
      <c r="F726">
        <f>COUNTIFS(mdr_rate_cleaned!$A$2:$A$10,B726,mdr_rate_cleaned!$B$2:$B$10,"&lt;"&amp;C726,mdr_rate_cleaned!$F$2:$F$10,"&gt;="&amp;C726)</f>
        <v>1</v>
      </c>
      <c r="G726">
        <v>3.0000000000000001E-3</v>
      </c>
      <c r="H726">
        <v>35.39</v>
      </c>
      <c r="I726" t="s">
        <v>15</v>
      </c>
      <c r="J726" t="s">
        <v>15</v>
      </c>
      <c r="K726">
        <v>6.37</v>
      </c>
      <c r="L726">
        <v>0</v>
      </c>
    </row>
    <row r="727" spans="1:12" x14ac:dyDescent="0.3">
      <c r="A727" t="s">
        <v>743</v>
      </c>
      <c r="B727" t="s">
        <v>21</v>
      </c>
      <c r="C727">
        <v>3499</v>
      </c>
      <c r="D727">
        <v>10.5</v>
      </c>
      <c r="E727">
        <v>1.89</v>
      </c>
      <c r="F727">
        <f>COUNTIFS(mdr_rate_cleaned!$A$2:$A$10,B727,mdr_rate_cleaned!$B$2:$B$10,"&lt;"&amp;C727,mdr_rate_cleaned!$F$2:$F$10,"&gt;="&amp;C727)</f>
        <v>1</v>
      </c>
      <c r="G727">
        <v>3.0000000000000001E-3</v>
      </c>
      <c r="H727">
        <v>10.5</v>
      </c>
      <c r="I727" t="s">
        <v>15</v>
      </c>
      <c r="J727" t="s">
        <v>15</v>
      </c>
      <c r="K727">
        <v>1.89</v>
      </c>
      <c r="L727">
        <v>0</v>
      </c>
    </row>
    <row r="728" spans="1:12" x14ac:dyDescent="0.3">
      <c r="A728" t="s">
        <v>744</v>
      </c>
      <c r="B728" t="s">
        <v>13</v>
      </c>
      <c r="C728">
        <v>2499</v>
      </c>
      <c r="D728">
        <v>42.48</v>
      </c>
      <c r="E728">
        <v>7.65</v>
      </c>
      <c r="F728">
        <f>COUNTIFS(mdr_rate_cleaned!$A$2:$A$10,B728,mdr_rate_cleaned!$B$2:$B$10,"&lt;"&amp;C728,mdr_rate_cleaned!$F$2:$F$10,"&gt;="&amp;C728)</f>
        <v>1</v>
      </c>
      <c r="G728">
        <v>1.7000000000000001E-2</v>
      </c>
      <c r="H728">
        <v>42.48</v>
      </c>
      <c r="I728" t="s">
        <v>15</v>
      </c>
      <c r="J728" t="s">
        <v>15</v>
      </c>
      <c r="K728">
        <v>7.65</v>
      </c>
      <c r="L728">
        <v>0</v>
      </c>
    </row>
    <row r="729" spans="1:12" x14ac:dyDescent="0.3">
      <c r="A729" t="s">
        <v>745</v>
      </c>
      <c r="B729" t="s">
        <v>17</v>
      </c>
      <c r="C729">
        <v>12998</v>
      </c>
      <c r="D729">
        <v>207.97</v>
      </c>
      <c r="E729">
        <v>37.43</v>
      </c>
      <c r="F729">
        <f>COUNTIFS(mdr_rate_cleaned!$A$2:$A$10,B729,mdr_rate_cleaned!$B$2:$B$10,"&lt;"&amp;C729,mdr_rate_cleaned!$F$2:$F$10,"&gt;="&amp;C729)</f>
        <v>1</v>
      </c>
      <c r="G729">
        <v>1.6E-2</v>
      </c>
      <c r="H729">
        <v>207.97</v>
      </c>
      <c r="I729" t="s">
        <v>15</v>
      </c>
      <c r="J729" t="s">
        <v>15</v>
      </c>
      <c r="K729">
        <v>37.43</v>
      </c>
      <c r="L729">
        <v>0</v>
      </c>
    </row>
    <row r="730" spans="1:12" x14ac:dyDescent="0.3">
      <c r="A730" t="s">
        <v>746</v>
      </c>
      <c r="B730" t="s">
        <v>21</v>
      </c>
      <c r="C730">
        <v>1799</v>
      </c>
      <c r="D730">
        <v>0</v>
      </c>
      <c r="E730">
        <v>0</v>
      </c>
      <c r="F730">
        <f>COUNTIFS(mdr_rate_cleaned!$A$2:$A$10,B730,mdr_rate_cleaned!$B$2:$B$10,"&lt;"&amp;C730,mdr_rate_cleaned!$F$2:$F$10,"&gt;="&amp;C730)</f>
        <v>1</v>
      </c>
      <c r="G730">
        <v>0</v>
      </c>
      <c r="H730">
        <v>0</v>
      </c>
      <c r="I730" t="s">
        <v>15</v>
      </c>
      <c r="J730" t="s">
        <v>15</v>
      </c>
      <c r="K730">
        <v>0</v>
      </c>
      <c r="L730">
        <v>0</v>
      </c>
    </row>
    <row r="731" spans="1:12" x14ac:dyDescent="0.3">
      <c r="A731" t="s">
        <v>747</v>
      </c>
      <c r="B731" t="s">
        <v>21</v>
      </c>
      <c r="C731">
        <v>6997</v>
      </c>
      <c r="D731">
        <v>20.99</v>
      </c>
      <c r="E731">
        <v>3.78</v>
      </c>
      <c r="F731">
        <f>COUNTIFS(mdr_rate_cleaned!$A$2:$A$10,B731,mdr_rate_cleaned!$B$2:$B$10,"&lt;"&amp;C731,mdr_rate_cleaned!$F$2:$F$10,"&gt;="&amp;C731)</f>
        <v>1</v>
      </c>
      <c r="G731">
        <v>3.0000000000000001E-3</v>
      </c>
      <c r="H731">
        <v>20.99</v>
      </c>
      <c r="I731" t="s">
        <v>15</v>
      </c>
      <c r="J731" t="s">
        <v>15</v>
      </c>
      <c r="K731">
        <v>3.78</v>
      </c>
      <c r="L731">
        <v>0</v>
      </c>
    </row>
    <row r="732" spans="1:12" x14ac:dyDescent="0.3">
      <c r="A732" t="s">
        <v>748</v>
      </c>
      <c r="B732" t="s">
        <v>21</v>
      </c>
      <c r="C732">
        <v>1499</v>
      </c>
      <c r="D732">
        <v>0</v>
      </c>
      <c r="E732">
        <v>0</v>
      </c>
      <c r="F732">
        <f>COUNTIFS(mdr_rate_cleaned!$A$2:$A$10,B732,mdr_rate_cleaned!$B$2:$B$10,"&lt;"&amp;C732,mdr_rate_cleaned!$F$2:$F$10,"&gt;="&amp;C732)</f>
        <v>1</v>
      </c>
      <c r="G732">
        <v>0</v>
      </c>
      <c r="H732">
        <v>0</v>
      </c>
      <c r="I732" t="s">
        <v>15</v>
      </c>
      <c r="J732" t="s">
        <v>15</v>
      </c>
      <c r="K732">
        <v>0</v>
      </c>
      <c r="L732">
        <v>0</v>
      </c>
    </row>
    <row r="733" spans="1:12" x14ac:dyDescent="0.3">
      <c r="A733" t="s">
        <v>749</v>
      </c>
      <c r="B733" t="s">
        <v>21</v>
      </c>
      <c r="C733">
        <v>349</v>
      </c>
      <c r="D733">
        <v>0</v>
      </c>
      <c r="E733">
        <v>0</v>
      </c>
      <c r="F733">
        <f>COUNTIFS(mdr_rate_cleaned!$A$2:$A$10,B733,mdr_rate_cleaned!$B$2:$B$10,"&lt;"&amp;C733,mdr_rate_cleaned!$F$2:$F$10,"&gt;="&amp;C733)</f>
        <v>1</v>
      </c>
      <c r="G733">
        <v>0</v>
      </c>
      <c r="H733">
        <v>0</v>
      </c>
      <c r="I733" t="s">
        <v>15</v>
      </c>
      <c r="J733" t="s">
        <v>15</v>
      </c>
      <c r="K733">
        <v>0</v>
      </c>
      <c r="L733">
        <v>0</v>
      </c>
    </row>
    <row r="734" spans="1:12" x14ac:dyDescent="0.3">
      <c r="A734" t="s">
        <v>750</v>
      </c>
      <c r="B734" t="s">
        <v>21</v>
      </c>
      <c r="C734">
        <v>349</v>
      </c>
      <c r="D734">
        <v>0</v>
      </c>
      <c r="E734">
        <v>0</v>
      </c>
      <c r="F734">
        <f>COUNTIFS(mdr_rate_cleaned!$A$2:$A$10,B734,mdr_rate_cleaned!$B$2:$B$10,"&lt;"&amp;C734,mdr_rate_cleaned!$F$2:$F$10,"&gt;="&amp;C734)</f>
        <v>1</v>
      </c>
      <c r="G734">
        <v>0</v>
      </c>
      <c r="H734">
        <v>0</v>
      </c>
      <c r="I734" t="s">
        <v>15</v>
      </c>
      <c r="J734" t="s">
        <v>15</v>
      </c>
      <c r="K734">
        <v>0</v>
      </c>
      <c r="L734">
        <v>0</v>
      </c>
    </row>
    <row r="735" spans="1:12" x14ac:dyDescent="0.3">
      <c r="A735" t="s">
        <v>751</v>
      </c>
      <c r="B735" t="s">
        <v>21</v>
      </c>
      <c r="C735">
        <v>499</v>
      </c>
      <c r="D735">
        <v>0</v>
      </c>
      <c r="E735">
        <v>0</v>
      </c>
      <c r="F735">
        <f>COUNTIFS(mdr_rate_cleaned!$A$2:$A$10,B735,mdr_rate_cleaned!$B$2:$B$10,"&lt;"&amp;C735,mdr_rate_cleaned!$F$2:$F$10,"&gt;="&amp;C735)</f>
        <v>1</v>
      </c>
      <c r="G735">
        <v>0</v>
      </c>
      <c r="H735">
        <v>0</v>
      </c>
      <c r="I735" t="s">
        <v>15</v>
      </c>
      <c r="J735" t="s">
        <v>15</v>
      </c>
      <c r="K735">
        <v>0</v>
      </c>
      <c r="L735">
        <v>0</v>
      </c>
    </row>
    <row r="736" spans="1:12" x14ac:dyDescent="0.3">
      <c r="A736" t="s">
        <v>752</v>
      </c>
      <c r="B736" t="s">
        <v>21</v>
      </c>
      <c r="C736">
        <v>8348</v>
      </c>
      <c r="D736">
        <v>25.04</v>
      </c>
      <c r="E736">
        <v>4.51</v>
      </c>
      <c r="F736">
        <f>COUNTIFS(mdr_rate_cleaned!$A$2:$A$10,B736,mdr_rate_cleaned!$B$2:$B$10,"&lt;"&amp;C736,mdr_rate_cleaned!$F$2:$F$10,"&gt;="&amp;C736)</f>
        <v>1</v>
      </c>
      <c r="G736">
        <v>3.0000000000000001E-3</v>
      </c>
      <c r="H736">
        <v>25.04</v>
      </c>
      <c r="I736" t="s">
        <v>15</v>
      </c>
      <c r="J736" t="s">
        <v>15</v>
      </c>
      <c r="K736">
        <v>4.51</v>
      </c>
      <c r="L736">
        <v>0</v>
      </c>
    </row>
    <row r="737" spans="1:12" x14ac:dyDescent="0.3">
      <c r="A737" t="s">
        <v>753</v>
      </c>
      <c r="B737" t="s">
        <v>21</v>
      </c>
      <c r="C737">
        <v>2798</v>
      </c>
      <c r="D737">
        <v>8.39</v>
      </c>
      <c r="E737">
        <v>1.51</v>
      </c>
      <c r="F737">
        <f>COUNTIFS(mdr_rate_cleaned!$A$2:$A$10,B737,mdr_rate_cleaned!$B$2:$B$10,"&lt;"&amp;C737,mdr_rate_cleaned!$F$2:$F$10,"&gt;="&amp;C737)</f>
        <v>1</v>
      </c>
      <c r="G737">
        <v>3.0000000000000001E-3</v>
      </c>
      <c r="H737">
        <v>8.39</v>
      </c>
      <c r="I737" t="s">
        <v>15</v>
      </c>
      <c r="J737" t="s">
        <v>15</v>
      </c>
      <c r="K737">
        <v>1.51</v>
      </c>
      <c r="L737">
        <v>0</v>
      </c>
    </row>
    <row r="738" spans="1:12" x14ac:dyDescent="0.3">
      <c r="A738" t="s">
        <v>754</v>
      </c>
      <c r="B738" t="s">
        <v>17</v>
      </c>
      <c r="C738">
        <v>4999</v>
      </c>
      <c r="D738">
        <v>79.98</v>
      </c>
      <c r="E738">
        <v>14.4</v>
      </c>
      <c r="F738">
        <f>COUNTIFS(mdr_rate_cleaned!$A$2:$A$10,B738,mdr_rate_cleaned!$B$2:$B$10,"&lt;"&amp;C738,mdr_rate_cleaned!$F$2:$F$10,"&gt;="&amp;C738)</f>
        <v>1</v>
      </c>
      <c r="G738">
        <v>1.6E-2</v>
      </c>
      <c r="H738">
        <v>79.98</v>
      </c>
      <c r="I738" t="s">
        <v>15</v>
      </c>
      <c r="J738" t="s">
        <v>15</v>
      </c>
      <c r="K738">
        <v>14.4</v>
      </c>
      <c r="L738">
        <v>0</v>
      </c>
    </row>
    <row r="739" spans="1:12" x14ac:dyDescent="0.3">
      <c r="A739" t="s">
        <v>755</v>
      </c>
      <c r="B739" t="s">
        <v>13</v>
      </c>
      <c r="C739">
        <v>4098</v>
      </c>
      <c r="D739">
        <v>69.67</v>
      </c>
      <c r="E739">
        <v>12.54</v>
      </c>
      <c r="F739">
        <f>COUNTIFS(mdr_rate_cleaned!$A$2:$A$10,B739,mdr_rate_cleaned!$B$2:$B$10,"&lt;"&amp;C739,mdr_rate_cleaned!$F$2:$F$10,"&gt;="&amp;C739)</f>
        <v>1</v>
      </c>
      <c r="G739">
        <v>1.7000000000000001E-2</v>
      </c>
      <c r="H739">
        <v>69.67</v>
      </c>
      <c r="I739" t="s">
        <v>15</v>
      </c>
      <c r="J739" t="s">
        <v>15</v>
      </c>
      <c r="K739">
        <v>12.54</v>
      </c>
      <c r="L739">
        <v>0</v>
      </c>
    </row>
    <row r="740" spans="1:12" x14ac:dyDescent="0.3">
      <c r="A740" t="s">
        <v>756</v>
      </c>
      <c r="B740" t="s">
        <v>13</v>
      </c>
      <c r="C740">
        <v>799</v>
      </c>
      <c r="D740">
        <v>15.18</v>
      </c>
      <c r="E740">
        <v>2.73</v>
      </c>
      <c r="F740">
        <f>COUNTIFS(mdr_rate_cleaned!$A$2:$A$10,B740,mdr_rate_cleaned!$B$2:$B$10,"&lt;"&amp;C740,mdr_rate_cleaned!$F$2:$F$10,"&gt;="&amp;C740)</f>
        <v>1</v>
      </c>
      <c r="G740">
        <v>1.9E-2</v>
      </c>
      <c r="H740">
        <v>15.18</v>
      </c>
      <c r="I740" t="s">
        <v>15</v>
      </c>
      <c r="J740" t="s">
        <v>15</v>
      </c>
      <c r="K740">
        <v>2.73</v>
      </c>
      <c r="L740">
        <v>0</v>
      </c>
    </row>
    <row r="741" spans="1:12" x14ac:dyDescent="0.3">
      <c r="A741" t="s">
        <v>757</v>
      </c>
      <c r="B741" t="s">
        <v>17</v>
      </c>
      <c r="C741">
        <v>2947</v>
      </c>
      <c r="D741">
        <v>47.15</v>
      </c>
      <c r="E741">
        <v>8.49</v>
      </c>
      <c r="F741">
        <f>COUNTIFS(mdr_rate_cleaned!$A$2:$A$10,B741,mdr_rate_cleaned!$B$2:$B$10,"&lt;"&amp;C741,mdr_rate_cleaned!$F$2:$F$10,"&gt;="&amp;C741)</f>
        <v>1</v>
      </c>
      <c r="G741">
        <v>1.6E-2</v>
      </c>
      <c r="H741">
        <v>47.15</v>
      </c>
      <c r="I741" t="s">
        <v>15</v>
      </c>
      <c r="J741" t="s">
        <v>15</v>
      </c>
      <c r="K741">
        <v>8.49</v>
      </c>
      <c r="L741">
        <v>0</v>
      </c>
    </row>
    <row r="742" spans="1:12" x14ac:dyDescent="0.3">
      <c r="A742" t="s">
        <v>758</v>
      </c>
      <c r="B742" t="s">
        <v>21</v>
      </c>
      <c r="C742">
        <v>799</v>
      </c>
      <c r="D742">
        <v>0</v>
      </c>
      <c r="E742">
        <v>0</v>
      </c>
      <c r="F742">
        <f>COUNTIFS(mdr_rate_cleaned!$A$2:$A$10,B742,mdr_rate_cleaned!$B$2:$B$10,"&lt;"&amp;C742,mdr_rate_cleaned!$F$2:$F$10,"&gt;="&amp;C742)</f>
        <v>1</v>
      </c>
      <c r="G742">
        <v>0</v>
      </c>
      <c r="H742">
        <v>0</v>
      </c>
      <c r="I742" t="s">
        <v>15</v>
      </c>
      <c r="J742" t="s">
        <v>15</v>
      </c>
      <c r="K742">
        <v>0</v>
      </c>
      <c r="L742">
        <v>0</v>
      </c>
    </row>
    <row r="743" spans="1:12" x14ac:dyDescent="0.3">
      <c r="A743" t="s">
        <v>759</v>
      </c>
      <c r="B743" t="s">
        <v>17</v>
      </c>
      <c r="C743">
        <v>1499</v>
      </c>
      <c r="D743">
        <v>26.98</v>
      </c>
      <c r="E743">
        <v>4.8600000000000003</v>
      </c>
      <c r="F743">
        <f>COUNTIFS(mdr_rate_cleaned!$A$2:$A$10,B743,mdr_rate_cleaned!$B$2:$B$10,"&lt;"&amp;C743,mdr_rate_cleaned!$F$2:$F$10,"&gt;="&amp;C743)</f>
        <v>1</v>
      </c>
      <c r="G743">
        <v>1.7999999999999999E-2</v>
      </c>
      <c r="H743">
        <v>26.98</v>
      </c>
      <c r="I743" t="s">
        <v>15</v>
      </c>
      <c r="J743" t="s">
        <v>15</v>
      </c>
      <c r="K743">
        <v>4.8600000000000003</v>
      </c>
      <c r="L743">
        <v>0</v>
      </c>
    </row>
    <row r="744" spans="1:12" x14ac:dyDescent="0.3">
      <c r="A744" t="s">
        <v>760</v>
      </c>
      <c r="B744" t="s">
        <v>21</v>
      </c>
      <c r="C744">
        <v>2999</v>
      </c>
      <c r="D744">
        <v>9</v>
      </c>
      <c r="E744">
        <v>1.62</v>
      </c>
      <c r="F744">
        <f>COUNTIFS(mdr_rate_cleaned!$A$2:$A$10,B744,mdr_rate_cleaned!$B$2:$B$10,"&lt;"&amp;C744,mdr_rate_cleaned!$F$2:$F$10,"&gt;="&amp;C744)</f>
        <v>1</v>
      </c>
      <c r="G744">
        <v>3.0000000000000001E-3</v>
      </c>
      <c r="H744">
        <v>9</v>
      </c>
      <c r="I744" t="s">
        <v>15</v>
      </c>
      <c r="J744" t="s">
        <v>15</v>
      </c>
      <c r="K744">
        <v>1.62</v>
      </c>
      <c r="L744">
        <v>0</v>
      </c>
    </row>
    <row r="745" spans="1:12" x14ac:dyDescent="0.3">
      <c r="A745" t="s">
        <v>761</v>
      </c>
      <c r="B745" t="s">
        <v>13</v>
      </c>
      <c r="C745">
        <v>3499</v>
      </c>
      <c r="D745">
        <v>59.48</v>
      </c>
      <c r="E745">
        <v>10.71</v>
      </c>
      <c r="F745">
        <f>COUNTIFS(mdr_rate_cleaned!$A$2:$A$10,B745,mdr_rate_cleaned!$B$2:$B$10,"&lt;"&amp;C745,mdr_rate_cleaned!$F$2:$F$10,"&gt;="&amp;C745)</f>
        <v>1</v>
      </c>
      <c r="G745">
        <v>1.7000000000000001E-2</v>
      </c>
      <c r="H745">
        <v>59.48</v>
      </c>
      <c r="I745" t="s">
        <v>15</v>
      </c>
      <c r="J745" t="s">
        <v>15</v>
      </c>
      <c r="K745">
        <v>10.71</v>
      </c>
      <c r="L745">
        <v>0</v>
      </c>
    </row>
    <row r="746" spans="1:12" x14ac:dyDescent="0.3">
      <c r="A746" t="s">
        <v>762</v>
      </c>
      <c r="B746" t="s">
        <v>21</v>
      </c>
      <c r="C746">
        <v>599</v>
      </c>
      <c r="D746">
        <v>0</v>
      </c>
      <c r="E746">
        <v>0</v>
      </c>
      <c r="F746">
        <f>COUNTIFS(mdr_rate_cleaned!$A$2:$A$10,B746,mdr_rate_cleaned!$B$2:$B$10,"&lt;"&amp;C746,mdr_rate_cleaned!$F$2:$F$10,"&gt;="&amp;C746)</f>
        <v>1</v>
      </c>
      <c r="G746">
        <v>0</v>
      </c>
      <c r="H746">
        <v>0</v>
      </c>
      <c r="I746" t="s">
        <v>15</v>
      </c>
      <c r="J746" t="s">
        <v>15</v>
      </c>
      <c r="K746">
        <v>0</v>
      </c>
      <c r="L746">
        <v>0</v>
      </c>
    </row>
    <row r="747" spans="1:12" x14ac:dyDescent="0.3">
      <c r="A747" t="s">
        <v>763</v>
      </c>
      <c r="B747" t="s">
        <v>13</v>
      </c>
      <c r="C747">
        <v>3499</v>
      </c>
      <c r="D747">
        <v>59.48</v>
      </c>
      <c r="E747">
        <v>10.71</v>
      </c>
      <c r="F747">
        <f>COUNTIFS(mdr_rate_cleaned!$A$2:$A$10,B747,mdr_rate_cleaned!$B$2:$B$10,"&lt;"&amp;C747,mdr_rate_cleaned!$F$2:$F$10,"&gt;="&amp;C747)</f>
        <v>1</v>
      </c>
      <c r="G747">
        <v>1.7000000000000001E-2</v>
      </c>
      <c r="H747">
        <v>59.48</v>
      </c>
      <c r="I747" t="s">
        <v>15</v>
      </c>
      <c r="J747" t="s">
        <v>15</v>
      </c>
      <c r="K747">
        <v>10.71</v>
      </c>
      <c r="L747">
        <v>0</v>
      </c>
    </row>
    <row r="748" spans="1:12" x14ac:dyDescent="0.3">
      <c r="A748" t="s">
        <v>764</v>
      </c>
      <c r="B748" t="s">
        <v>21</v>
      </c>
      <c r="C748">
        <v>3597</v>
      </c>
      <c r="D748">
        <v>10.79</v>
      </c>
      <c r="E748">
        <v>1.94</v>
      </c>
      <c r="F748">
        <f>COUNTIFS(mdr_rate_cleaned!$A$2:$A$10,B748,mdr_rate_cleaned!$B$2:$B$10,"&lt;"&amp;C748,mdr_rate_cleaned!$F$2:$F$10,"&gt;="&amp;C748)</f>
        <v>1</v>
      </c>
      <c r="G748">
        <v>3.0000000000000001E-3</v>
      </c>
      <c r="H748">
        <v>10.79</v>
      </c>
      <c r="I748" t="s">
        <v>15</v>
      </c>
      <c r="J748" t="s">
        <v>15</v>
      </c>
      <c r="K748">
        <v>1.94</v>
      </c>
      <c r="L748">
        <v>0</v>
      </c>
    </row>
    <row r="749" spans="1:12" x14ac:dyDescent="0.3">
      <c r="A749" t="s">
        <v>765</v>
      </c>
      <c r="B749" t="s">
        <v>21</v>
      </c>
      <c r="C749">
        <v>1348</v>
      </c>
      <c r="D749">
        <v>0</v>
      </c>
      <c r="E749">
        <v>0</v>
      </c>
      <c r="F749">
        <f>COUNTIFS(mdr_rate_cleaned!$A$2:$A$10,B749,mdr_rate_cleaned!$B$2:$B$10,"&lt;"&amp;C749,mdr_rate_cleaned!$F$2:$F$10,"&gt;="&amp;C749)</f>
        <v>1</v>
      </c>
      <c r="G749">
        <v>0</v>
      </c>
      <c r="H749">
        <v>0</v>
      </c>
      <c r="I749" t="s">
        <v>15</v>
      </c>
      <c r="J749" t="s">
        <v>15</v>
      </c>
      <c r="K749">
        <v>0</v>
      </c>
      <c r="L749">
        <v>0</v>
      </c>
    </row>
    <row r="750" spans="1:12" x14ac:dyDescent="0.3">
      <c r="A750" t="s">
        <v>766</v>
      </c>
      <c r="B750" t="s">
        <v>17</v>
      </c>
      <c r="C750">
        <v>6347</v>
      </c>
      <c r="D750">
        <v>101.55</v>
      </c>
      <c r="E750">
        <v>18.28</v>
      </c>
      <c r="F750">
        <f>COUNTIFS(mdr_rate_cleaned!$A$2:$A$10,B750,mdr_rate_cleaned!$B$2:$B$10,"&lt;"&amp;C750,mdr_rate_cleaned!$F$2:$F$10,"&gt;="&amp;C750)</f>
        <v>1</v>
      </c>
      <c r="G750">
        <v>1.6E-2</v>
      </c>
      <c r="H750">
        <v>101.55</v>
      </c>
      <c r="I750" t="s">
        <v>15</v>
      </c>
      <c r="J750" t="s">
        <v>15</v>
      </c>
      <c r="K750">
        <v>18.28</v>
      </c>
      <c r="L750">
        <v>0</v>
      </c>
    </row>
    <row r="751" spans="1:12" x14ac:dyDescent="0.3">
      <c r="A751" t="s">
        <v>767</v>
      </c>
      <c r="B751" t="s">
        <v>21</v>
      </c>
      <c r="C751">
        <v>799</v>
      </c>
      <c r="D751">
        <v>0</v>
      </c>
      <c r="E751">
        <v>0</v>
      </c>
      <c r="F751">
        <f>COUNTIFS(mdr_rate_cleaned!$A$2:$A$10,B751,mdr_rate_cleaned!$B$2:$B$10,"&lt;"&amp;C751,mdr_rate_cleaned!$F$2:$F$10,"&gt;="&amp;C751)</f>
        <v>1</v>
      </c>
      <c r="G751">
        <v>0</v>
      </c>
      <c r="H751">
        <v>0</v>
      </c>
      <c r="I751" t="s">
        <v>15</v>
      </c>
      <c r="J751" t="s">
        <v>15</v>
      </c>
      <c r="K751">
        <v>0</v>
      </c>
      <c r="L751">
        <v>0</v>
      </c>
    </row>
    <row r="752" spans="1:12" x14ac:dyDescent="0.3">
      <c r="A752" t="s">
        <v>768</v>
      </c>
      <c r="B752" t="s">
        <v>17</v>
      </c>
      <c r="C752">
        <v>1799</v>
      </c>
      <c r="D752">
        <v>32.380000000000003</v>
      </c>
      <c r="E752">
        <v>5.83</v>
      </c>
      <c r="F752">
        <f>COUNTIFS(mdr_rate_cleaned!$A$2:$A$10,B752,mdr_rate_cleaned!$B$2:$B$10,"&lt;"&amp;C752,mdr_rate_cleaned!$F$2:$F$10,"&gt;="&amp;C752)</f>
        <v>1</v>
      </c>
      <c r="G752">
        <v>1.7999999999999999E-2</v>
      </c>
      <c r="H752">
        <v>32.380000000000003</v>
      </c>
      <c r="I752" t="s">
        <v>15</v>
      </c>
      <c r="J752" t="s">
        <v>15</v>
      </c>
      <c r="K752">
        <v>5.83</v>
      </c>
      <c r="L752">
        <v>0</v>
      </c>
    </row>
    <row r="753" spans="1:12" x14ac:dyDescent="0.3">
      <c r="A753" t="s">
        <v>769</v>
      </c>
      <c r="B753" t="s">
        <v>17</v>
      </c>
      <c r="C753">
        <v>799</v>
      </c>
      <c r="D753">
        <v>14.38</v>
      </c>
      <c r="E753">
        <v>2.59</v>
      </c>
      <c r="F753">
        <f>COUNTIFS(mdr_rate_cleaned!$A$2:$A$10,B753,mdr_rate_cleaned!$B$2:$B$10,"&lt;"&amp;C753,mdr_rate_cleaned!$F$2:$F$10,"&gt;="&amp;C753)</f>
        <v>1</v>
      </c>
      <c r="G753">
        <v>1.7999999999999999E-2</v>
      </c>
      <c r="H753">
        <v>14.38</v>
      </c>
      <c r="I753" t="s">
        <v>15</v>
      </c>
      <c r="J753" t="s">
        <v>15</v>
      </c>
      <c r="K753">
        <v>2.59</v>
      </c>
      <c r="L753">
        <v>0</v>
      </c>
    </row>
    <row r="754" spans="1:12" x14ac:dyDescent="0.3">
      <c r="A754" t="s">
        <v>770</v>
      </c>
      <c r="B754" t="s">
        <v>21</v>
      </c>
      <c r="C754">
        <v>1499</v>
      </c>
      <c r="D754">
        <v>0</v>
      </c>
      <c r="E754">
        <v>0</v>
      </c>
      <c r="F754">
        <f>COUNTIFS(mdr_rate_cleaned!$A$2:$A$10,B754,mdr_rate_cleaned!$B$2:$B$10,"&lt;"&amp;C754,mdr_rate_cleaned!$F$2:$F$10,"&gt;="&amp;C754)</f>
        <v>1</v>
      </c>
      <c r="G754">
        <v>0</v>
      </c>
      <c r="H754">
        <v>0</v>
      </c>
      <c r="I754" t="s">
        <v>15</v>
      </c>
      <c r="J754" t="s">
        <v>15</v>
      </c>
      <c r="K754">
        <v>0</v>
      </c>
      <c r="L754">
        <v>0</v>
      </c>
    </row>
    <row r="755" spans="1:12" x14ac:dyDescent="0.3">
      <c r="A755" t="s">
        <v>771</v>
      </c>
      <c r="B755" t="s">
        <v>21</v>
      </c>
      <c r="C755">
        <v>4498</v>
      </c>
      <c r="D755">
        <v>13.49</v>
      </c>
      <c r="E755">
        <v>2.4300000000000002</v>
      </c>
      <c r="F755">
        <f>COUNTIFS(mdr_rate_cleaned!$A$2:$A$10,B755,mdr_rate_cleaned!$B$2:$B$10,"&lt;"&amp;C755,mdr_rate_cleaned!$F$2:$F$10,"&gt;="&amp;C755)</f>
        <v>1</v>
      </c>
      <c r="G755">
        <v>3.0000000000000001E-3</v>
      </c>
      <c r="H755">
        <v>13.49</v>
      </c>
      <c r="I755" t="s">
        <v>15</v>
      </c>
      <c r="J755" t="s">
        <v>15</v>
      </c>
      <c r="K755">
        <v>2.4300000000000002</v>
      </c>
      <c r="L755">
        <v>0</v>
      </c>
    </row>
    <row r="756" spans="1:12" x14ac:dyDescent="0.3">
      <c r="A756" t="s">
        <v>772</v>
      </c>
      <c r="B756" t="s">
        <v>13</v>
      </c>
      <c r="C756">
        <v>5998</v>
      </c>
      <c r="D756">
        <v>101.97</v>
      </c>
      <c r="E756">
        <v>18.350000000000001</v>
      </c>
      <c r="F756">
        <f>COUNTIFS(mdr_rate_cleaned!$A$2:$A$10,B756,mdr_rate_cleaned!$B$2:$B$10,"&lt;"&amp;C756,mdr_rate_cleaned!$F$2:$F$10,"&gt;="&amp;C756)</f>
        <v>1</v>
      </c>
      <c r="G756">
        <v>1.7000000000000001E-2</v>
      </c>
      <c r="H756">
        <v>101.97</v>
      </c>
      <c r="I756" t="s">
        <v>15</v>
      </c>
      <c r="J756" t="s">
        <v>15</v>
      </c>
      <c r="K756">
        <v>18.350000000000001</v>
      </c>
      <c r="L756">
        <v>0</v>
      </c>
    </row>
    <row r="757" spans="1:12" x14ac:dyDescent="0.3">
      <c r="A757" t="s">
        <v>773</v>
      </c>
      <c r="B757" t="s">
        <v>21</v>
      </c>
      <c r="C757">
        <v>3499</v>
      </c>
      <c r="D757">
        <v>10.5</v>
      </c>
      <c r="E757">
        <v>1.89</v>
      </c>
      <c r="F757">
        <f>COUNTIFS(mdr_rate_cleaned!$A$2:$A$10,B757,mdr_rate_cleaned!$B$2:$B$10,"&lt;"&amp;C757,mdr_rate_cleaned!$F$2:$F$10,"&gt;="&amp;C757)</f>
        <v>1</v>
      </c>
      <c r="G757">
        <v>3.0000000000000001E-3</v>
      </c>
      <c r="H757">
        <v>10.5</v>
      </c>
      <c r="I757" t="s">
        <v>15</v>
      </c>
      <c r="J757" t="s">
        <v>15</v>
      </c>
      <c r="K757">
        <v>1.89</v>
      </c>
      <c r="L757">
        <v>0</v>
      </c>
    </row>
    <row r="758" spans="1:12" x14ac:dyDescent="0.3">
      <c r="A758" t="s">
        <v>774</v>
      </c>
      <c r="B758" t="s">
        <v>17</v>
      </c>
      <c r="C758">
        <v>1799</v>
      </c>
      <c r="D758">
        <v>32.380000000000003</v>
      </c>
      <c r="E758">
        <v>5.83</v>
      </c>
      <c r="F758">
        <f>COUNTIFS(mdr_rate_cleaned!$A$2:$A$10,B758,mdr_rate_cleaned!$B$2:$B$10,"&lt;"&amp;C758,mdr_rate_cleaned!$F$2:$F$10,"&gt;="&amp;C758)</f>
        <v>1</v>
      </c>
      <c r="G758">
        <v>1.7999999999999999E-2</v>
      </c>
      <c r="H758">
        <v>32.380000000000003</v>
      </c>
      <c r="I758" t="s">
        <v>15</v>
      </c>
      <c r="J758" t="s">
        <v>15</v>
      </c>
      <c r="K758">
        <v>5.83</v>
      </c>
      <c r="L758">
        <v>0</v>
      </c>
    </row>
    <row r="759" spans="1:12" x14ac:dyDescent="0.3">
      <c r="A759" t="s">
        <v>775</v>
      </c>
      <c r="B759" t="s">
        <v>13</v>
      </c>
      <c r="C759">
        <v>1098</v>
      </c>
      <c r="D759">
        <v>20.86</v>
      </c>
      <c r="E759">
        <v>3.75</v>
      </c>
      <c r="F759">
        <f>COUNTIFS(mdr_rate_cleaned!$A$2:$A$10,B759,mdr_rate_cleaned!$B$2:$B$10,"&lt;"&amp;C759,mdr_rate_cleaned!$F$2:$F$10,"&gt;="&amp;C759)</f>
        <v>1</v>
      </c>
      <c r="G759">
        <v>1.9E-2</v>
      </c>
      <c r="H759">
        <v>20.86</v>
      </c>
      <c r="I759" t="s">
        <v>15</v>
      </c>
      <c r="J759" t="s">
        <v>15</v>
      </c>
      <c r="K759">
        <v>3.75</v>
      </c>
      <c r="L759">
        <v>0</v>
      </c>
    </row>
    <row r="760" spans="1:12" x14ac:dyDescent="0.3">
      <c r="A760" t="s">
        <v>776</v>
      </c>
      <c r="B760" t="s">
        <v>21</v>
      </c>
      <c r="C760">
        <v>5797</v>
      </c>
      <c r="D760">
        <v>17.39</v>
      </c>
      <c r="E760">
        <v>3.13</v>
      </c>
      <c r="F760">
        <f>COUNTIFS(mdr_rate_cleaned!$A$2:$A$10,B760,mdr_rate_cleaned!$B$2:$B$10,"&lt;"&amp;C760,mdr_rate_cleaned!$F$2:$F$10,"&gt;="&amp;C760)</f>
        <v>1</v>
      </c>
      <c r="G760">
        <v>3.0000000000000001E-3</v>
      </c>
      <c r="H760">
        <v>17.39</v>
      </c>
      <c r="I760" t="s">
        <v>15</v>
      </c>
      <c r="J760" t="s">
        <v>15</v>
      </c>
      <c r="K760">
        <v>3.13</v>
      </c>
      <c r="L760">
        <v>0</v>
      </c>
    </row>
    <row r="761" spans="1:12" x14ac:dyDescent="0.3">
      <c r="A761" t="s">
        <v>777</v>
      </c>
      <c r="B761" t="s">
        <v>13</v>
      </c>
      <c r="C761">
        <v>2999</v>
      </c>
      <c r="D761">
        <v>50.98</v>
      </c>
      <c r="E761">
        <v>9.18</v>
      </c>
      <c r="F761">
        <f>COUNTIFS(mdr_rate_cleaned!$A$2:$A$10,B761,mdr_rate_cleaned!$B$2:$B$10,"&lt;"&amp;C761,mdr_rate_cleaned!$F$2:$F$10,"&gt;="&amp;C761)</f>
        <v>1</v>
      </c>
      <c r="G761">
        <v>1.7000000000000001E-2</v>
      </c>
      <c r="H761">
        <v>50.98</v>
      </c>
      <c r="I761" t="s">
        <v>15</v>
      </c>
      <c r="J761" t="s">
        <v>15</v>
      </c>
      <c r="K761">
        <v>9.18</v>
      </c>
      <c r="L761">
        <v>0</v>
      </c>
    </row>
    <row r="762" spans="1:12" x14ac:dyDescent="0.3">
      <c r="A762" t="s">
        <v>778</v>
      </c>
      <c r="B762" t="s">
        <v>21</v>
      </c>
      <c r="C762">
        <v>6297</v>
      </c>
      <c r="D762">
        <v>18.89</v>
      </c>
      <c r="E762">
        <v>3.4</v>
      </c>
      <c r="F762">
        <f>COUNTIFS(mdr_rate_cleaned!$A$2:$A$10,B762,mdr_rate_cleaned!$B$2:$B$10,"&lt;"&amp;C762,mdr_rate_cleaned!$F$2:$F$10,"&gt;="&amp;C762)</f>
        <v>1</v>
      </c>
      <c r="G762">
        <v>3.0000000000000001E-3</v>
      </c>
      <c r="H762">
        <v>18.89</v>
      </c>
      <c r="I762" t="s">
        <v>15</v>
      </c>
      <c r="J762" t="s">
        <v>15</v>
      </c>
      <c r="K762">
        <v>3.4</v>
      </c>
      <c r="L762">
        <v>0</v>
      </c>
    </row>
    <row r="763" spans="1:12" x14ac:dyDescent="0.3">
      <c r="A763" t="s">
        <v>779</v>
      </c>
      <c r="B763" t="s">
        <v>13</v>
      </c>
      <c r="C763">
        <v>3499</v>
      </c>
      <c r="D763">
        <v>83.98</v>
      </c>
      <c r="E763">
        <v>15.12</v>
      </c>
      <c r="F763">
        <f>COUNTIFS(mdr_rate_cleaned!$A$2:$A$10,B763,mdr_rate_cleaned!$B$2:$B$10,"&lt;"&amp;C763,mdr_rate_cleaned!$F$2:$F$10,"&gt;="&amp;C763)</f>
        <v>1</v>
      </c>
      <c r="G763">
        <v>1.7000000000000001E-2</v>
      </c>
      <c r="H763">
        <v>59.48</v>
      </c>
      <c r="I763" t="s">
        <v>14</v>
      </c>
      <c r="J763" t="s">
        <v>15</v>
      </c>
      <c r="K763">
        <v>10.71</v>
      </c>
      <c r="L763">
        <v>28.91</v>
      </c>
    </row>
    <row r="764" spans="1:12" x14ac:dyDescent="0.3">
      <c r="A764" t="s">
        <v>780</v>
      </c>
      <c r="B764" t="s">
        <v>21</v>
      </c>
      <c r="C764">
        <v>7297</v>
      </c>
      <c r="D764">
        <v>21.89</v>
      </c>
      <c r="E764">
        <v>3.94</v>
      </c>
      <c r="F764">
        <f>COUNTIFS(mdr_rate_cleaned!$A$2:$A$10,B764,mdr_rate_cleaned!$B$2:$B$10,"&lt;"&amp;C764,mdr_rate_cleaned!$F$2:$F$10,"&gt;="&amp;C764)</f>
        <v>1</v>
      </c>
      <c r="G764">
        <v>3.0000000000000001E-3</v>
      </c>
      <c r="H764">
        <v>21.89</v>
      </c>
      <c r="I764" t="s">
        <v>15</v>
      </c>
      <c r="J764" t="s">
        <v>15</v>
      </c>
      <c r="K764">
        <v>3.94</v>
      </c>
      <c r="L764">
        <v>0</v>
      </c>
    </row>
    <row r="765" spans="1:12" x14ac:dyDescent="0.3">
      <c r="A765" t="s">
        <v>781</v>
      </c>
      <c r="B765" t="s">
        <v>13</v>
      </c>
      <c r="C765">
        <v>4998</v>
      </c>
      <c r="D765">
        <v>84.97</v>
      </c>
      <c r="E765">
        <v>15.29</v>
      </c>
      <c r="F765">
        <f>COUNTIFS(mdr_rate_cleaned!$A$2:$A$10,B765,mdr_rate_cleaned!$B$2:$B$10,"&lt;"&amp;C765,mdr_rate_cleaned!$F$2:$F$10,"&gt;="&amp;C765)</f>
        <v>1</v>
      </c>
      <c r="G765">
        <v>1.7000000000000001E-2</v>
      </c>
      <c r="H765">
        <v>84.97</v>
      </c>
      <c r="I765" t="s">
        <v>15</v>
      </c>
      <c r="J765" t="s">
        <v>15</v>
      </c>
      <c r="K765">
        <v>15.29</v>
      </c>
      <c r="L765">
        <v>0</v>
      </c>
    </row>
    <row r="766" spans="1:12" x14ac:dyDescent="0.3">
      <c r="A766" t="s">
        <v>782</v>
      </c>
      <c r="B766" t="s">
        <v>21</v>
      </c>
      <c r="C766">
        <v>3499</v>
      </c>
      <c r="D766">
        <v>10.5</v>
      </c>
      <c r="E766">
        <v>1.89</v>
      </c>
      <c r="F766">
        <f>COUNTIFS(mdr_rate_cleaned!$A$2:$A$10,B766,mdr_rate_cleaned!$B$2:$B$10,"&lt;"&amp;C766,mdr_rate_cleaned!$F$2:$F$10,"&gt;="&amp;C766)</f>
        <v>1</v>
      </c>
      <c r="G766">
        <v>3.0000000000000001E-3</v>
      </c>
      <c r="H766">
        <v>10.5</v>
      </c>
      <c r="I766" t="s">
        <v>15</v>
      </c>
      <c r="J766" t="s">
        <v>15</v>
      </c>
      <c r="K766">
        <v>1.89</v>
      </c>
      <c r="L766">
        <v>0</v>
      </c>
    </row>
    <row r="767" spans="1:12" x14ac:dyDescent="0.3">
      <c r="A767" t="s">
        <v>783</v>
      </c>
      <c r="B767" t="s">
        <v>13</v>
      </c>
      <c r="C767">
        <v>799</v>
      </c>
      <c r="D767">
        <v>15.18</v>
      </c>
      <c r="E767">
        <v>2.73</v>
      </c>
      <c r="F767">
        <f>COUNTIFS(mdr_rate_cleaned!$A$2:$A$10,B767,mdr_rate_cleaned!$B$2:$B$10,"&lt;"&amp;C767,mdr_rate_cleaned!$F$2:$F$10,"&gt;="&amp;C767)</f>
        <v>1</v>
      </c>
      <c r="G767">
        <v>1.9E-2</v>
      </c>
      <c r="H767">
        <v>15.18</v>
      </c>
      <c r="I767" t="s">
        <v>15</v>
      </c>
      <c r="J767" t="s">
        <v>15</v>
      </c>
      <c r="K767">
        <v>2.73</v>
      </c>
      <c r="L767">
        <v>0</v>
      </c>
    </row>
    <row r="768" spans="1:12" x14ac:dyDescent="0.3">
      <c r="A768" t="s">
        <v>784</v>
      </c>
      <c r="B768" t="s">
        <v>21</v>
      </c>
      <c r="C768">
        <v>9147</v>
      </c>
      <c r="D768">
        <v>27.44</v>
      </c>
      <c r="E768">
        <v>4.9400000000000004</v>
      </c>
      <c r="F768">
        <f>COUNTIFS(mdr_rate_cleaned!$A$2:$A$10,B768,mdr_rate_cleaned!$B$2:$B$10,"&lt;"&amp;C768,mdr_rate_cleaned!$F$2:$F$10,"&gt;="&amp;C768)</f>
        <v>1</v>
      </c>
      <c r="G768">
        <v>3.0000000000000001E-3</v>
      </c>
      <c r="H768">
        <v>27.44</v>
      </c>
      <c r="I768" t="s">
        <v>15</v>
      </c>
      <c r="J768" t="s">
        <v>15</v>
      </c>
      <c r="K768">
        <v>4.9400000000000004</v>
      </c>
      <c r="L768">
        <v>0</v>
      </c>
    </row>
    <row r="769" spans="1:12" x14ac:dyDescent="0.3">
      <c r="A769" t="s">
        <v>785</v>
      </c>
      <c r="B769" t="s">
        <v>21</v>
      </c>
      <c r="C769">
        <v>1647</v>
      </c>
      <c r="D769">
        <v>0</v>
      </c>
      <c r="E769">
        <v>0</v>
      </c>
      <c r="F769">
        <f>COUNTIFS(mdr_rate_cleaned!$A$2:$A$10,B769,mdr_rate_cleaned!$B$2:$B$10,"&lt;"&amp;C769,mdr_rate_cleaned!$F$2:$F$10,"&gt;="&amp;C769)</f>
        <v>1</v>
      </c>
      <c r="G769">
        <v>0</v>
      </c>
      <c r="H769">
        <v>0</v>
      </c>
      <c r="I769" t="s">
        <v>15</v>
      </c>
      <c r="J769" t="s">
        <v>15</v>
      </c>
      <c r="K769">
        <v>0</v>
      </c>
      <c r="L769">
        <v>0</v>
      </c>
    </row>
    <row r="770" spans="1:12" x14ac:dyDescent="0.3">
      <c r="A770" t="s">
        <v>786</v>
      </c>
      <c r="B770" t="s">
        <v>21</v>
      </c>
      <c r="C770">
        <v>1299</v>
      </c>
      <c r="D770">
        <v>0</v>
      </c>
      <c r="E770">
        <v>0</v>
      </c>
      <c r="F770">
        <f>COUNTIFS(mdr_rate_cleaned!$A$2:$A$10,B770,mdr_rate_cleaned!$B$2:$B$10,"&lt;"&amp;C770,mdr_rate_cleaned!$F$2:$F$10,"&gt;="&amp;C770)</f>
        <v>1</v>
      </c>
      <c r="G770">
        <v>0</v>
      </c>
      <c r="H770">
        <v>0</v>
      </c>
      <c r="I770" t="s">
        <v>15</v>
      </c>
      <c r="J770" t="s">
        <v>15</v>
      </c>
      <c r="K770">
        <v>0</v>
      </c>
      <c r="L770">
        <v>0</v>
      </c>
    </row>
    <row r="771" spans="1:12" x14ac:dyDescent="0.3">
      <c r="A771" t="s">
        <v>787</v>
      </c>
      <c r="B771" t="s">
        <v>17</v>
      </c>
      <c r="C771">
        <v>1198</v>
      </c>
      <c r="D771">
        <v>21.56</v>
      </c>
      <c r="E771">
        <v>3.88</v>
      </c>
      <c r="F771">
        <f>COUNTIFS(mdr_rate_cleaned!$A$2:$A$10,B771,mdr_rate_cleaned!$B$2:$B$10,"&lt;"&amp;C771,mdr_rate_cleaned!$F$2:$F$10,"&gt;="&amp;C771)</f>
        <v>1</v>
      </c>
      <c r="G771">
        <v>1.7999999999999999E-2</v>
      </c>
      <c r="H771">
        <v>21.56</v>
      </c>
      <c r="I771" t="s">
        <v>15</v>
      </c>
      <c r="J771" t="s">
        <v>15</v>
      </c>
      <c r="K771">
        <v>3.88</v>
      </c>
      <c r="L771">
        <v>0</v>
      </c>
    </row>
    <row r="772" spans="1:12" x14ac:dyDescent="0.3">
      <c r="A772" t="s">
        <v>788</v>
      </c>
      <c r="B772" t="s">
        <v>21</v>
      </c>
      <c r="C772">
        <v>8997</v>
      </c>
      <c r="D772">
        <v>26.99</v>
      </c>
      <c r="E772">
        <v>4.8600000000000003</v>
      </c>
      <c r="F772">
        <f>COUNTIFS(mdr_rate_cleaned!$A$2:$A$10,B772,mdr_rate_cleaned!$B$2:$B$10,"&lt;"&amp;C772,mdr_rate_cleaned!$F$2:$F$10,"&gt;="&amp;C772)</f>
        <v>1</v>
      </c>
      <c r="G772">
        <v>3.0000000000000001E-3</v>
      </c>
      <c r="H772">
        <v>26.99</v>
      </c>
      <c r="I772" t="s">
        <v>15</v>
      </c>
      <c r="J772" t="s">
        <v>15</v>
      </c>
      <c r="K772">
        <v>4.8600000000000003</v>
      </c>
      <c r="L772">
        <v>0</v>
      </c>
    </row>
    <row r="773" spans="1:12" x14ac:dyDescent="0.3">
      <c r="A773" t="s">
        <v>789</v>
      </c>
      <c r="B773" t="s">
        <v>39</v>
      </c>
      <c r="C773">
        <v>6347</v>
      </c>
      <c r="D773">
        <v>76.16</v>
      </c>
      <c r="E773">
        <v>13.71</v>
      </c>
      <c r="F773">
        <f>COUNTIFS(mdr_rate_cleaned!$A$2:$A$10,B773,mdr_rate_cleaned!$B$2:$B$10,"&lt;"&amp;C773,mdr_rate_cleaned!$F$2:$F$10,"&gt;="&amp;C773)</f>
        <v>1</v>
      </c>
      <c r="G773">
        <v>1.2E-2</v>
      </c>
      <c r="H773">
        <v>76.16</v>
      </c>
      <c r="I773" t="s">
        <v>15</v>
      </c>
      <c r="J773" t="s">
        <v>15</v>
      </c>
      <c r="K773">
        <v>13.71</v>
      </c>
      <c r="L773">
        <v>0</v>
      </c>
    </row>
    <row r="774" spans="1:12" x14ac:dyDescent="0.3">
      <c r="A774" t="s">
        <v>790</v>
      </c>
      <c r="B774" t="s">
        <v>21</v>
      </c>
      <c r="C774">
        <v>5797</v>
      </c>
      <c r="D774">
        <v>17.39</v>
      </c>
      <c r="E774">
        <v>3.13</v>
      </c>
      <c r="F774">
        <f>COUNTIFS(mdr_rate_cleaned!$A$2:$A$10,B774,mdr_rate_cleaned!$B$2:$B$10,"&lt;"&amp;C774,mdr_rate_cleaned!$F$2:$F$10,"&gt;="&amp;C774)</f>
        <v>1</v>
      </c>
      <c r="G774">
        <v>3.0000000000000001E-3</v>
      </c>
      <c r="H774">
        <v>17.39</v>
      </c>
      <c r="I774" t="s">
        <v>15</v>
      </c>
      <c r="J774" t="s">
        <v>15</v>
      </c>
      <c r="K774">
        <v>3.13</v>
      </c>
      <c r="L774">
        <v>0</v>
      </c>
    </row>
    <row r="775" spans="1:12" x14ac:dyDescent="0.3">
      <c r="A775" t="s">
        <v>791</v>
      </c>
      <c r="B775" t="s">
        <v>17</v>
      </c>
      <c r="C775">
        <v>4999</v>
      </c>
      <c r="D775">
        <v>79.98</v>
      </c>
      <c r="E775">
        <v>14.4</v>
      </c>
      <c r="F775">
        <f>COUNTIFS(mdr_rate_cleaned!$A$2:$A$10,B775,mdr_rate_cleaned!$B$2:$B$10,"&lt;"&amp;C775,mdr_rate_cleaned!$F$2:$F$10,"&gt;="&amp;C775)</f>
        <v>1</v>
      </c>
      <c r="G775">
        <v>1.6E-2</v>
      </c>
      <c r="H775">
        <v>79.98</v>
      </c>
      <c r="I775" t="s">
        <v>15</v>
      </c>
      <c r="J775" t="s">
        <v>15</v>
      </c>
      <c r="K775">
        <v>14.4</v>
      </c>
      <c r="L775">
        <v>0</v>
      </c>
    </row>
    <row r="776" spans="1:12" x14ac:dyDescent="0.3">
      <c r="A776" t="s">
        <v>792</v>
      </c>
      <c r="B776" t="s">
        <v>17</v>
      </c>
      <c r="C776">
        <v>7999</v>
      </c>
      <c r="D776">
        <v>127.98</v>
      </c>
      <c r="E776">
        <v>23.04</v>
      </c>
      <c r="F776">
        <f>COUNTIFS(mdr_rate_cleaned!$A$2:$A$10,B776,mdr_rate_cleaned!$B$2:$B$10,"&lt;"&amp;C776,mdr_rate_cleaned!$F$2:$F$10,"&gt;="&amp;C776)</f>
        <v>1</v>
      </c>
      <c r="G776">
        <v>1.6E-2</v>
      </c>
      <c r="H776">
        <v>127.98</v>
      </c>
      <c r="I776" t="s">
        <v>15</v>
      </c>
      <c r="J776" t="s">
        <v>15</v>
      </c>
      <c r="K776">
        <v>23.04</v>
      </c>
      <c r="L776">
        <v>0</v>
      </c>
    </row>
    <row r="777" spans="1:12" x14ac:dyDescent="0.3">
      <c r="A777" t="s">
        <v>793</v>
      </c>
      <c r="B777" t="s">
        <v>21</v>
      </c>
      <c r="C777">
        <v>2499</v>
      </c>
      <c r="D777">
        <v>7.5</v>
      </c>
      <c r="E777">
        <v>1.35</v>
      </c>
      <c r="F777">
        <f>COUNTIFS(mdr_rate_cleaned!$A$2:$A$10,B777,mdr_rate_cleaned!$B$2:$B$10,"&lt;"&amp;C777,mdr_rate_cleaned!$F$2:$F$10,"&gt;="&amp;C777)</f>
        <v>1</v>
      </c>
      <c r="G777">
        <v>3.0000000000000001E-3</v>
      </c>
      <c r="H777">
        <v>7.5</v>
      </c>
      <c r="I777" t="s">
        <v>15</v>
      </c>
      <c r="J777" t="s">
        <v>15</v>
      </c>
      <c r="K777">
        <v>1.35</v>
      </c>
      <c r="L777">
        <v>0</v>
      </c>
    </row>
    <row r="778" spans="1:12" x14ac:dyDescent="0.3">
      <c r="A778" t="s">
        <v>794</v>
      </c>
      <c r="B778" t="s">
        <v>17</v>
      </c>
      <c r="C778">
        <v>1799</v>
      </c>
      <c r="D778">
        <v>32.380000000000003</v>
      </c>
      <c r="E778">
        <v>5.83</v>
      </c>
      <c r="F778">
        <f>COUNTIFS(mdr_rate_cleaned!$A$2:$A$10,B778,mdr_rate_cleaned!$B$2:$B$10,"&lt;"&amp;C778,mdr_rate_cleaned!$F$2:$F$10,"&gt;="&amp;C778)</f>
        <v>1</v>
      </c>
      <c r="G778">
        <v>1.7999999999999999E-2</v>
      </c>
      <c r="H778">
        <v>32.380000000000003</v>
      </c>
      <c r="I778" t="s">
        <v>15</v>
      </c>
      <c r="J778" t="s">
        <v>15</v>
      </c>
      <c r="K778">
        <v>5.83</v>
      </c>
      <c r="L778">
        <v>0</v>
      </c>
    </row>
    <row r="779" spans="1:12" x14ac:dyDescent="0.3">
      <c r="A779" t="s">
        <v>795</v>
      </c>
      <c r="B779" t="s">
        <v>21</v>
      </c>
      <c r="C779">
        <v>11797</v>
      </c>
      <c r="D779">
        <v>35.39</v>
      </c>
      <c r="E779">
        <v>6.37</v>
      </c>
      <c r="F779">
        <f>COUNTIFS(mdr_rate_cleaned!$A$2:$A$10,B779,mdr_rate_cleaned!$B$2:$B$10,"&lt;"&amp;C779,mdr_rate_cleaned!$F$2:$F$10,"&gt;="&amp;C779)</f>
        <v>1</v>
      </c>
      <c r="G779">
        <v>3.0000000000000001E-3</v>
      </c>
      <c r="H779">
        <v>35.39</v>
      </c>
      <c r="I779" t="s">
        <v>15</v>
      </c>
      <c r="J779" t="s">
        <v>15</v>
      </c>
      <c r="K779">
        <v>6.37</v>
      </c>
      <c r="L779">
        <v>0</v>
      </c>
    </row>
    <row r="780" spans="1:12" x14ac:dyDescent="0.3">
      <c r="A780" t="s">
        <v>796</v>
      </c>
      <c r="B780" t="s">
        <v>17</v>
      </c>
      <c r="C780">
        <v>3499</v>
      </c>
      <c r="D780">
        <v>55.98</v>
      </c>
      <c r="E780">
        <v>10.08</v>
      </c>
      <c r="F780">
        <f>COUNTIFS(mdr_rate_cleaned!$A$2:$A$10,B780,mdr_rate_cleaned!$B$2:$B$10,"&lt;"&amp;C780,mdr_rate_cleaned!$F$2:$F$10,"&gt;="&amp;C780)</f>
        <v>1</v>
      </c>
      <c r="G780">
        <v>1.6E-2</v>
      </c>
      <c r="H780">
        <v>55.98</v>
      </c>
      <c r="I780" t="s">
        <v>15</v>
      </c>
      <c r="J780" t="s">
        <v>15</v>
      </c>
      <c r="K780">
        <v>10.08</v>
      </c>
      <c r="L780">
        <v>0</v>
      </c>
    </row>
    <row r="781" spans="1:12" x14ac:dyDescent="0.3">
      <c r="A781" t="s">
        <v>797</v>
      </c>
      <c r="B781" t="s">
        <v>21</v>
      </c>
      <c r="C781">
        <v>3499</v>
      </c>
      <c r="D781">
        <v>10.5</v>
      </c>
      <c r="E781">
        <v>1.89</v>
      </c>
      <c r="F781">
        <f>COUNTIFS(mdr_rate_cleaned!$A$2:$A$10,B781,mdr_rate_cleaned!$B$2:$B$10,"&lt;"&amp;C781,mdr_rate_cleaned!$F$2:$F$10,"&gt;="&amp;C781)</f>
        <v>1</v>
      </c>
      <c r="G781">
        <v>3.0000000000000001E-3</v>
      </c>
      <c r="H781">
        <v>10.5</v>
      </c>
      <c r="I781" t="s">
        <v>15</v>
      </c>
      <c r="J781" t="s">
        <v>15</v>
      </c>
      <c r="K781">
        <v>1.89</v>
      </c>
      <c r="L781">
        <v>0</v>
      </c>
    </row>
    <row r="782" spans="1:12" x14ac:dyDescent="0.3">
      <c r="A782" t="s">
        <v>798</v>
      </c>
      <c r="B782" t="s">
        <v>17</v>
      </c>
      <c r="C782">
        <v>1497</v>
      </c>
      <c r="D782">
        <v>26.95</v>
      </c>
      <c r="E782">
        <v>4.8499999999999996</v>
      </c>
      <c r="F782">
        <f>COUNTIFS(mdr_rate_cleaned!$A$2:$A$10,B782,mdr_rate_cleaned!$B$2:$B$10,"&lt;"&amp;C782,mdr_rate_cleaned!$F$2:$F$10,"&gt;="&amp;C782)</f>
        <v>1</v>
      </c>
      <c r="G782">
        <v>1.7999999999999999E-2</v>
      </c>
      <c r="H782">
        <v>26.95</v>
      </c>
      <c r="I782" t="s">
        <v>15</v>
      </c>
      <c r="J782" t="s">
        <v>15</v>
      </c>
      <c r="K782">
        <v>4.8499999999999996</v>
      </c>
      <c r="L782">
        <v>0</v>
      </c>
    </row>
    <row r="783" spans="1:12" x14ac:dyDescent="0.3">
      <c r="A783" t="s">
        <v>799</v>
      </c>
      <c r="B783" t="s">
        <v>21</v>
      </c>
      <c r="C783">
        <v>3348</v>
      </c>
      <c r="D783">
        <v>10.039999999999999</v>
      </c>
      <c r="E783">
        <v>1.81</v>
      </c>
      <c r="F783">
        <f>COUNTIFS(mdr_rate_cleaned!$A$2:$A$10,B783,mdr_rate_cleaned!$B$2:$B$10,"&lt;"&amp;C783,mdr_rate_cleaned!$F$2:$F$10,"&gt;="&amp;C783)</f>
        <v>1</v>
      </c>
      <c r="G783">
        <v>3.0000000000000001E-3</v>
      </c>
      <c r="H783">
        <v>10.039999999999999</v>
      </c>
      <c r="I783" t="s">
        <v>15</v>
      </c>
      <c r="J783" t="s">
        <v>15</v>
      </c>
      <c r="K783">
        <v>1.81</v>
      </c>
      <c r="L783">
        <v>0</v>
      </c>
    </row>
    <row r="784" spans="1:12" x14ac:dyDescent="0.3">
      <c r="A784" t="s">
        <v>800</v>
      </c>
      <c r="B784" t="s">
        <v>21</v>
      </c>
      <c r="C784">
        <v>2347</v>
      </c>
      <c r="D784">
        <v>7.04</v>
      </c>
      <c r="E784">
        <v>1.27</v>
      </c>
      <c r="F784">
        <f>COUNTIFS(mdr_rate_cleaned!$A$2:$A$10,B784,mdr_rate_cleaned!$B$2:$B$10,"&lt;"&amp;C784,mdr_rate_cleaned!$F$2:$F$10,"&gt;="&amp;C784)</f>
        <v>1</v>
      </c>
      <c r="G784">
        <v>3.0000000000000001E-3</v>
      </c>
      <c r="H784">
        <v>7.04</v>
      </c>
      <c r="I784" t="s">
        <v>15</v>
      </c>
      <c r="J784" t="s">
        <v>15</v>
      </c>
      <c r="K784">
        <v>1.27</v>
      </c>
      <c r="L784">
        <v>0</v>
      </c>
    </row>
    <row r="785" spans="1:12" x14ac:dyDescent="0.3">
      <c r="A785" t="s">
        <v>801</v>
      </c>
      <c r="B785" t="s">
        <v>17</v>
      </c>
      <c r="C785">
        <v>299</v>
      </c>
      <c r="D785">
        <v>5.38</v>
      </c>
      <c r="E785">
        <v>0.97</v>
      </c>
      <c r="F785">
        <f>COUNTIFS(mdr_rate_cleaned!$A$2:$A$10,B785,mdr_rate_cleaned!$B$2:$B$10,"&lt;"&amp;C785,mdr_rate_cleaned!$F$2:$F$10,"&gt;="&amp;C785)</f>
        <v>1</v>
      </c>
      <c r="G785">
        <v>1.7999999999999999E-2</v>
      </c>
      <c r="H785">
        <v>5.38</v>
      </c>
      <c r="I785" t="s">
        <v>15</v>
      </c>
      <c r="J785" t="s">
        <v>15</v>
      </c>
      <c r="K785">
        <v>0.97</v>
      </c>
      <c r="L785">
        <v>0</v>
      </c>
    </row>
    <row r="786" spans="1:12" x14ac:dyDescent="0.3">
      <c r="A786" t="s">
        <v>802</v>
      </c>
      <c r="B786" t="s">
        <v>21</v>
      </c>
      <c r="C786">
        <v>1299</v>
      </c>
      <c r="D786">
        <v>0</v>
      </c>
      <c r="E786">
        <v>0</v>
      </c>
      <c r="F786">
        <f>COUNTIFS(mdr_rate_cleaned!$A$2:$A$10,B786,mdr_rate_cleaned!$B$2:$B$10,"&lt;"&amp;C786,mdr_rate_cleaned!$F$2:$F$10,"&gt;="&amp;C786)</f>
        <v>1</v>
      </c>
      <c r="G786">
        <v>0</v>
      </c>
      <c r="H786">
        <v>0</v>
      </c>
      <c r="I786" t="s">
        <v>15</v>
      </c>
      <c r="J786" t="s">
        <v>15</v>
      </c>
      <c r="K786">
        <v>0</v>
      </c>
      <c r="L786">
        <v>0</v>
      </c>
    </row>
    <row r="787" spans="1:12" x14ac:dyDescent="0.3">
      <c r="A787" t="s">
        <v>803</v>
      </c>
      <c r="B787" t="s">
        <v>21</v>
      </c>
      <c r="C787">
        <v>1648</v>
      </c>
      <c r="D787">
        <v>0</v>
      </c>
      <c r="E787">
        <v>0</v>
      </c>
      <c r="F787">
        <f>COUNTIFS(mdr_rate_cleaned!$A$2:$A$10,B787,mdr_rate_cleaned!$B$2:$B$10,"&lt;"&amp;C787,mdr_rate_cleaned!$F$2:$F$10,"&gt;="&amp;C787)</f>
        <v>1</v>
      </c>
      <c r="G787">
        <v>0</v>
      </c>
      <c r="H787">
        <v>0</v>
      </c>
      <c r="I787" t="s">
        <v>15</v>
      </c>
      <c r="J787" t="s">
        <v>15</v>
      </c>
      <c r="K787">
        <v>0</v>
      </c>
      <c r="L787">
        <v>0</v>
      </c>
    </row>
    <row r="788" spans="1:12" x14ac:dyDescent="0.3">
      <c r="A788" t="s">
        <v>804</v>
      </c>
      <c r="B788" t="s">
        <v>17</v>
      </c>
      <c r="C788">
        <v>7999</v>
      </c>
      <c r="D788">
        <v>127.98</v>
      </c>
      <c r="E788">
        <v>23.04</v>
      </c>
      <c r="F788">
        <f>COUNTIFS(mdr_rate_cleaned!$A$2:$A$10,B788,mdr_rate_cleaned!$B$2:$B$10,"&lt;"&amp;C788,mdr_rate_cleaned!$F$2:$F$10,"&gt;="&amp;C788)</f>
        <v>1</v>
      </c>
      <c r="G788">
        <v>1.6E-2</v>
      </c>
      <c r="H788">
        <v>127.98</v>
      </c>
      <c r="I788" t="s">
        <v>15</v>
      </c>
      <c r="J788" t="s">
        <v>15</v>
      </c>
      <c r="K788">
        <v>23.04</v>
      </c>
      <c r="L788">
        <v>0</v>
      </c>
    </row>
    <row r="789" spans="1:12" x14ac:dyDescent="0.3">
      <c r="A789" t="s">
        <v>805</v>
      </c>
      <c r="B789" t="s">
        <v>13</v>
      </c>
      <c r="C789">
        <v>4999</v>
      </c>
      <c r="D789">
        <v>84.98</v>
      </c>
      <c r="E789">
        <v>15.3</v>
      </c>
      <c r="F789">
        <f>COUNTIFS(mdr_rate_cleaned!$A$2:$A$10,B789,mdr_rate_cleaned!$B$2:$B$10,"&lt;"&amp;C789,mdr_rate_cleaned!$F$2:$F$10,"&gt;="&amp;C789)</f>
        <v>1</v>
      </c>
      <c r="G789">
        <v>1.7000000000000001E-2</v>
      </c>
      <c r="H789">
        <v>84.98</v>
      </c>
      <c r="I789" t="s">
        <v>15</v>
      </c>
      <c r="J789" t="s">
        <v>15</v>
      </c>
      <c r="K789">
        <v>15.3</v>
      </c>
      <c r="L789">
        <v>0</v>
      </c>
    </row>
    <row r="790" spans="1:12" x14ac:dyDescent="0.3">
      <c r="A790" t="s">
        <v>806</v>
      </c>
      <c r="B790" t="s">
        <v>21</v>
      </c>
      <c r="C790">
        <v>1348</v>
      </c>
      <c r="D790">
        <v>0</v>
      </c>
      <c r="E790">
        <v>0</v>
      </c>
      <c r="F790">
        <f>COUNTIFS(mdr_rate_cleaned!$A$2:$A$10,B790,mdr_rate_cleaned!$B$2:$B$10,"&lt;"&amp;C790,mdr_rate_cleaned!$F$2:$F$10,"&gt;="&amp;C790)</f>
        <v>1</v>
      </c>
      <c r="G790">
        <v>0</v>
      </c>
      <c r="H790">
        <v>0</v>
      </c>
      <c r="I790" t="s">
        <v>15</v>
      </c>
      <c r="J790" t="s">
        <v>15</v>
      </c>
      <c r="K790">
        <v>0</v>
      </c>
      <c r="L790">
        <v>0</v>
      </c>
    </row>
    <row r="791" spans="1:12" x14ac:dyDescent="0.3">
      <c r="A791" t="s">
        <v>807</v>
      </c>
      <c r="B791" t="s">
        <v>21</v>
      </c>
      <c r="C791">
        <v>3998</v>
      </c>
      <c r="D791">
        <v>11.99</v>
      </c>
      <c r="E791">
        <v>2.16</v>
      </c>
      <c r="F791">
        <f>COUNTIFS(mdr_rate_cleaned!$A$2:$A$10,B791,mdr_rate_cleaned!$B$2:$B$10,"&lt;"&amp;C791,mdr_rate_cleaned!$F$2:$F$10,"&gt;="&amp;C791)</f>
        <v>1</v>
      </c>
      <c r="G791">
        <v>3.0000000000000001E-3</v>
      </c>
      <c r="H791">
        <v>11.99</v>
      </c>
      <c r="I791" t="s">
        <v>15</v>
      </c>
      <c r="J791" t="s">
        <v>15</v>
      </c>
      <c r="K791">
        <v>2.16</v>
      </c>
      <c r="L791">
        <v>0</v>
      </c>
    </row>
    <row r="792" spans="1:12" x14ac:dyDescent="0.3">
      <c r="A792" t="s">
        <v>808</v>
      </c>
      <c r="B792" t="s">
        <v>21</v>
      </c>
      <c r="C792">
        <v>349</v>
      </c>
      <c r="D792">
        <v>0</v>
      </c>
      <c r="E792">
        <v>0</v>
      </c>
      <c r="F792">
        <f>COUNTIFS(mdr_rate_cleaned!$A$2:$A$10,B792,mdr_rate_cleaned!$B$2:$B$10,"&lt;"&amp;C792,mdr_rate_cleaned!$F$2:$F$10,"&gt;="&amp;C792)</f>
        <v>1</v>
      </c>
      <c r="G792">
        <v>0</v>
      </c>
      <c r="H792">
        <v>0</v>
      </c>
      <c r="I792" t="s">
        <v>15</v>
      </c>
      <c r="J792" t="s">
        <v>15</v>
      </c>
      <c r="K792">
        <v>0</v>
      </c>
      <c r="L792">
        <v>0</v>
      </c>
    </row>
    <row r="793" spans="1:12" x14ac:dyDescent="0.3">
      <c r="A793" t="s">
        <v>809</v>
      </c>
      <c r="B793" t="s">
        <v>17</v>
      </c>
      <c r="C793">
        <v>2499</v>
      </c>
      <c r="D793">
        <v>39.979999999999997</v>
      </c>
      <c r="E793">
        <v>7.2</v>
      </c>
      <c r="F793">
        <f>COUNTIFS(mdr_rate_cleaned!$A$2:$A$10,B793,mdr_rate_cleaned!$B$2:$B$10,"&lt;"&amp;C793,mdr_rate_cleaned!$F$2:$F$10,"&gt;="&amp;C793)</f>
        <v>1</v>
      </c>
      <c r="G793">
        <v>1.6E-2</v>
      </c>
      <c r="H793">
        <v>39.979999999999997</v>
      </c>
      <c r="I793" t="s">
        <v>15</v>
      </c>
      <c r="J793" t="s">
        <v>15</v>
      </c>
      <c r="K793">
        <v>7.2</v>
      </c>
      <c r="L793">
        <v>0</v>
      </c>
    </row>
    <row r="794" spans="1:12" x14ac:dyDescent="0.3">
      <c r="A794" t="s">
        <v>810</v>
      </c>
      <c r="B794" t="s">
        <v>17</v>
      </c>
      <c r="C794">
        <v>7097</v>
      </c>
      <c r="D794">
        <v>113.55</v>
      </c>
      <c r="E794">
        <v>20.440000000000001</v>
      </c>
      <c r="F794">
        <f>COUNTIFS(mdr_rate_cleaned!$A$2:$A$10,B794,mdr_rate_cleaned!$B$2:$B$10,"&lt;"&amp;C794,mdr_rate_cleaned!$F$2:$F$10,"&gt;="&amp;C794)</f>
        <v>1</v>
      </c>
      <c r="G794">
        <v>1.6E-2</v>
      </c>
      <c r="H794">
        <v>113.55</v>
      </c>
      <c r="I794" t="s">
        <v>15</v>
      </c>
      <c r="J794" t="s">
        <v>15</v>
      </c>
      <c r="K794">
        <v>20.440000000000001</v>
      </c>
      <c r="L794">
        <v>0</v>
      </c>
    </row>
    <row r="795" spans="1:12" x14ac:dyDescent="0.3">
      <c r="A795" t="s">
        <v>811</v>
      </c>
      <c r="B795" t="s">
        <v>21</v>
      </c>
      <c r="C795">
        <v>1147</v>
      </c>
      <c r="D795">
        <v>0</v>
      </c>
      <c r="E795">
        <v>0</v>
      </c>
      <c r="F795">
        <f>COUNTIFS(mdr_rate_cleaned!$A$2:$A$10,B795,mdr_rate_cleaned!$B$2:$B$10,"&lt;"&amp;C795,mdr_rate_cleaned!$F$2:$F$10,"&gt;="&amp;C795)</f>
        <v>1</v>
      </c>
      <c r="G795">
        <v>0</v>
      </c>
      <c r="H795">
        <v>0</v>
      </c>
      <c r="I795" t="s">
        <v>15</v>
      </c>
      <c r="J795" t="s">
        <v>15</v>
      </c>
      <c r="K795">
        <v>0</v>
      </c>
      <c r="L795">
        <v>0</v>
      </c>
    </row>
    <row r="796" spans="1:12" x14ac:dyDescent="0.3">
      <c r="A796" t="s">
        <v>812</v>
      </c>
      <c r="B796" t="s">
        <v>17</v>
      </c>
      <c r="C796">
        <v>349</v>
      </c>
      <c r="D796">
        <v>6.28</v>
      </c>
      <c r="E796">
        <v>1.1299999999999999</v>
      </c>
      <c r="F796">
        <f>COUNTIFS(mdr_rate_cleaned!$A$2:$A$10,B796,mdr_rate_cleaned!$B$2:$B$10,"&lt;"&amp;C796,mdr_rate_cleaned!$F$2:$F$10,"&gt;="&amp;C796)</f>
        <v>1</v>
      </c>
      <c r="G796">
        <v>1.7999999999999999E-2</v>
      </c>
      <c r="H796">
        <v>6.28</v>
      </c>
      <c r="I796" t="s">
        <v>15</v>
      </c>
      <c r="J796" t="s">
        <v>15</v>
      </c>
      <c r="K796">
        <v>1.1299999999999999</v>
      </c>
      <c r="L796">
        <v>0</v>
      </c>
    </row>
    <row r="797" spans="1:12" x14ac:dyDescent="0.3">
      <c r="A797" t="s">
        <v>813</v>
      </c>
      <c r="B797" t="s">
        <v>21</v>
      </c>
      <c r="C797">
        <v>7999</v>
      </c>
      <c r="D797">
        <v>24</v>
      </c>
      <c r="E797">
        <v>4.32</v>
      </c>
      <c r="F797">
        <f>COUNTIFS(mdr_rate_cleaned!$A$2:$A$10,B797,mdr_rate_cleaned!$B$2:$B$10,"&lt;"&amp;C797,mdr_rate_cleaned!$F$2:$F$10,"&gt;="&amp;C797)</f>
        <v>1</v>
      </c>
      <c r="G797">
        <v>3.0000000000000001E-3</v>
      </c>
      <c r="H797">
        <v>24</v>
      </c>
      <c r="I797" t="s">
        <v>15</v>
      </c>
      <c r="J797" t="s">
        <v>15</v>
      </c>
      <c r="K797">
        <v>4.32</v>
      </c>
      <c r="L797">
        <v>0</v>
      </c>
    </row>
    <row r="798" spans="1:12" x14ac:dyDescent="0.3">
      <c r="A798" t="s">
        <v>814</v>
      </c>
      <c r="B798" t="s">
        <v>21</v>
      </c>
      <c r="C798">
        <v>4098</v>
      </c>
      <c r="D798">
        <v>12.29</v>
      </c>
      <c r="E798">
        <v>2.21</v>
      </c>
      <c r="F798">
        <f>COUNTIFS(mdr_rate_cleaned!$A$2:$A$10,B798,mdr_rate_cleaned!$B$2:$B$10,"&lt;"&amp;C798,mdr_rate_cleaned!$F$2:$F$10,"&gt;="&amp;C798)</f>
        <v>1</v>
      </c>
      <c r="G798">
        <v>3.0000000000000001E-3</v>
      </c>
      <c r="H798">
        <v>12.29</v>
      </c>
      <c r="I798" t="s">
        <v>15</v>
      </c>
      <c r="J798" t="s">
        <v>15</v>
      </c>
      <c r="K798">
        <v>2.21</v>
      </c>
      <c r="L798">
        <v>0</v>
      </c>
    </row>
    <row r="799" spans="1:12" x14ac:dyDescent="0.3">
      <c r="A799" t="s">
        <v>815</v>
      </c>
      <c r="B799" t="s">
        <v>39</v>
      </c>
      <c r="C799">
        <v>1499</v>
      </c>
      <c r="D799">
        <v>22.49</v>
      </c>
      <c r="E799">
        <v>4.05</v>
      </c>
      <c r="F799">
        <f>COUNTIFS(mdr_rate_cleaned!$A$2:$A$10,B799,mdr_rate_cleaned!$B$2:$B$10,"&lt;"&amp;C799,mdr_rate_cleaned!$F$2:$F$10,"&gt;="&amp;C799)</f>
        <v>1</v>
      </c>
      <c r="G799">
        <v>1.4999999999999999E-2</v>
      </c>
      <c r="H799">
        <v>22.49</v>
      </c>
      <c r="I799" t="s">
        <v>15</v>
      </c>
      <c r="J799" t="s">
        <v>15</v>
      </c>
      <c r="K799">
        <v>4.05</v>
      </c>
      <c r="L799">
        <v>0</v>
      </c>
    </row>
    <row r="800" spans="1:12" x14ac:dyDescent="0.3">
      <c r="A800" t="s">
        <v>816</v>
      </c>
      <c r="B800" t="s">
        <v>21</v>
      </c>
      <c r="C800">
        <v>1799</v>
      </c>
      <c r="D800">
        <v>0</v>
      </c>
      <c r="E800">
        <v>0</v>
      </c>
      <c r="F800">
        <f>COUNTIFS(mdr_rate_cleaned!$A$2:$A$10,B800,mdr_rate_cleaned!$B$2:$B$10,"&lt;"&amp;C800,mdr_rate_cleaned!$F$2:$F$10,"&gt;="&amp;C800)</f>
        <v>1</v>
      </c>
      <c r="G800">
        <v>0</v>
      </c>
      <c r="H800">
        <v>0</v>
      </c>
      <c r="I800" t="s">
        <v>15</v>
      </c>
      <c r="J800" t="s">
        <v>15</v>
      </c>
      <c r="K800">
        <v>0</v>
      </c>
      <c r="L800">
        <v>0</v>
      </c>
    </row>
    <row r="801" spans="1:12" x14ac:dyDescent="0.3">
      <c r="A801" t="s">
        <v>817</v>
      </c>
      <c r="B801" t="s">
        <v>17</v>
      </c>
      <c r="C801">
        <v>4297</v>
      </c>
      <c r="D801">
        <v>68.75</v>
      </c>
      <c r="E801">
        <v>12.38</v>
      </c>
      <c r="F801">
        <f>COUNTIFS(mdr_rate_cleaned!$A$2:$A$10,B801,mdr_rate_cleaned!$B$2:$B$10,"&lt;"&amp;C801,mdr_rate_cleaned!$F$2:$F$10,"&gt;="&amp;C801)</f>
        <v>1</v>
      </c>
      <c r="G801">
        <v>1.6E-2</v>
      </c>
      <c r="H801">
        <v>68.75</v>
      </c>
      <c r="I801" t="s">
        <v>15</v>
      </c>
      <c r="J801" t="s">
        <v>15</v>
      </c>
      <c r="K801">
        <v>12.38</v>
      </c>
      <c r="L801">
        <v>0</v>
      </c>
    </row>
    <row r="802" spans="1:12" x14ac:dyDescent="0.3">
      <c r="A802" t="s">
        <v>818</v>
      </c>
      <c r="B802" t="s">
        <v>17</v>
      </c>
      <c r="C802">
        <v>3499</v>
      </c>
      <c r="D802">
        <v>55.98</v>
      </c>
      <c r="E802">
        <v>10.08</v>
      </c>
      <c r="F802">
        <f>COUNTIFS(mdr_rate_cleaned!$A$2:$A$10,B802,mdr_rate_cleaned!$B$2:$B$10,"&lt;"&amp;C802,mdr_rate_cleaned!$F$2:$F$10,"&gt;="&amp;C802)</f>
        <v>1</v>
      </c>
      <c r="G802">
        <v>1.6E-2</v>
      </c>
      <c r="H802">
        <v>55.98</v>
      </c>
      <c r="I802" t="s">
        <v>15</v>
      </c>
      <c r="J802" t="s">
        <v>15</v>
      </c>
      <c r="K802">
        <v>10.08</v>
      </c>
      <c r="L802">
        <v>0</v>
      </c>
    </row>
    <row r="803" spans="1:12" x14ac:dyDescent="0.3">
      <c r="A803" t="s">
        <v>819</v>
      </c>
      <c r="B803" t="s">
        <v>21</v>
      </c>
      <c r="C803">
        <v>9347</v>
      </c>
      <c r="D803">
        <v>28.04</v>
      </c>
      <c r="E803">
        <v>5.05</v>
      </c>
      <c r="F803">
        <f>COUNTIFS(mdr_rate_cleaned!$A$2:$A$10,B803,mdr_rate_cleaned!$B$2:$B$10,"&lt;"&amp;C803,mdr_rate_cleaned!$F$2:$F$10,"&gt;="&amp;C803)</f>
        <v>1</v>
      </c>
      <c r="G803">
        <v>3.0000000000000001E-3</v>
      </c>
      <c r="H803">
        <v>28.04</v>
      </c>
      <c r="I803" t="s">
        <v>15</v>
      </c>
      <c r="J803" t="s">
        <v>15</v>
      </c>
      <c r="K803">
        <v>5.05</v>
      </c>
      <c r="L803">
        <v>0</v>
      </c>
    </row>
    <row r="804" spans="1:12" x14ac:dyDescent="0.3">
      <c r="A804" t="s">
        <v>820</v>
      </c>
      <c r="B804" t="s">
        <v>17</v>
      </c>
      <c r="C804">
        <v>499</v>
      </c>
      <c r="D804">
        <v>8.98</v>
      </c>
      <c r="E804">
        <v>1.62</v>
      </c>
      <c r="F804">
        <f>COUNTIFS(mdr_rate_cleaned!$A$2:$A$10,B804,mdr_rate_cleaned!$B$2:$B$10,"&lt;"&amp;C804,mdr_rate_cleaned!$F$2:$F$10,"&gt;="&amp;C804)</f>
        <v>1</v>
      </c>
      <c r="G804">
        <v>1.7999999999999999E-2</v>
      </c>
      <c r="H804">
        <v>8.98</v>
      </c>
      <c r="I804" t="s">
        <v>15</v>
      </c>
      <c r="J804" t="s">
        <v>15</v>
      </c>
      <c r="K804">
        <v>1.62</v>
      </c>
      <c r="L804">
        <v>0</v>
      </c>
    </row>
    <row r="805" spans="1:12" x14ac:dyDescent="0.3">
      <c r="A805" t="s">
        <v>821</v>
      </c>
      <c r="B805" t="s">
        <v>21</v>
      </c>
      <c r="C805">
        <v>1299</v>
      </c>
      <c r="D805">
        <v>0</v>
      </c>
      <c r="E805">
        <v>0</v>
      </c>
      <c r="F805">
        <f>COUNTIFS(mdr_rate_cleaned!$A$2:$A$10,B805,mdr_rate_cleaned!$B$2:$B$10,"&lt;"&amp;C805,mdr_rate_cleaned!$F$2:$F$10,"&gt;="&amp;C805)</f>
        <v>1</v>
      </c>
      <c r="G805">
        <v>0</v>
      </c>
      <c r="H805">
        <v>0</v>
      </c>
      <c r="I805" t="s">
        <v>15</v>
      </c>
      <c r="J805" t="s">
        <v>15</v>
      </c>
      <c r="K805">
        <v>0</v>
      </c>
      <c r="L805">
        <v>0</v>
      </c>
    </row>
    <row r="806" spans="1:12" x14ac:dyDescent="0.3">
      <c r="A806" t="s">
        <v>822</v>
      </c>
      <c r="B806" t="s">
        <v>13</v>
      </c>
      <c r="C806">
        <v>3098</v>
      </c>
      <c r="D806">
        <v>52.67</v>
      </c>
      <c r="E806">
        <v>9.48</v>
      </c>
      <c r="F806">
        <f>COUNTIFS(mdr_rate_cleaned!$A$2:$A$10,B806,mdr_rate_cleaned!$B$2:$B$10,"&lt;"&amp;C806,mdr_rate_cleaned!$F$2:$F$10,"&gt;="&amp;C806)</f>
        <v>1</v>
      </c>
      <c r="G806">
        <v>1.7000000000000001E-2</v>
      </c>
      <c r="H806">
        <v>52.67</v>
      </c>
      <c r="I806" t="s">
        <v>15</v>
      </c>
      <c r="J806" t="s">
        <v>15</v>
      </c>
      <c r="K806">
        <v>9.48</v>
      </c>
      <c r="L806">
        <v>0</v>
      </c>
    </row>
    <row r="807" spans="1:12" x14ac:dyDescent="0.3">
      <c r="A807" t="s">
        <v>823</v>
      </c>
      <c r="B807" t="s">
        <v>13</v>
      </c>
      <c r="C807">
        <v>2598</v>
      </c>
      <c r="D807">
        <v>44.17</v>
      </c>
      <c r="E807">
        <v>7.95</v>
      </c>
      <c r="F807">
        <f>COUNTIFS(mdr_rate_cleaned!$A$2:$A$10,B807,mdr_rate_cleaned!$B$2:$B$10,"&lt;"&amp;C807,mdr_rate_cleaned!$F$2:$F$10,"&gt;="&amp;C807)</f>
        <v>1</v>
      </c>
      <c r="G807">
        <v>1.7000000000000001E-2</v>
      </c>
      <c r="H807">
        <v>44.17</v>
      </c>
      <c r="I807" t="s">
        <v>15</v>
      </c>
      <c r="J807" t="s">
        <v>15</v>
      </c>
      <c r="K807">
        <v>7.95</v>
      </c>
      <c r="L807">
        <v>0</v>
      </c>
    </row>
    <row r="808" spans="1:12" x14ac:dyDescent="0.3">
      <c r="A808" t="s">
        <v>824</v>
      </c>
      <c r="B808" t="s">
        <v>13</v>
      </c>
      <c r="C808">
        <v>2499</v>
      </c>
      <c r="D808">
        <v>42.48</v>
      </c>
      <c r="E808">
        <v>7.65</v>
      </c>
      <c r="F808">
        <f>COUNTIFS(mdr_rate_cleaned!$A$2:$A$10,B808,mdr_rate_cleaned!$B$2:$B$10,"&lt;"&amp;C808,mdr_rate_cleaned!$F$2:$F$10,"&gt;="&amp;C808)</f>
        <v>1</v>
      </c>
      <c r="G808">
        <v>1.7000000000000001E-2</v>
      </c>
      <c r="H808">
        <v>42.48</v>
      </c>
      <c r="I808" t="s">
        <v>15</v>
      </c>
      <c r="J808" t="s">
        <v>15</v>
      </c>
      <c r="K808">
        <v>7.65</v>
      </c>
      <c r="L808">
        <v>0</v>
      </c>
    </row>
    <row r="809" spans="1:12" x14ac:dyDescent="0.3">
      <c r="A809" t="s">
        <v>825</v>
      </c>
      <c r="B809" t="s">
        <v>21</v>
      </c>
      <c r="C809">
        <v>8348</v>
      </c>
      <c r="D809">
        <v>25.04</v>
      </c>
      <c r="E809">
        <v>4.51</v>
      </c>
      <c r="F809">
        <f>COUNTIFS(mdr_rate_cleaned!$A$2:$A$10,B809,mdr_rate_cleaned!$B$2:$B$10,"&lt;"&amp;C809,mdr_rate_cleaned!$F$2:$F$10,"&gt;="&amp;C809)</f>
        <v>1</v>
      </c>
      <c r="G809">
        <v>3.0000000000000001E-3</v>
      </c>
      <c r="H809">
        <v>25.04</v>
      </c>
      <c r="I809" t="s">
        <v>15</v>
      </c>
      <c r="J809" t="s">
        <v>15</v>
      </c>
      <c r="K809">
        <v>4.51</v>
      </c>
      <c r="L809">
        <v>0</v>
      </c>
    </row>
    <row r="810" spans="1:12" x14ac:dyDescent="0.3">
      <c r="A810" t="s">
        <v>826</v>
      </c>
      <c r="B810" t="s">
        <v>21</v>
      </c>
      <c r="C810">
        <v>3499</v>
      </c>
      <c r="D810">
        <v>10.5</v>
      </c>
      <c r="E810">
        <v>1.89</v>
      </c>
      <c r="F810">
        <f>COUNTIFS(mdr_rate_cleaned!$A$2:$A$10,B810,mdr_rate_cleaned!$B$2:$B$10,"&lt;"&amp;C810,mdr_rate_cleaned!$F$2:$F$10,"&gt;="&amp;C810)</f>
        <v>1</v>
      </c>
      <c r="G810">
        <v>3.0000000000000001E-3</v>
      </c>
      <c r="H810">
        <v>10.5</v>
      </c>
      <c r="I810" t="s">
        <v>15</v>
      </c>
      <c r="J810" t="s">
        <v>15</v>
      </c>
      <c r="K810">
        <v>1.89</v>
      </c>
      <c r="L810">
        <v>0</v>
      </c>
    </row>
    <row r="811" spans="1:12" x14ac:dyDescent="0.3">
      <c r="A811" t="s">
        <v>827</v>
      </c>
      <c r="B811" t="s">
        <v>39</v>
      </c>
      <c r="C811">
        <v>599</v>
      </c>
      <c r="D811">
        <v>8.99</v>
      </c>
      <c r="E811">
        <v>1.62</v>
      </c>
      <c r="F811">
        <f>COUNTIFS(mdr_rate_cleaned!$A$2:$A$10,B811,mdr_rate_cleaned!$B$2:$B$10,"&lt;"&amp;C811,mdr_rate_cleaned!$F$2:$F$10,"&gt;="&amp;C811)</f>
        <v>1</v>
      </c>
      <c r="G811">
        <v>1.4999999999999999E-2</v>
      </c>
      <c r="H811">
        <v>8.99</v>
      </c>
      <c r="I811" t="s">
        <v>15</v>
      </c>
      <c r="J811" t="s">
        <v>15</v>
      </c>
      <c r="K811">
        <v>1.62</v>
      </c>
      <c r="L811">
        <v>0</v>
      </c>
    </row>
    <row r="812" spans="1:12" x14ac:dyDescent="0.3">
      <c r="A812" t="s">
        <v>828</v>
      </c>
      <c r="B812" t="s">
        <v>17</v>
      </c>
      <c r="C812">
        <v>499</v>
      </c>
      <c r="D812">
        <v>8.98</v>
      </c>
      <c r="E812">
        <v>1.62</v>
      </c>
      <c r="F812">
        <f>COUNTIFS(mdr_rate_cleaned!$A$2:$A$10,B812,mdr_rate_cleaned!$B$2:$B$10,"&lt;"&amp;C812,mdr_rate_cleaned!$F$2:$F$10,"&gt;="&amp;C812)</f>
        <v>1</v>
      </c>
      <c r="G812">
        <v>1.7999999999999999E-2</v>
      </c>
      <c r="H812">
        <v>8.98</v>
      </c>
      <c r="I812" t="s">
        <v>15</v>
      </c>
      <c r="J812" t="s">
        <v>15</v>
      </c>
      <c r="K812">
        <v>1.62</v>
      </c>
      <c r="L812">
        <v>0</v>
      </c>
    </row>
    <row r="813" spans="1:12" x14ac:dyDescent="0.3">
      <c r="A813" t="s">
        <v>829</v>
      </c>
      <c r="B813" t="s">
        <v>17</v>
      </c>
      <c r="C813">
        <v>1299</v>
      </c>
      <c r="D813">
        <v>23.38</v>
      </c>
      <c r="E813">
        <v>4.21</v>
      </c>
      <c r="F813">
        <f>COUNTIFS(mdr_rate_cleaned!$A$2:$A$10,B813,mdr_rate_cleaned!$B$2:$B$10,"&lt;"&amp;C813,mdr_rate_cleaned!$F$2:$F$10,"&gt;="&amp;C813)</f>
        <v>1</v>
      </c>
      <c r="G813">
        <v>1.7999999999999999E-2</v>
      </c>
      <c r="H813">
        <v>23.38</v>
      </c>
      <c r="I813" t="s">
        <v>15</v>
      </c>
      <c r="J813" t="s">
        <v>15</v>
      </c>
      <c r="K813">
        <v>4.21</v>
      </c>
      <c r="L813">
        <v>0</v>
      </c>
    </row>
    <row r="814" spans="1:12" x14ac:dyDescent="0.3">
      <c r="A814" t="s">
        <v>830</v>
      </c>
      <c r="B814" t="s">
        <v>21</v>
      </c>
      <c r="C814">
        <v>1799</v>
      </c>
      <c r="D814">
        <v>0</v>
      </c>
      <c r="E814">
        <v>0</v>
      </c>
      <c r="F814">
        <f>COUNTIFS(mdr_rate_cleaned!$A$2:$A$10,B814,mdr_rate_cleaned!$B$2:$B$10,"&lt;"&amp;C814,mdr_rate_cleaned!$F$2:$F$10,"&gt;="&amp;C814)</f>
        <v>1</v>
      </c>
      <c r="G814">
        <v>0</v>
      </c>
      <c r="H814">
        <v>0</v>
      </c>
      <c r="I814" t="s">
        <v>15</v>
      </c>
      <c r="J814" t="s">
        <v>15</v>
      </c>
      <c r="K814">
        <v>0</v>
      </c>
      <c r="L814">
        <v>0</v>
      </c>
    </row>
    <row r="815" spans="1:12" x14ac:dyDescent="0.3">
      <c r="A815" t="s">
        <v>831</v>
      </c>
      <c r="B815" t="s">
        <v>17</v>
      </c>
      <c r="C815">
        <v>999</v>
      </c>
      <c r="D815">
        <v>17.98</v>
      </c>
      <c r="E815">
        <v>3.24</v>
      </c>
      <c r="F815">
        <f>COUNTIFS(mdr_rate_cleaned!$A$2:$A$10,B815,mdr_rate_cleaned!$B$2:$B$10,"&lt;"&amp;C815,mdr_rate_cleaned!$F$2:$F$10,"&gt;="&amp;C815)</f>
        <v>1</v>
      </c>
      <c r="G815">
        <v>1.7999999999999999E-2</v>
      </c>
      <c r="H815">
        <v>17.98</v>
      </c>
      <c r="I815" t="s">
        <v>15</v>
      </c>
      <c r="J815" t="s">
        <v>15</v>
      </c>
      <c r="K815">
        <v>3.24</v>
      </c>
      <c r="L815">
        <v>0</v>
      </c>
    </row>
    <row r="816" spans="1:12" x14ac:dyDescent="0.3">
      <c r="A816" t="s">
        <v>832</v>
      </c>
      <c r="B816" t="s">
        <v>21</v>
      </c>
      <c r="C816">
        <v>1597</v>
      </c>
      <c r="D816">
        <v>0</v>
      </c>
      <c r="E816">
        <v>0</v>
      </c>
      <c r="F816">
        <f>COUNTIFS(mdr_rate_cleaned!$A$2:$A$10,B816,mdr_rate_cleaned!$B$2:$B$10,"&lt;"&amp;C816,mdr_rate_cleaned!$F$2:$F$10,"&gt;="&amp;C816)</f>
        <v>1</v>
      </c>
      <c r="G816">
        <v>0</v>
      </c>
      <c r="H816">
        <v>0</v>
      </c>
      <c r="I816" t="s">
        <v>15</v>
      </c>
      <c r="J816" t="s">
        <v>15</v>
      </c>
      <c r="K816">
        <v>0</v>
      </c>
      <c r="L816">
        <v>0</v>
      </c>
    </row>
    <row r="817" spans="1:12" x14ac:dyDescent="0.3">
      <c r="A817" t="s">
        <v>833</v>
      </c>
      <c r="B817" t="s">
        <v>13</v>
      </c>
      <c r="C817">
        <v>999</v>
      </c>
      <c r="D817">
        <v>18.98</v>
      </c>
      <c r="E817">
        <v>3.42</v>
      </c>
      <c r="F817">
        <f>COUNTIFS(mdr_rate_cleaned!$A$2:$A$10,B817,mdr_rate_cleaned!$B$2:$B$10,"&lt;"&amp;C817,mdr_rate_cleaned!$F$2:$F$10,"&gt;="&amp;C817)</f>
        <v>1</v>
      </c>
      <c r="G817">
        <v>1.9E-2</v>
      </c>
      <c r="H817">
        <v>18.98</v>
      </c>
      <c r="I817" t="s">
        <v>15</v>
      </c>
      <c r="J817" t="s">
        <v>15</v>
      </c>
      <c r="K817">
        <v>3.42</v>
      </c>
      <c r="L817">
        <v>0</v>
      </c>
    </row>
    <row r="818" spans="1:12" x14ac:dyDescent="0.3">
      <c r="A818" t="s">
        <v>834</v>
      </c>
      <c r="B818" t="s">
        <v>21</v>
      </c>
      <c r="C818">
        <v>499</v>
      </c>
      <c r="D818">
        <v>0</v>
      </c>
      <c r="E818">
        <v>0</v>
      </c>
      <c r="F818">
        <f>COUNTIFS(mdr_rate_cleaned!$A$2:$A$10,B818,mdr_rate_cleaned!$B$2:$B$10,"&lt;"&amp;C818,mdr_rate_cleaned!$F$2:$F$10,"&gt;="&amp;C818)</f>
        <v>1</v>
      </c>
      <c r="G818">
        <v>0</v>
      </c>
      <c r="H818">
        <v>0</v>
      </c>
      <c r="I818" t="s">
        <v>15</v>
      </c>
      <c r="J818" t="s">
        <v>15</v>
      </c>
      <c r="K818">
        <v>0</v>
      </c>
      <c r="L818">
        <v>0</v>
      </c>
    </row>
    <row r="819" spans="1:12" x14ac:dyDescent="0.3">
      <c r="A819" t="s">
        <v>835</v>
      </c>
      <c r="B819" t="s">
        <v>17</v>
      </c>
      <c r="C819">
        <v>999</v>
      </c>
      <c r="D819">
        <v>17.98</v>
      </c>
      <c r="E819">
        <v>3.24</v>
      </c>
      <c r="F819">
        <f>COUNTIFS(mdr_rate_cleaned!$A$2:$A$10,B819,mdr_rate_cleaned!$B$2:$B$10,"&lt;"&amp;C819,mdr_rate_cleaned!$F$2:$F$10,"&gt;="&amp;C819)</f>
        <v>1</v>
      </c>
      <c r="G819">
        <v>1.7999999999999999E-2</v>
      </c>
      <c r="H819">
        <v>17.98</v>
      </c>
      <c r="I819" t="s">
        <v>15</v>
      </c>
      <c r="J819" t="s">
        <v>15</v>
      </c>
      <c r="K819">
        <v>3.24</v>
      </c>
      <c r="L819">
        <v>0</v>
      </c>
    </row>
    <row r="820" spans="1:12" x14ac:dyDescent="0.3">
      <c r="A820" t="s">
        <v>836</v>
      </c>
      <c r="B820" t="s">
        <v>17</v>
      </c>
      <c r="C820">
        <v>2999</v>
      </c>
      <c r="D820">
        <v>47.98</v>
      </c>
      <c r="E820">
        <v>8.64</v>
      </c>
      <c r="F820">
        <f>COUNTIFS(mdr_rate_cleaned!$A$2:$A$10,B820,mdr_rate_cleaned!$B$2:$B$10,"&lt;"&amp;C820,mdr_rate_cleaned!$F$2:$F$10,"&gt;="&amp;C820)</f>
        <v>1</v>
      </c>
      <c r="G820">
        <v>1.6E-2</v>
      </c>
      <c r="H820">
        <v>47.98</v>
      </c>
      <c r="I820" t="s">
        <v>15</v>
      </c>
      <c r="J820" t="s">
        <v>15</v>
      </c>
      <c r="K820">
        <v>8.64</v>
      </c>
      <c r="L820">
        <v>0</v>
      </c>
    </row>
    <row r="821" spans="1:12" x14ac:dyDescent="0.3">
      <c r="A821" t="s">
        <v>837</v>
      </c>
      <c r="B821" t="s">
        <v>21</v>
      </c>
      <c r="C821">
        <v>12998</v>
      </c>
      <c r="D821">
        <v>38.99</v>
      </c>
      <c r="E821">
        <v>7.02</v>
      </c>
      <c r="F821">
        <f>COUNTIFS(mdr_rate_cleaned!$A$2:$A$10,B821,mdr_rate_cleaned!$B$2:$B$10,"&lt;"&amp;C821,mdr_rate_cleaned!$F$2:$F$10,"&gt;="&amp;C821)</f>
        <v>1</v>
      </c>
      <c r="G821">
        <v>3.0000000000000001E-3</v>
      </c>
      <c r="H821">
        <v>38.99</v>
      </c>
      <c r="I821" t="s">
        <v>15</v>
      </c>
      <c r="J821" t="s">
        <v>15</v>
      </c>
      <c r="K821">
        <v>7.02</v>
      </c>
      <c r="L821">
        <v>0</v>
      </c>
    </row>
    <row r="822" spans="1:12" x14ac:dyDescent="0.3">
      <c r="A822" t="s">
        <v>838</v>
      </c>
      <c r="B822" t="s">
        <v>21</v>
      </c>
      <c r="C822">
        <v>799</v>
      </c>
      <c r="D822">
        <v>0</v>
      </c>
      <c r="E822">
        <v>0</v>
      </c>
      <c r="F822">
        <f>COUNTIFS(mdr_rate_cleaned!$A$2:$A$10,B822,mdr_rate_cleaned!$B$2:$B$10,"&lt;"&amp;C822,mdr_rate_cleaned!$F$2:$F$10,"&gt;="&amp;C822)</f>
        <v>1</v>
      </c>
      <c r="G822">
        <v>0</v>
      </c>
      <c r="H822">
        <v>0</v>
      </c>
      <c r="I822" t="s">
        <v>15</v>
      </c>
      <c r="J822" t="s">
        <v>15</v>
      </c>
      <c r="K822">
        <v>0</v>
      </c>
      <c r="L822">
        <v>0</v>
      </c>
    </row>
    <row r="823" spans="1:12" x14ac:dyDescent="0.3">
      <c r="A823" t="s">
        <v>839</v>
      </c>
      <c r="B823" t="s">
        <v>17</v>
      </c>
      <c r="C823">
        <v>999</v>
      </c>
      <c r="D823">
        <v>17.98</v>
      </c>
      <c r="E823">
        <v>3.24</v>
      </c>
      <c r="F823">
        <f>COUNTIFS(mdr_rate_cleaned!$A$2:$A$10,B823,mdr_rate_cleaned!$B$2:$B$10,"&lt;"&amp;C823,mdr_rate_cleaned!$F$2:$F$10,"&gt;="&amp;C823)</f>
        <v>1</v>
      </c>
      <c r="G823">
        <v>1.7999999999999999E-2</v>
      </c>
      <c r="H823">
        <v>17.98</v>
      </c>
      <c r="I823" t="s">
        <v>15</v>
      </c>
      <c r="J823" t="s">
        <v>15</v>
      </c>
      <c r="K823">
        <v>3.24</v>
      </c>
      <c r="L823">
        <v>0</v>
      </c>
    </row>
    <row r="824" spans="1:12" x14ac:dyDescent="0.3">
      <c r="A824" t="s">
        <v>840</v>
      </c>
      <c r="B824" t="s">
        <v>17</v>
      </c>
      <c r="C824">
        <v>599</v>
      </c>
      <c r="D824">
        <v>10.78</v>
      </c>
      <c r="E824">
        <v>1.94</v>
      </c>
      <c r="F824">
        <f>COUNTIFS(mdr_rate_cleaned!$A$2:$A$10,B824,mdr_rate_cleaned!$B$2:$B$10,"&lt;"&amp;C824,mdr_rate_cleaned!$F$2:$F$10,"&gt;="&amp;C824)</f>
        <v>1</v>
      </c>
      <c r="G824">
        <v>1.7999999999999999E-2</v>
      </c>
      <c r="H824">
        <v>10.78</v>
      </c>
      <c r="I824" t="s">
        <v>15</v>
      </c>
      <c r="J824" t="s">
        <v>15</v>
      </c>
      <c r="K824">
        <v>1.94</v>
      </c>
      <c r="L824">
        <v>0</v>
      </c>
    </row>
    <row r="825" spans="1:12" x14ac:dyDescent="0.3">
      <c r="A825" t="s">
        <v>841</v>
      </c>
      <c r="B825" t="s">
        <v>39</v>
      </c>
      <c r="C825">
        <v>10497</v>
      </c>
      <c r="D825">
        <v>94.47</v>
      </c>
      <c r="E825">
        <v>17</v>
      </c>
      <c r="F825">
        <f>COUNTIFS(mdr_rate_cleaned!$A$2:$A$10,B825,mdr_rate_cleaned!$B$2:$B$10,"&lt;"&amp;C825,mdr_rate_cleaned!$F$2:$F$10,"&gt;="&amp;C825)</f>
        <v>1</v>
      </c>
      <c r="G825">
        <v>8.9999999999999993E-3</v>
      </c>
      <c r="H825">
        <v>94.47</v>
      </c>
      <c r="I825" t="s">
        <v>15</v>
      </c>
      <c r="J825" t="s">
        <v>15</v>
      </c>
      <c r="K825">
        <v>17</v>
      </c>
      <c r="L825">
        <v>0</v>
      </c>
    </row>
    <row r="826" spans="1:12" x14ac:dyDescent="0.3">
      <c r="A826" t="s">
        <v>842</v>
      </c>
      <c r="B826" t="s">
        <v>21</v>
      </c>
      <c r="C826">
        <v>8348</v>
      </c>
      <c r="D826">
        <v>25.04</v>
      </c>
      <c r="E826">
        <v>4.51</v>
      </c>
      <c r="F826">
        <f>COUNTIFS(mdr_rate_cleaned!$A$2:$A$10,B826,mdr_rate_cleaned!$B$2:$B$10,"&lt;"&amp;C826,mdr_rate_cleaned!$F$2:$F$10,"&gt;="&amp;C826)</f>
        <v>1</v>
      </c>
      <c r="G826">
        <v>3.0000000000000001E-3</v>
      </c>
      <c r="H826">
        <v>25.04</v>
      </c>
      <c r="I826" t="s">
        <v>15</v>
      </c>
      <c r="J826" t="s">
        <v>15</v>
      </c>
      <c r="K826">
        <v>4.51</v>
      </c>
      <c r="L826">
        <v>0</v>
      </c>
    </row>
    <row r="827" spans="1:12" x14ac:dyDescent="0.3">
      <c r="A827" t="s">
        <v>843</v>
      </c>
      <c r="B827" t="s">
        <v>21</v>
      </c>
      <c r="C827">
        <v>799</v>
      </c>
      <c r="D827">
        <v>0</v>
      </c>
      <c r="E827">
        <v>0</v>
      </c>
      <c r="F827">
        <f>COUNTIFS(mdr_rate_cleaned!$A$2:$A$10,B827,mdr_rate_cleaned!$B$2:$B$10,"&lt;"&amp;C827,mdr_rate_cleaned!$F$2:$F$10,"&gt;="&amp;C827)</f>
        <v>1</v>
      </c>
      <c r="G827">
        <v>0</v>
      </c>
      <c r="H827">
        <v>0</v>
      </c>
      <c r="I827" t="s">
        <v>15</v>
      </c>
      <c r="J827" t="s">
        <v>15</v>
      </c>
      <c r="K827">
        <v>0</v>
      </c>
      <c r="L827">
        <v>0</v>
      </c>
    </row>
    <row r="828" spans="1:12" x14ac:dyDescent="0.3">
      <c r="A828" t="s">
        <v>844</v>
      </c>
      <c r="B828" t="s">
        <v>17</v>
      </c>
      <c r="C828">
        <v>1299</v>
      </c>
      <c r="D828">
        <v>23.38</v>
      </c>
      <c r="E828">
        <v>4.21</v>
      </c>
      <c r="F828">
        <f>COUNTIFS(mdr_rate_cleaned!$A$2:$A$10,B828,mdr_rate_cleaned!$B$2:$B$10,"&lt;"&amp;C828,mdr_rate_cleaned!$F$2:$F$10,"&gt;="&amp;C828)</f>
        <v>1</v>
      </c>
      <c r="G828">
        <v>1.7999999999999999E-2</v>
      </c>
      <c r="H828">
        <v>23.38</v>
      </c>
      <c r="I828" t="s">
        <v>15</v>
      </c>
      <c r="J828" t="s">
        <v>15</v>
      </c>
      <c r="K828">
        <v>4.21</v>
      </c>
      <c r="L828">
        <v>0</v>
      </c>
    </row>
    <row r="829" spans="1:12" x14ac:dyDescent="0.3">
      <c r="A829" t="s">
        <v>845</v>
      </c>
      <c r="B829" t="s">
        <v>21</v>
      </c>
      <c r="C829">
        <v>1499</v>
      </c>
      <c r="D829">
        <v>0</v>
      </c>
      <c r="E829">
        <v>0</v>
      </c>
      <c r="F829">
        <f>COUNTIFS(mdr_rate_cleaned!$A$2:$A$10,B829,mdr_rate_cleaned!$B$2:$B$10,"&lt;"&amp;C829,mdr_rate_cleaned!$F$2:$F$10,"&gt;="&amp;C829)</f>
        <v>1</v>
      </c>
      <c r="G829">
        <v>0</v>
      </c>
      <c r="H829">
        <v>0</v>
      </c>
      <c r="I829" t="s">
        <v>15</v>
      </c>
      <c r="J829" t="s">
        <v>15</v>
      </c>
      <c r="K829">
        <v>0</v>
      </c>
      <c r="L829">
        <v>0</v>
      </c>
    </row>
    <row r="830" spans="1:12" x14ac:dyDescent="0.3">
      <c r="A830" t="s">
        <v>846</v>
      </c>
      <c r="B830" t="s">
        <v>21</v>
      </c>
      <c r="C830">
        <v>798</v>
      </c>
      <c r="D830">
        <v>0</v>
      </c>
      <c r="E830">
        <v>0</v>
      </c>
      <c r="F830">
        <f>COUNTIFS(mdr_rate_cleaned!$A$2:$A$10,B830,mdr_rate_cleaned!$B$2:$B$10,"&lt;"&amp;C830,mdr_rate_cleaned!$F$2:$F$10,"&gt;="&amp;C830)</f>
        <v>1</v>
      </c>
      <c r="G830">
        <v>0</v>
      </c>
      <c r="H830">
        <v>0</v>
      </c>
      <c r="I830" t="s">
        <v>15</v>
      </c>
      <c r="J830" t="s">
        <v>15</v>
      </c>
      <c r="K830">
        <v>0</v>
      </c>
      <c r="L830">
        <v>0</v>
      </c>
    </row>
    <row r="831" spans="1:12" x14ac:dyDescent="0.3">
      <c r="A831" t="s">
        <v>847</v>
      </c>
      <c r="B831" t="s">
        <v>17</v>
      </c>
      <c r="C831">
        <v>4999</v>
      </c>
      <c r="D831">
        <v>79.98</v>
      </c>
      <c r="E831">
        <v>14.4</v>
      </c>
      <c r="F831">
        <f>COUNTIFS(mdr_rate_cleaned!$A$2:$A$10,B831,mdr_rate_cleaned!$B$2:$B$10,"&lt;"&amp;C831,mdr_rate_cleaned!$F$2:$F$10,"&gt;="&amp;C831)</f>
        <v>1</v>
      </c>
      <c r="G831">
        <v>1.6E-2</v>
      </c>
      <c r="H831">
        <v>79.98</v>
      </c>
      <c r="I831" t="s">
        <v>15</v>
      </c>
      <c r="J831" t="s">
        <v>15</v>
      </c>
      <c r="K831">
        <v>14.4</v>
      </c>
      <c r="L831">
        <v>0</v>
      </c>
    </row>
    <row r="832" spans="1:12" x14ac:dyDescent="0.3">
      <c r="A832" t="s">
        <v>848</v>
      </c>
      <c r="B832" t="s">
        <v>21</v>
      </c>
      <c r="C832">
        <v>599</v>
      </c>
      <c r="D832">
        <v>0</v>
      </c>
      <c r="E832">
        <v>0</v>
      </c>
      <c r="F832">
        <f>COUNTIFS(mdr_rate_cleaned!$A$2:$A$10,B832,mdr_rate_cleaned!$B$2:$B$10,"&lt;"&amp;C832,mdr_rate_cleaned!$F$2:$F$10,"&gt;="&amp;C832)</f>
        <v>1</v>
      </c>
      <c r="G832">
        <v>0</v>
      </c>
      <c r="H832">
        <v>0</v>
      </c>
      <c r="I832" t="s">
        <v>15</v>
      </c>
      <c r="J832" t="s">
        <v>15</v>
      </c>
      <c r="K832">
        <v>0</v>
      </c>
      <c r="L832">
        <v>0</v>
      </c>
    </row>
    <row r="833" spans="1:12" x14ac:dyDescent="0.3">
      <c r="A833" t="s">
        <v>849</v>
      </c>
      <c r="B833" t="s">
        <v>17</v>
      </c>
      <c r="C833">
        <v>1148</v>
      </c>
      <c r="D833">
        <v>20.66</v>
      </c>
      <c r="E833">
        <v>3.72</v>
      </c>
      <c r="F833">
        <f>COUNTIFS(mdr_rate_cleaned!$A$2:$A$10,B833,mdr_rate_cleaned!$B$2:$B$10,"&lt;"&amp;C833,mdr_rate_cleaned!$F$2:$F$10,"&gt;="&amp;C833)</f>
        <v>1</v>
      </c>
      <c r="G833">
        <v>1.7999999999999999E-2</v>
      </c>
      <c r="H833">
        <v>20.66</v>
      </c>
      <c r="I833" t="s">
        <v>15</v>
      </c>
      <c r="J833" t="s">
        <v>15</v>
      </c>
      <c r="K833">
        <v>3.72</v>
      </c>
      <c r="L833">
        <v>0</v>
      </c>
    </row>
    <row r="834" spans="1:12" x14ac:dyDescent="0.3">
      <c r="A834" t="s">
        <v>850</v>
      </c>
      <c r="B834" t="s">
        <v>39</v>
      </c>
      <c r="C834">
        <v>1598</v>
      </c>
      <c r="D834">
        <v>23.97</v>
      </c>
      <c r="E834">
        <v>4.3099999999999996</v>
      </c>
      <c r="F834">
        <f>COUNTIFS(mdr_rate_cleaned!$A$2:$A$10,B834,mdr_rate_cleaned!$B$2:$B$10,"&lt;"&amp;C834,mdr_rate_cleaned!$F$2:$F$10,"&gt;="&amp;C834)</f>
        <v>1</v>
      </c>
      <c r="G834">
        <v>1.4999999999999999E-2</v>
      </c>
      <c r="H834">
        <v>23.97</v>
      </c>
      <c r="I834" t="s">
        <v>15</v>
      </c>
      <c r="J834" t="s">
        <v>15</v>
      </c>
      <c r="K834">
        <v>4.3099999999999996</v>
      </c>
      <c r="L834">
        <v>0</v>
      </c>
    </row>
    <row r="835" spans="1:12" x14ac:dyDescent="0.3">
      <c r="A835" t="s">
        <v>851</v>
      </c>
      <c r="B835" t="s">
        <v>17</v>
      </c>
      <c r="C835">
        <v>299</v>
      </c>
      <c r="D835">
        <v>5.38</v>
      </c>
      <c r="E835">
        <v>0.97</v>
      </c>
      <c r="F835">
        <f>COUNTIFS(mdr_rate_cleaned!$A$2:$A$10,B835,mdr_rate_cleaned!$B$2:$B$10,"&lt;"&amp;C835,mdr_rate_cleaned!$F$2:$F$10,"&gt;="&amp;C835)</f>
        <v>1</v>
      </c>
      <c r="G835">
        <v>1.7999999999999999E-2</v>
      </c>
      <c r="H835">
        <v>5.38</v>
      </c>
      <c r="I835" t="s">
        <v>15</v>
      </c>
      <c r="J835" t="s">
        <v>15</v>
      </c>
      <c r="K835">
        <v>0.97</v>
      </c>
      <c r="L835">
        <v>0</v>
      </c>
    </row>
    <row r="836" spans="1:12" x14ac:dyDescent="0.3">
      <c r="A836" t="s">
        <v>852</v>
      </c>
      <c r="B836" t="s">
        <v>17</v>
      </c>
      <c r="C836">
        <v>2499</v>
      </c>
      <c r="D836">
        <v>39.979999999999997</v>
      </c>
      <c r="E836">
        <v>7.2</v>
      </c>
      <c r="F836">
        <f>COUNTIFS(mdr_rate_cleaned!$A$2:$A$10,B836,mdr_rate_cleaned!$B$2:$B$10,"&lt;"&amp;C836,mdr_rate_cleaned!$F$2:$F$10,"&gt;="&amp;C836)</f>
        <v>1</v>
      </c>
      <c r="G836">
        <v>1.6E-2</v>
      </c>
      <c r="H836">
        <v>39.979999999999997</v>
      </c>
      <c r="I836" t="s">
        <v>15</v>
      </c>
      <c r="J836" t="s">
        <v>15</v>
      </c>
      <c r="K836">
        <v>7.2</v>
      </c>
      <c r="L836">
        <v>0</v>
      </c>
    </row>
    <row r="837" spans="1:12" x14ac:dyDescent="0.3">
      <c r="A837" t="s">
        <v>853</v>
      </c>
      <c r="B837" t="s">
        <v>21</v>
      </c>
      <c r="C837">
        <v>3498</v>
      </c>
      <c r="D837">
        <v>10.49</v>
      </c>
      <c r="E837">
        <v>1.89</v>
      </c>
      <c r="F837">
        <f>COUNTIFS(mdr_rate_cleaned!$A$2:$A$10,B837,mdr_rate_cleaned!$B$2:$B$10,"&lt;"&amp;C837,mdr_rate_cleaned!$F$2:$F$10,"&gt;="&amp;C837)</f>
        <v>1</v>
      </c>
      <c r="G837">
        <v>3.0000000000000001E-3</v>
      </c>
      <c r="H837">
        <v>10.49</v>
      </c>
      <c r="I837" t="s">
        <v>15</v>
      </c>
      <c r="J837" t="s">
        <v>15</v>
      </c>
      <c r="K837">
        <v>1.89</v>
      </c>
      <c r="L837">
        <v>0</v>
      </c>
    </row>
    <row r="838" spans="1:12" x14ac:dyDescent="0.3">
      <c r="A838" t="s">
        <v>854</v>
      </c>
      <c r="B838" t="s">
        <v>21</v>
      </c>
      <c r="C838">
        <v>6347</v>
      </c>
      <c r="D838">
        <v>19.04</v>
      </c>
      <c r="E838">
        <v>3.43</v>
      </c>
      <c r="F838">
        <f>COUNTIFS(mdr_rate_cleaned!$A$2:$A$10,B838,mdr_rate_cleaned!$B$2:$B$10,"&lt;"&amp;C838,mdr_rate_cleaned!$F$2:$F$10,"&gt;="&amp;C838)</f>
        <v>1</v>
      </c>
      <c r="G838">
        <v>3.0000000000000001E-3</v>
      </c>
      <c r="H838">
        <v>19.04</v>
      </c>
      <c r="I838" t="s">
        <v>15</v>
      </c>
      <c r="J838" t="s">
        <v>15</v>
      </c>
      <c r="K838">
        <v>3.43</v>
      </c>
      <c r="L838">
        <v>0</v>
      </c>
    </row>
    <row r="839" spans="1:12" x14ac:dyDescent="0.3">
      <c r="A839" t="s">
        <v>855</v>
      </c>
      <c r="B839" t="s">
        <v>21</v>
      </c>
      <c r="C839">
        <v>349</v>
      </c>
      <c r="D839">
        <v>0</v>
      </c>
      <c r="E839">
        <v>0</v>
      </c>
      <c r="F839">
        <f>COUNTIFS(mdr_rate_cleaned!$A$2:$A$10,B839,mdr_rate_cleaned!$B$2:$B$10,"&lt;"&amp;C839,mdr_rate_cleaned!$F$2:$F$10,"&gt;="&amp;C839)</f>
        <v>1</v>
      </c>
      <c r="G839">
        <v>0</v>
      </c>
      <c r="H839">
        <v>0</v>
      </c>
      <c r="I839" t="s">
        <v>15</v>
      </c>
      <c r="J839" t="s">
        <v>15</v>
      </c>
      <c r="K839">
        <v>0</v>
      </c>
      <c r="L839">
        <v>0</v>
      </c>
    </row>
    <row r="840" spans="1:12" x14ac:dyDescent="0.3">
      <c r="A840" t="s">
        <v>856</v>
      </c>
      <c r="B840" t="s">
        <v>13</v>
      </c>
      <c r="C840">
        <v>5998</v>
      </c>
      <c r="D840">
        <v>101.97</v>
      </c>
      <c r="E840">
        <v>18.350000000000001</v>
      </c>
      <c r="F840">
        <f>COUNTIFS(mdr_rate_cleaned!$A$2:$A$10,B840,mdr_rate_cleaned!$B$2:$B$10,"&lt;"&amp;C840,mdr_rate_cleaned!$F$2:$F$10,"&gt;="&amp;C840)</f>
        <v>1</v>
      </c>
      <c r="G840">
        <v>1.7000000000000001E-2</v>
      </c>
      <c r="H840">
        <v>101.97</v>
      </c>
      <c r="I840" t="s">
        <v>15</v>
      </c>
      <c r="J840" t="s">
        <v>15</v>
      </c>
      <c r="K840">
        <v>18.350000000000001</v>
      </c>
      <c r="L840">
        <v>0</v>
      </c>
    </row>
    <row r="841" spans="1:12" x14ac:dyDescent="0.3">
      <c r="A841" t="s">
        <v>857</v>
      </c>
      <c r="B841" t="s">
        <v>13</v>
      </c>
      <c r="C841">
        <v>3997</v>
      </c>
      <c r="D841">
        <v>67.95</v>
      </c>
      <c r="E841">
        <v>12.23</v>
      </c>
      <c r="F841">
        <f>COUNTIFS(mdr_rate_cleaned!$A$2:$A$10,B841,mdr_rate_cleaned!$B$2:$B$10,"&lt;"&amp;C841,mdr_rate_cleaned!$F$2:$F$10,"&gt;="&amp;C841)</f>
        <v>1</v>
      </c>
      <c r="G841">
        <v>1.7000000000000001E-2</v>
      </c>
      <c r="H841">
        <v>67.95</v>
      </c>
      <c r="I841" t="s">
        <v>15</v>
      </c>
      <c r="J841" t="s">
        <v>15</v>
      </c>
      <c r="K841">
        <v>12.23</v>
      </c>
      <c r="L841">
        <v>0</v>
      </c>
    </row>
    <row r="842" spans="1:12" x14ac:dyDescent="0.3">
      <c r="A842" t="s">
        <v>858</v>
      </c>
      <c r="B842" t="s">
        <v>21</v>
      </c>
      <c r="C842">
        <v>3797</v>
      </c>
      <c r="D842">
        <v>11.39</v>
      </c>
      <c r="E842">
        <v>2.0499999999999998</v>
      </c>
      <c r="F842">
        <f>COUNTIFS(mdr_rate_cleaned!$A$2:$A$10,B842,mdr_rate_cleaned!$B$2:$B$10,"&lt;"&amp;C842,mdr_rate_cleaned!$F$2:$F$10,"&gt;="&amp;C842)</f>
        <v>1</v>
      </c>
      <c r="G842">
        <v>3.0000000000000001E-3</v>
      </c>
      <c r="H842">
        <v>11.39</v>
      </c>
      <c r="I842" t="s">
        <v>15</v>
      </c>
      <c r="J842" t="s">
        <v>15</v>
      </c>
      <c r="K842">
        <v>2.0499999999999998</v>
      </c>
      <c r="L842">
        <v>0</v>
      </c>
    </row>
    <row r="843" spans="1:12" x14ac:dyDescent="0.3">
      <c r="A843" t="s">
        <v>859</v>
      </c>
      <c r="B843" t="s">
        <v>21</v>
      </c>
      <c r="C843">
        <v>2999</v>
      </c>
      <c r="D843">
        <v>9</v>
      </c>
      <c r="E843">
        <v>1.62</v>
      </c>
      <c r="F843">
        <f>COUNTIFS(mdr_rate_cleaned!$A$2:$A$10,B843,mdr_rate_cleaned!$B$2:$B$10,"&lt;"&amp;C843,mdr_rate_cleaned!$F$2:$F$10,"&gt;="&amp;C843)</f>
        <v>1</v>
      </c>
      <c r="G843">
        <v>3.0000000000000001E-3</v>
      </c>
      <c r="H843">
        <v>9</v>
      </c>
      <c r="I843" t="s">
        <v>15</v>
      </c>
      <c r="J843" t="s">
        <v>15</v>
      </c>
      <c r="K843">
        <v>1.62</v>
      </c>
      <c r="L843">
        <v>0</v>
      </c>
    </row>
    <row r="844" spans="1:12" x14ac:dyDescent="0.3">
      <c r="A844" t="s">
        <v>860</v>
      </c>
      <c r="B844" t="s">
        <v>21</v>
      </c>
      <c r="C844">
        <v>1799</v>
      </c>
      <c r="D844">
        <v>0</v>
      </c>
      <c r="E844">
        <v>0</v>
      </c>
      <c r="F844">
        <f>COUNTIFS(mdr_rate_cleaned!$A$2:$A$10,B844,mdr_rate_cleaned!$B$2:$B$10,"&lt;"&amp;C844,mdr_rate_cleaned!$F$2:$F$10,"&gt;="&amp;C844)</f>
        <v>1</v>
      </c>
      <c r="G844">
        <v>0</v>
      </c>
      <c r="H844">
        <v>0</v>
      </c>
      <c r="I844" t="s">
        <v>15</v>
      </c>
      <c r="J844" t="s">
        <v>15</v>
      </c>
      <c r="K844">
        <v>0</v>
      </c>
      <c r="L844">
        <v>0</v>
      </c>
    </row>
    <row r="845" spans="1:12" x14ac:dyDescent="0.3">
      <c r="A845" t="s">
        <v>861</v>
      </c>
      <c r="B845" t="s">
        <v>17</v>
      </c>
      <c r="C845">
        <v>599</v>
      </c>
      <c r="D845">
        <v>10.78</v>
      </c>
      <c r="E845">
        <v>1.94</v>
      </c>
      <c r="F845">
        <f>COUNTIFS(mdr_rate_cleaned!$A$2:$A$10,B845,mdr_rate_cleaned!$B$2:$B$10,"&lt;"&amp;C845,mdr_rate_cleaned!$F$2:$F$10,"&gt;="&amp;C845)</f>
        <v>1</v>
      </c>
      <c r="G845">
        <v>1.7999999999999999E-2</v>
      </c>
      <c r="H845">
        <v>10.78</v>
      </c>
      <c r="I845" t="s">
        <v>15</v>
      </c>
      <c r="J845" t="s">
        <v>15</v>
      </c>
      <c r="K845">
        <v>1.94</v>
      </c>
      <c r="L845">
        <v>0</v>
      </c>
    </row>
    <row r="846" spans="1:12" x14ac:dyDescent="0.3">
      <c r="A846" t="s">
        <v>862</v>
      </c>
      <c r="B846" t="s">
        <v>39</v>
      </c>
      <c r="C846">
        <v>799</v>
      </c>
      <c r="D846">
        <v>11.99</v>
      </c>
      <c r="E846">
        <v>2.16</v>
      </c>
      <c r="F846">
        <f>COUNTIFS(mdr_rate_cleaned!$A$2:$A$10,B846,mdr_rate_cleaned!$B$2:$B$10,"&lt;"&amp;C846,mdr_rate_cleaned!$F$2:$F$10,"&gt;="&amp;C846)</f>
        <v>1</v>
      </c>
      <c r="G846">
        <v>1.4999999999999999E-2</v>
      </c>
      <c r="H846">
        <v>11.99</v>
      </c>
      <c r="I846" t="s">
        <v>15</v>
      </c>
      <c r="J846" t="s">
        <v>15</v>
      </c>
      <c r="K846">
        <v>2.16</v>
      </c>
      <c r="L846">
        <v>0</v>
      </c>
    </row>
    <row r="847" spans="1:12" x14ac:dyDescent="0.3">
      <c r="A847" t="s">
        <v>863</v>
      </c>
      <c r="B847" t="s">
        <v>21</v>
      </c>
      <c r="C847">
        <v>7999</v>
      </c>
      <c r="D847">
        <v>24</v>
      </c>
      <c r="E847">
        <v>4.32</v>
      </c>
      <c r="F847">
        <f>COUNTIFS(mdr_rate_cleaned!$A$2:$A$10,B847,mdr_rate_cleaned!$B$2:$B$10,"&lt;"&amp;C847,mdr_rate_cleaned!$F$2:$F$10,"&gt;="&amp;C847)</f>
        <v>1</v>
      </c>
      <c r="G847">
        <v>3.0000000000000001E-3</v>
      </c>
      <c r="H847">
        <v>24</v>
      </c>
      <c r="I847" t="s">
        <v>15</v>
      </c>
      <c r="J847" t="s">
        <v>15</v>
      </c>
      <c r="K847">
        <v>4.32</v>
      </c>
      <c r="L847">
        <v>0</v>
      </c>
    </row>
    <row r="848" spans="1:12" x14ac:dyDescent="0.3">
      <c r="A848" t="s">
        <v>864</v>
      </c>
      <c r="B848" t="s">
        <v>21</v>
      </c>
      <c r="C848">
        <v>3499</v>
      </c>
      <c r="D848">
        <v>10.5</v>
      </c>
      <c r="E848">
        <v>1.89</v>
      </c>
      <c r="F848">
        <f>COUNTIFS(mdr_rate_cleaned!$A$2:$A$10,B848,mdr_rate_cleaned!$B$2:$B$10,"&lt;"&amp;C848,mdr_rate_cleaned!$F$2:$F$10,"&gt;="&amp;C848)</f>
        <v>1</v>
      </c>
      <c r="G848">
        <v>3.0000000000000001E-3</v>
      </c>
      <c r="H848">
        <v>10.5</v>
      </c>
      <c r="I848" t="s">
        <v>15</v>
      </c>
      <c r="J848" t="s">
        <v>15</v>
      </c>
      <c r="K848">
        <v>1.89</v>
      </c>
      <c r="L848">
        <v>0</v>
      </c>
    </row>
    <row r="849" spans="1:12" x14ac:dyDescent="0.3">
      <c r="A849" t="s">
        <v>865</v>
      </c>
      <c r="B849" t="s">
        <v>21</v>
      </c>
      <c r="C849">
        <v>7498</v>
      </c>
      <c r="D849">
        <v>22.49</v>
      </c>
      <c r="E849">
        <v>4.05</v>
      </c>
      <c r="F849">
        <f>COUNTIFS(mdr_rate_cleaned!$A$2:$A$10,B849,mdr_rate_cleaned!$B$2:$B$10,"&lt;"&amp;C849,mdr_rate_cleaned!$F$2:$F$10,"&gt;="&amp;C849)</f>
        <v>1</v>
      </c>
      <c r="G849">
        <v>3.0000000000000001E-3</v>
      </c>
      <c r="H849">
        <v>22.49</v>
      </c>
      <c r="I849" t="s">
        <v>15</v>
      </c>
      <c r="J849" t="s">
        <v>15</v>
      </c>
      <c r="K849">
        <v>4.05</v>
      </c>
      <c r="L849">
        <v>0</v>
      </c>
    </row>
    <row r="850" spans="1:12" x14ac:dyDescent="0.3">
      <c r="A850" t="s">
        <v>866</v>
      </c>
      <c r="B850" t="s">
        <v>21</v>
      </c>
      <c r="C850">
        <v>349</v>
      </c>
      <c r="D850">
        <v>0</v>
      </c>
      <c r="E850">
        <v>0</v>
      </c>
      <c r="F850">
        <f>COUNTIFS(mdr_rate_cleaned!$A$2:$A$10,B850,mdr_rate_cleaned!$B$2:$B$10,"&lt;"&amp;C850,mdr_rate_cleaned!$F$2:$F$10,"&gt;="&amp;C850)</f>
        <v>1</v>
      </c>
      <c r="G850">
        <v>0</v>
      </c>
      <c r="H850">
        <v>0</v>
      </c>
      <c r="I850" t="s">
        <v>15</v>
      </c>
      <c r="J850" t="s">
        <v>15</v>
      </c>
      <c r="K850">
        <v>0</v>
      </c>
      <c r="L850">
        <v>0</v>
      </c>
    </row>
    <row r="851" spans="1:12" x14ac:dyDescent="0.3">
      <c r="A851" t="s">
        <v>867</v>
      </c>
      <c r="B851" t="s">
        <v>13</v>
      </c>
      <c r="C851">
        <v>2499</v>
      </c>
      <c r="D851">
        <v>42.48</v>
      </c>
      <c r="E851">
        <v>7.65</v>
      </c>
      <c r="F851">
        <f>COUNTIFS(mdr_rate_cleaned!$A$2:$A$10,B851,mdr_rate_cleaned!$B$2:$B$10,"&lt;"&amp;C851,mdr_rate_cleaned!$F$2:$F$10,"&gt;="&amp;C851)</f>
        <v>1</v>
      </c>
      <c r="G851">
        <v>1.7000000000000001E-2</v>
      </c>
      <c r="H851">
        <v>42.48</v>
      </c>
      <c r="I851" t="s">
        <v>15</v>
      </c>
      <c r="J851" t="s">
        <v>15</v>
      </c>
      <c r="K851">
        <v>7.65</v>
      </c>
      <c r="L851">
        <v>0</v>
      </c>
    </row>
    <row r="852" spans="1:12" x14ac:dyDescent="0.3">
      <c r="A852" t="s">
        <v>868</v>
      </c>
      <c r="B852" t="s">
        <v>21</v>
      </c>
      <c r="C852">
        <v>4998</v>
      </c>
      <c r="D852">
        <v>14.99</v>
      </c>
      <c r="E852">
        <v>2.7</v>
      </c>
      <c r="F852">
        <f>COUNTIFS(mdr_rate_cleaned!$A$2:$A$10,B852,mdr_rate_cleaned!$B$2:$B$10,"&lt;"&amp;C852,mdr_rate_cleaned!$F$2:$F$10,"&gt;="&amp;C852)</f>
        <v>1</v>
      </c>
      <c r="G852">
        <v>3.0000000000000001E-3</v>
      </c>
      <c r="H852">
        <v>14.99</v>
      </c>
      <c r="I852" t="s">
        <v>15</v>
      </c>
      <c r="J852" t="s">
        <v>15</v>
      </c>
      <c r="K852">
        <v>2.7</v>
      </c>
      <c r="L852">
        <v>0</v>
      </c>
    </row>
    <row r="853" spans="1:12" x14ac:dyDescent="0.3">
      <c r="A853" t="s">
        <v>869</v>
      </c>
      <c r="B853" t="s">
        <v>13</v>
      </c>
      <c r="C853">
        <v>2999</v>
      </c>
      <c r="D853">
        <v>50.98</v>
      </c>
      <c r="E853">
        <v>9.18</v>
      </c>
      <c r="F853">
        <f>COUNTIFS(mdr_rate_cleaned!$A$2:$A$10,B853,mdr_rate_cleaned!$B$2:$B$10,"&lt;"&amp;C853,mdr_rate_cleaned!$F$2:$F$10,"&gt;="&amp;C853)</f>
        <v>1</v>
      </c>
      <c r="G853">
        <v>1.7000000000000001E-2</v>
      </c>
      <c r="H853">
        <v>50.98</v>
      </c>
      <c r="I853" t="s">
        <v>15</v>
      </c>
      <c r="J853" t="s">
        <v>15</v>
      </c>
      <c r="K853">
        <v>9.18</v>
      </c>
      <c r="L853">
        <v>0</v>
      </c>
    </row>
    <row r="854" spans="1:12" x14ac:dyDescent="0.3">
      <c r="A854" t="s">
        <v>870</v>
      </c>
      <c r="B854" t="s">
        <v>21</v>
      </c>
      <c r="C854">
        <v>499</v>
      </c>
      <c r="D854">
        <v>0</v>
      </c>
      <c r="E854">
        <v>0</v>
      </c>
      <c r="F854">
        <f>COUNTIFS(mdr_rate_cleaned!$A$2:$A$10,B854,mdr_rate_cleaned!$B$2:$B$10,"&lt;"&amp;C854,mdr_rate_cleaned!$F$2:$F$10,"&gt;="&amp;C854)</f>
        <v>1</v>
      </c>
      <c r="G854">
        <v>0</v>
      </c>
      <c r="H854">
        <v>0</v>
      </c>
      <c r="I854" t="s">
        <v>15</v>
      </c>
      <c r="J854" t="s">
        <v>15</v>
      </c>
      <c r="K854">
        <v>0</v>
      </c>
      <c r="L854">
        <v>0</v>
      </c>
    </row>
    <row r="855" spans="1:12" x14ac:dyDescent="0.3">
      <c r="A855" t="s">
        <v>871</v>
      </c>
      <c r="B855" t="s">
        <v>39</v>
      </c>
      <c r="C855">
        <v>10998</v>
      </c>
      <c r="D855">
        <v>98.98</v>
      </c>
      <c r="E855">
        <v>17.82</v>
      </c>
      <c r="F855">
        <f>COUNTIFS(mdr_rate_cleaned!$A$2:$A$10,B855,mdr_rate_cleaned!$B$2:$B$10,"&lt;"&amp;C855,mdr_rate_cleaned!$F$2:$F$10,"&gt;="&amp;C855)</f>
        <v>1</v>
      </c>
      <c r="G855">
        <v>8.9999999999999993E-3</v>
      </c>
      <c r="H855">
        <v>98.98</v>
      </c>
      <c r="I855" t="s">
        <v>15</v>
      </c>
      <c r="J855" t="s">
        <v>15</v>
      </c>
      <c r="K855">
        <v>17.82</v>
      </c>
      <c r="L855">
        <v>0</v>
      </c>
    </row>
    <row r="856" spans="1:12" x14ac:dyDescent="0.3">
      <c r="A856" t="s">
        <v>872</v>
      </c>
      <c r="B856" t="s">
        <v>21</v>
      </c>
      <c r="C856">
        <v>1799</v>
      </c>
      <c r="D856">
        <v>0</v>
      </c>
      <c r="E856">
        <v>0</v>
      </c>
      <c r="F856">
        <f>COUNTIFS(mdr_rate_cleaned!$A$2:$A$10,B856,mdr_rate_cleaned!$B$2:$B$10,"&lt;"&amp;C856,mdr_rate_cleaned!$F$2:$F$10,"&gt;="&amp;C856)</f>
        <v>1</v>
      </c>
      <c r="G856">
        <v>0</v>
      </c>
      <c r="H856">
        <v>0</v>
      </c>
      <c r="I856" t="s">
        <v>15</v>
      </c>
      <c r="J856" t="s">
        <v>15</v>
      </c>
      <c r="K856">
        <v>0</v>
      </c>
      <c r="L856">
        <v>0</v>
      </c>
    </row>
    <row r="857" spans="1:12" x14ac:dyDescent="0.3">
      <c r="A857" t="s">
        <v>873</v>
      </c>
      <c r="B857" t="s">
        <v>21</v>
      </c>
      <c r="C857">
        <v>2999</v>
      </c>
      <c r="D857">
        <v>9</v>
      </c>
      <c r="E857">
        <v>1.62</v>
      </c>
      <c r="F857">
        <f>COUNTIFS(mdr_rate_cleaned!$A$2:$A$10,B857,mdr_rate_cleaned!$B$2:$B$10,"&lt;"&amp;C857,mdr_rate_cleaned!$F$2:$F$10,"&gt;="&amp;C857)</f>
        <v>1</v>
      </c>
      <c r="G857">
        <v>3.0000000000000001E-3</v>
      </c>
      <c r="H857">
        <v>9</v>
      </c>
      <c r="I857" t="s">
        <v>15</v>
      </c>
      <c r="J857" t="s">
        <v>15</v>
      </c>
      <c r="K857">
        <v>1.62</v>
      </c>
      <c r="L857">
        <v>0</v>
      </c>
    </row>
    <row r="858" spans="1:12" x14ac:dyDescent="0.3">
      <c r="A858" t="s">
        <v>874</v>
      </c>
      <c r="B858" t="s">
        <v>21</v>
      </c>
      <c r="C858">
        <v>349</v>
      </c>
      <c r="D858">
        <v>0</v>
      </c>
      <c r="E858">
        <v>0</v>
      </c>
      <c r="F858">
        <f>COUNTIFS(mdr_rate_cleaned!$A$2:$A$10,B858,mdr_rate_cleaned!$B$2:$B$10,"&lt;"&amp;C858,mdr_rate_cleaned!$F$2:$F$10,"&gt;="&amp;C858)</f>
        <v>1</v>
      </c>
      <c r="G858">
        <v>0</v>
      </c>
      <c r="H858">
        <v>0</v>
      </c>
      <c r="I858" t="s">
        <v>15</v>
      </c>
      <c r="J858" t="s">
        <v>15</v>
      </c>
      <c r="K858">
        <v>0</v>
      </c>
      <c r="L858">
        <v>0</v>
      </c>
    </row>
    <row r="859" spans="1:12" x14ac:dyDescent="0.3">
      <c r="A859" t="s">
        <v>875</v>
      </c>
      <c r="B859" t="s">
        <v>21</v>
      </c>
      <c r="C859">
        <v>1299</v>
      </c>
      <c r="D859">
        <v>0</v>
      </c>
      <c r="E859">
        <v>0</v>
      </c>
      <c r="F859">
        <f>COUNTIFS(mdr_rate_cleaned!$A$2:$A$10,B859,mdr_rate_cleaned!$B$2:$B$10,"&lt;"&amp;C859,mdr_rate_cleaned!$F$2:$F$10,"&gt;="&amp;C859)</f>
        <v>1</v>
      </c>
      <c r="G859">
        <v>0</v>
      </c>
      <c r="H859">
        <v>0</v>
      </c>
      <c r="I859" t="s">
        <v>15</v>
      </c>
      <c r="J859" t="s">
        <v>15</v>
      </c>
      <c r="K859">
        <v>0</v>
      </c>
      <c r="L859">
        <v>0</v>
      </c>
    </row>
    <row r="860" spans="1:12" x14ac:dyDescent="0.3">
      <c r="A860" t="s">
        <v>876</v>
      </c>
      <c r="B860" t="s">
        <v>21</v>
      </c>
      <c r="C860">
        <v>4999</v>
      </c>
      <c r="D860">
        <v>15</v>
      </c>
      <c r="E860">
        <v>2.7</v>
      </c>
      <c r="F860">
        <f>COUNTIFS(mdr_rate_cleaned!$A$2:$A$10,B860,mdr_rate_cleaned!$B$2:$B$10,"&lt;"&amp;C860,mdr_rate_cleaned!$F$2:$F$10,"&gt;="&amp;C860)</f>
        <v>1</v>
      </c>
      <c r="G860">
        <v>3.0000000000000001E-3</v>
      </c>
      <c r="H860">
        <v>15</v>
      </c>
      <c r="I860" t="s">
        <v>15</v>
      </c>
      <c r="J860" t="s">
        <v>15</v>
      </c>
      <c r="K860">
        <v>2.7</v>
      </c>
      <c r="L860">
        <v>0</v>
      </c>
    </row>
    <row r="861" spans="1:12" x14ac:dyDescent="0.3">
      <c r="A861" t="s">
        <v>877</v>
      </c>
      <c r="B861" t="s">
        <v>21</v>
      </c>
      <c r="C861">
        <v>4298</v>
      </c>
      <c r="D861">
        <v>12.89</v>
      </c>
      <c r="E861">
        <v>2.3199999999999998</v>
      </c>
      <c r="F861">
        <f>COUNTIFS(mdr_rate_cleaned!$A$2:$A$10,B861,mdr_rate_cleaned!$B$2:$B$10,"&lt;"&amp;C861,mdr_rate_cleaned!$F$2:$F$10,"&gt;="&amp;C861)</f>
        <v>1</v>
      </c>
      <c r="G861">
        <v>3.0000000000000001E-3</v>
      </c>
      <c r="H861">
        <v>12.89</v>
      </c>
      <c r="I861" t="s">
        <v>15</v>
      </c>
      <c r="J861" t="s">
        <v>15</v>
      </c>
      <c r="K861">
        <v>2.3199999999999998</v>
      </c>
      <c r="L861">
        <v>0</v>
      </c>
    </row>
    <row r="862" spans="1:12" x14ac:dyDescent="0.3">
      <c r="A862" t="s">
        <v>878</v>
      </c>
      <c r="B862" t="s">
        <v>21</v>
      </c>
      <c r="C862">
        <v>3998</v>
      </c>
      <c r="D862">
        <v>11.99</v>
      </c>
      <c r="E862">
        <v>2.16</v>
      </c>
      <c r="F862">
        <f>COUNTIFS(mdr_rate_cleaned!$A$2:$A$10,B862,mdr_rate_cleaned!$B$2:$B$10,"&lt;"&amp;C862,mdr_rate_cleaned!$F$2:$F$10,"&gt;="&amp;C862)</f>
        <v>1</v>
      </c>
      <c r="G862">
        <v>3.0000000000000001E-3</v>
      </c>
      <c r="H862">
        <v>11.99</v>
      </c>
      <c r="I862" t="s">
        <v>15</v>
      </c>
      <c r="J862" t="s">
        <v>15</v>
      </c>
      <c r="K862">
        <v>2.16</v>
      </c>
      <c r="L862">
        <v>0</v>
      </c>
    </row>
    <row r="863" spans="1:12" x14ac:dyDescent="0.3">
      <c r="A863" t="s">
        <v>879</v>
      </c>
      <c r="B863" t="s">
        <v>21</v>
      </c>
      <c r="C863">
        <v>798</v>
      </c>
      <c r="D863">
        <v>0</v>
      </c>
      <c r="E863">
        <v>0</v>
      </c>
      <c r="F863">
        <f>COUNTIFS(mdr_rate_cleaned!$A$2:$A$10,B863,mdr_rate_cleaned!$B$2:$B$10,"&lt;"&amp;C863,mdr_rate_cleaned!$F$2:$F$10,"&gt;="&amp;C863)</f>
        <v>1</v>
      </c>
      <c r="G863">
        <v>0</v>
      </c>
      <c r="H863">
        <v>0</v>
      </c>
      <c r="I863" t="s">
        <v>15</v>
      </c>
      <c r="J863" t="s">
        <v>15</v>
      </c>
      <c r="K863">
        <v>0</v>
      </c>
      <c r="L863">
        <v>0</v>
      </c>
    </row>
    <row r="864" spans="1:12" x14ac:dyDescent="0.3">
      <c r="A864" t="s">
        <v>880</v>
      </c>
      <c r="B864" t="s">
        <v>21</v>
      </c>
      <c r="C864">
        <v>1799</v>
      </c>
      <c r="D864">
        <v>0</v>
      </c>
      <c r="E864">
        <v>0</v>
      </c>
      <c r="F864">
        <f>COUNTIFS(mdr_rate_cleaned!$A$2:$A$10,B864,mdr_rate_cleaned!$B$2:$B$10,"&lt;"&amp;C864,mdr_rate_cleaned!$F$2:$F$10,"&gt;="&amp;C864)</f>
        <v>1</v>
      </c>
      <c r="G864">
        <v>0</v>
      </c>
      <c r="H864">
        <v>0</v>
      </c>
      <c r="I864" t="s">
        <v>15</v>
      </c>
      <c r="J864" t="s">
        <v>15</v>
      </c>
      <c r="K864">
        <v>0</v>
      </c>
      <c r="L864">
        <v>0</v>
      </c>
    </row>
    <row r="865" spans="1:12" x14ac:dyDescent="0.3">
      <c r="A865" t="s">
        <v>881</v>
      </c>
      <c r="B865" t="s">
        <v>39</v>
      </c>
      <c r="C865">
        <v>4098</v>
      </c>
      <c r="D865">
        <v>49.18</v>
      </c>
      <c r="E865">
        <v>8.85</v>
      </c>
      <c r="F865">
        <f>COUNTIFS(mdr_rate_cleaned!$A$2:$A$10,B865,mdr_rate_cleaned!$B$2:$B$10,"&lt;"&amp;C865,mdr_rate_cleaned!$F$2:$F$10,"&gt;="&amp;C865)</f>
        <v>1</v>
      </c>
      <c r="G865">
        <v>1.2E-2</v>
      </c>
      <c r="H865">
        <v>49.18</v>
      </c>
      <c r="I865" t="s">
        <v>15</v>
      </c>
      <c r="J865" t="s">
        <v>15</v>
      </c>
      <c r="K865">
        <v>8.85</v>
      </c>
      <c r="L865">
        <v>0</v>
      </c>
    </row>
    <row r="866" spans="1:12" x14ac:dyDescent="0.3">
      <c r="A866" t="s">
        <v>882</v>
      </c>
      <c r="B866" t="s">
        <v>17</v>
      </c>
      <c r="C866">
        <v>5997</v>
      </c>
      <c r="D866">
        <v>95.95</v>
      </c>
      <c r="E866">
        <v>17.27</v>
      </c>
      <c r="F866">
        <f>COUNTIFS(mdr_rate_cleaned!$A$2:$A$10,B866,mdr_rate_cleaned!$B$2:$B$10,"&lt;"&amp;C866,mdr_rate_cleaned!$F$2:$F$10,"&gt;="&amp;C866)</f>
        <v>1</v>
      </c>
      <c r="G866">
        <v>1.6E-2</v>
      </c>
      <c r="H866">
        <v>95.95</v>
      </c>
      <c r="I866" t="s">
        <v>15</v>
      </c>
      <c r="J866" t="s">
        <v>15</v>
      </c>
      <c r="K866">
        <v>17.27</v>
      </c>
      <c r="L866">
        <v>0</v>
      </c>
    </row>
    <row r="867" spans="1:12" x14ac:dyDescent="0.3">
      <c r="A867" t="s">
        <v>883</v>
      </c>
      <c r="B867" t="s">
        <v>17</v>
      </c>
      <c r="C867">
        <v>349</v>
      </c>
      <c r="D867">
        <v>6.28</v>
      </c>
      <c r="E867">
        <v>1.1299999999999999</v>
      </c>
      <c r="F867">
        <f>COUNTIFS(mdr_rate_cleaned!$A$2:$A$10,B867,mdr_rate_cleaned!$B$2:$B$10,"&lt;"&amp;C867,mdr_rate_cleaned!$F$2:$F$10,"&gt;="&amp;C867)</f>
        <v>1</v>
      </c>
      <c r="G867">
        <v>1.7999999999999999E-2</v>
      </c>
      <c r="H867">
        <v>6.28</v>
      </c>
      <c r="I867" t="s">
        <v>15</v>
      </c>
      <c r="J867" t="s">
        <v>15</v>
      </c>
      <c r="K867">
        <v>1.1299999999999999</v>
      </c>
      <c r="L867">
        <v>0</v>
      </c>
    </row>
    <row r="868" spans="1:12" x14ac:dyDescent="0.3">
      <c r="A868" t="s">
        <v>884</v>
      </c>
      <c r="B868" t="s">
        <v>21</v>
      </c>
      <c r="C868">
        <v>698</v>
      </c>
      <c r="D868">
        <v>0</v>
      </c>
      <c r="E868">
        <v>0</v>
      </c>
      <c r="F868">
        <f>COUNTIFS(mdr_rate_cleaned!$A$2:$A$10,B868,mdr_rate_cleaned!$B$2:$B$10,"&lt;"&amp;C868,mdr_rate_cleaned!$F$2:$F$10,"&gt;="&amp;C868)</f>
        <v>1</v>
      </c>
      <c r="G868">
        <v>0</v>
      </c>
      <c r="H868">
        <v>0</v>
      </c>
      <c r="I868" t="s">
        <v>15</v>
      </c>
      <c r="J868" t="s">
        <v>15</v>
      </c>
      <c r="K868">
        <v>0</v>
      </c>
      <c r="L868">
        <v>0</v>
      </c>
    </row>
    <row r="869" spans="1:12" x14ac:dyDescent="0.3">
      <c r="A869" t="s">
        <v>885</v>
      </c>
      <c r="B869" t="s">
        <v>39</v>
      </c>
      <c r="C869">
        <v>4999</v>
      </c>
      <c r="D869">
        <v>59.99</v>
      </c>
      <c r="E869">
        <v>10.8</v>
      </c>
      <c r="F869">
        <f>COUNTIFS(mdr_rate_cleaned!$A$2:$A$10,B869,mdr_rate_cleaned!$B$2:$B$10,"&lt;"&amp;C869,mdr_rate_cleaned!$F$2:$F$10,"&gt;="&amp;C869)</f>
        <v>1</v>
      </c>
      <c r="G869">
        <v>1.2E-2</v>
      </c>
      <c r="H869">
        <v>59.99</v>
      </c>
      <c r="I869" t="s">
        <v>15</v>
      </c>
      <c r="J869" t="s">
        <v>15</v>
      </c>
      <c r="K869">
        <v>10.8</v>
      </c>
      <c r="L869">
        <v>0</v>
      </c>
    </row>
    <row r="870" spans="1:12" x14ac:dyDescent="0.3">
      <c r="A870" t="s">
        <v>886</v>
      </c>
      <c r="B870" t="s">
        <v>21</v>
      </c>
      <c r="C870">
        <v>299</v>
      </c>
      <c r="D870">
        <v>0</v>
      </c>
      <c r="E870">
        <v>0</v>
      </c>
      <c r="F870">
        <f>COUNTIFS(mdr_rate_cleaned!$A$2:$A$10,B870,mdr_rate_cleaned!$B$2:$B$10,"&lt;"&amp;C870,mdr_rate_cleaned!$F$2:$F$10,"&gt;="&amp;C870)</f>
        <v>1</v>
      </c>
      <c r="G870">
        <v>0</v>
      </c>
      <c r="H870">
        <v>0</v>
      </c>
      <c r="I870" t="s">
        <v>15</v>
      </c>
      <c r="J870" t="s">
        <v>15</v>
      </c>
      <c r="K870">
        <v>0</v>
      </c>
      <c r="L870">
        <v>0</v>
      </c>
    </row>
    <row r="871" spans="1:12" x14ac:dyDescent="0.3">
      <c r="A871" t="s">
        <v>887</v>
      </c>
      <c r="B871" t="s">
        <v>17</v>
      </c>
      <c r="C871">
        <v>299</v>
      </c>
      <c r="D871">
        <v>5.38</v>
      </c>
      <c r="E871">
        <v>0.97</v>
      </c>
      <c r="F871">
        <f>COUNTIFS(mdr_rate_cleaned!$A$2:$A$10,B871,mdr_rate_cleaned!$B$2:$B$10,"&lt;"&amp;C871,mdr_rate_cleaned!$F$2:$F$10,"&gt;="&amp;C871)</f>
        <v>1</v>
      </c>
      <c r="G871">
        <v>1.7999999999999999E-2</v>
      </c>
      <c r="H871">
        <v>5.38</v>
      </c>
      <c r="I871" t="s">
        <v>15</v>
      </c>
      <c r="J871" t="s">
        <v>15</v>
      </c>
      <c r="K871">
        <v>0.97</v>
      </c>
      <c r="L871">
        <v>0</v>
      </c>
    </row>
    <row r="872" spans="1:12" x14ac:dyDescent="0.3">
      <c r="A872" t="s">
        <v>888</v>
      </c>
      <c r="B872" t="s">
        <v>21</v>
      </c>
      <c r="C872">
        <v>2999</v>
      </c>
      <c r="D872">
        <v>9</v>
      </c>
      <c r="E872">
        <v>1.62</v>
      </c>
      <c r="F872">
        <f>COUNTIFS(mdr_rate_cleaned!$A$2:$A$10,B872,mdr_rate_cleaned!$B$2:$B$10,"&lt;"&amp;C872,mdr_rate_cleaned!$F$2:$F$10,"&gt;="&amp;C872)</f>
        <v>1</v>
      </c>
      <c r="G872">
        <v>3.0000000000000001E-3</v>
      </c>
      <c r="H872">
        <v>9</v>
      </c>
      <c r="I872" t="s">
        <v>15</v>
      </c>
      <c r="J872" t="s">
        <v>15</v>
      </c>
      <c r="K872">
        <v>1.62</v>
      </c>
      <c r="L872">
        <v>0</v>
      </c>
    </row>
    <row r="873" spans="1:12" x14ac:dyDescent="0.3">
      <c r="A873" t="s">
        <v>889</v>
      </c>
      <c r="B873" t="s">
        <v>39</v>
      </c>
      <c r="C873">
        <v>499</v>
      </c>
      <c r="D873">
        <v>7.49</v>
      </c>
      <c r="E873">
        <v>1.35</v>
      </c>
      <c r="F873">
        <f>COUNTIFS(mdr_rate_cleaned!$A$2:$A$10,B873,mdr_rate_cleaned!$B$2:$B$10,"&lt;"&amp;C873,mdr_rate_cleaned!$F$2:$F$10,"&gt;="&amp;C873)</f>
        <v>1</v>
      </c>
      <c r="G873">
        <v>1.4999999999999999E-2</v>
      </c>
      <c r="H873">
        <v>7.49</v>
      </c>
      <c r="I873" t="s">
        <v>15</v>
      </c>
      <c r="J873" t="s">
        <v>15</v>
      </c>
      <c r="K873">
        <v>1.35</v>
      </c>
      <c r="L873">
        <v>0</v>
      </c>
    </row>
    <row r="874" spans="1:12" x14ac:dyDescent="0.3">
      <c r="A874" t="s">
        <v>890</v>
      </c>
      <c r="B874" t="s">
        <v>21</v>
      </c>
      <c r="C874">
        <v>10097</v>
      </c>
      <c r="D874">
        <v>30.29</v>
      </c>
      <c r="E874">
        <v>5.45</v>
      </c>
      <c r="F874">
        <f>COUNTIFS(mdr_rate_cleaned!$A$2:$A$10,B874,mdr_rate_cleaned!$B$2:$B$10,"&lt;"&amp;C874,mdr_rate_cleaned!$F$2:$F$10,"&gt;="&amp;C874)</f>
        <v>1</v>
      </c>
      <c r="G874">
        <v>3.0000000000000001E-3</v>
      </c>
      <c r="H874">
        <v>30.29</v>
      </c>
      <c r="I874" t="s">
        <v>15</v>
      </c>
      <c r="J874" t="s">
        <v>15</v>
      </c>
      <c r="K874">
        <v>5.45</v>
      </c>
      <c r="L874">
        <v>0</v>
      </c>
    </row>
    <row r="875" spans="1:12" x14ac:dyDescent="0.3">
      <c r="A875" t="s">
        <v>891</v>
      </c>
      <c r="B875" t="s">
        <v>21</v>
      </c>
      <c r="C875">
        <v>2148</v>
      </c>
      <c r="D875">
        <v>6.44</v>
      </c>
      <c r="E875">
        <v>1.1599999999999999</v>
      </c>
      <c r="F875">
        <f>COUNTIFS(mdr_rate_cleaned!$A$2:$A$10,B875,mdr_rate_cleaned!$B$2:$B$10,"&lt;"&amp;C875,mdr_rate_cleaned!$F$2:$F$10,"&gt;="&amp;C875)</f>
        <v>1</v>
      </c>
      <c r="G875">
        <v>3.0000000000000001E-3</v>
      </c>
      <c r="H875">
        <v>6.44</v>
      </c>
      <c r="I875" t="s">
        <v>15</v>
      </c>
      <c r="J875" t="s">
        <v>15</v>
      </c>
      <c r="K875">
        <v>1.1599999999999999</v>
      </c>
      <c r="L875">
        <v>0</v>
      </c>
    </row>
    <row r="876" spans="1:12" x14ac:dyDescent="0.3">
      <c r="A876" t="s">
        <v>892</v>
      </c>
      <c r="B876" t="s">
        <v>13</v>
      </c>
      <c r="C876">
        <v>5798</v>
      </c>
      <c r="D876">
        <v>98.57</v>
      </c>
      <c r="E876">
        <v>17.739999999999998</v>
      </c>
      <c r="F876">
        <f>COUNTIFS(mdr_rate_cleaned!$A$2:$A$10,B876,mdr_rate_cleaned!$B$2:$B$10,"&lt;"&amp;C876,mdr_rate_cleaned!$F$2:$F$10,"&gt;="&amp;C876)</f>
        <v>1</v>
      </c>
      <c r="G876">
        <v>1.7000000000000001E-2</v>
      </c>
      <c r="H876">
        <v>98.57</v>
      </c>
      <c r="I876" t="s">
        <v>15</v>
      </c>
      <c r="J876" t="s">
        <v>15</v>
      </c>
      <c r="K876">
        <v>17.739999999999998</v>
      </c>
      <c r="L876">
        <v>0</v>
      </c>
    </row>
    <row r="877" spans="1:12" x14ac:dyDescent="0.3">
      <c r="A877" t="s">
        <v>893</v>
      </c>
      <c r="B877" t="s">
        <v>39</v>
      </c>
      <c r="C877">
        <v>3897</v>
      </c>
      <c r="D877">
        <v>46.76</v>
      </c>
      <c r="E877">
        <v>8.42</v>
      </c>
      <c r="F877">
        <f>COUNTIFS(mdr_rate_cleaned!$A$2:$A$10,B877,mdr_rate_cleaned!$B$2:$B$10,"&lt;"&amp;C877,mdr_rate_cleaned!$F$2:$F$10,"&gt;="&amp;C877)</f>
        <v>1</v>
      </c>
      <c r="G877">
        <v>1.2E-2</v>
      </c>
      <c r="H877">
        <v>46.76</v>
      </c>
      <c r="I877" t="s">
        <v>15</v>
      </c>
      <c r="J877" t="s">
        <v>15</v>
      </c>
      <c r="K877">
        <v>8.42</v>
      </c>
      <c r="L877">
        <v>0</v>
      </c>
    </row>
    <row r="878" spans="1:12" x14ac:dyDescent="0.3">
      <c r="A878" t="s">
        <v>894</v>
      </c>
      <c r="B878" t="s">
        <v>17</v>
      </c>
      <c r="C878">
        <v>1098</v>
      </c>
      <c r="D878">
        <v>19.760000000000002</v>
      </c>
      <c r="E878">
        <v>3.56</v>
      </c>
      <c r="F878">
        <f>COUNTIFS(mdr_rate_cleaned!$A$2:$A$10,B878,mdr_rate_cleaned!$B$2:$B$10,"&lt;"&amp;C878,mdr_rate_cleaned!$F$2:$F$10,"&gt;="&amp;C878)</f>
        <v>1</v>
      </c>
      <c r="G878">
        <v>1.7999999999999999E-2</v>
      </c>
      <c r="H878">
        <v>19.760000000000002</v>
      </c>
      <c r="I878" t="s">
        <v>15</v>
      </c>
      <c r="J878" t="s">
        <v>15</v>
      </c>
      <c r="K878">
        <v>3.56</v>
      </c>
      <c r="L878">
        <v>0</v>
      </c>
    </row>
    <row r="879" spans="1:12" x14ac:dyDescent="0.3">
      <c r="A879" t="s">
        <v>895</v>
      </c>
      <c r="B879" t="s">
        <v>21</v>
      </c>
      <c r="C879">
        <v>5597</v>
      </c>
      <c r="D879">
        <v>16.79</v>
      </c>
      <c r="E879">
        <v>3.02</v>
      </c>
      <c r="F879">
        <f>COUNTIFS(mdr_rate_cleaned!$A$2:$A$10,B879,mdr_rate_cleaned!$B$2:$B$10,"&lt;"&amp;C879,mdr_rate_cleaned!$F$2:$F$10,"&gt;="&amp;C879)</f>
        <v>1</v>
      </c>
      <c r="G879">
        <v>3.0000000000000001E-3</v>
      </c>
      <c r="H879">
        <v>16.79</v>
      </c>
      <c r="I879" t="s">
        <v>15</v>
      </c>
      <c r="J879" t="s">
        <v>15</v>
      </c>
      <c r="K879">
        <v>3.02</v>
      </c>
      <c r="L879">
        <v>0</v>
      </c>
    </row>
    <row r="880" spans="1:12" x14ac:dyDescent="0.3">
      <c r="A880" t="s">
        <v>896</v>
      </c>
      <c r="B880" t="s">
        <v>13</v>
      </c>
      <c r="C880">
        <v>349</v>
      </c>
      <c r="D880">
        <v>6.63</v>
      </c>
      <c r="E880">
        <v>1.19</v>
      </c>
      <c r="F880">
        <f>COUNTIFS(mdr_rate_cleaned!$A$2:$A$10,B880,mdr_rate_cleaned!$B$2:$B$10,"&lt;"&amp;C880,mdr_rate_cleaned!$F$2:$F$10,"&gt;="&amp;C880)</f>
        <v>1</v>
      </c>
      <c r="G880">
        <v>1.9E-2</v>
      </c>
      <c r="H880">
        <v>6.63</v>
      </c>
      <c r="I880" t="s">
        <v>15</v>
      </c>
      <c r="J880" t="s">
        <v>15</v>
      </c>
      <c r="K880">
        <v>1.19</v>
      </c>
      <c r="L880">
        <v>0</v>
      </c>
    </row>
    <row r="881" spans="1:12" x14ac:dyDescent="0.3">
      <c r="A881" t="s">
        <v>897</v>
      </c>
      <c r="B881" t="s">
        <v>21</v>
      </c>
      <c r="C881">
        <v>5348</v>
      </c>
      <c r="D881">
        <v>16.04</v>
      </c>
      <c r="E881">
        <v>2.89</v>
      </c>
      <c r="F881">
        <f>COUNTIFS(mdr_rate_cleaned!$A$2:$A$10,B881,mdr_rate_cleaned!$B$2:$B$10,"&lt;"&amp;C881,mdr_rate_cleaned!$F$2:$F$10,"&gt;="&amp;C881)</f>
        <v>1</v>
      </c>
      <c r="G881">
        <v>3.0000000000000001E-3</v>
      </c>
      <c r="H881">
        <v>16.04</v>
      </c>
      <c r="I881" t="s">
        <v>15</v>
      </c>
      <c r="J881" t="s">
        <v>15</v>
      </c>
      <c r="K881">
        <v>2.89</v>
      </c>
      <c r="L881">
        <v>0</v>
      </c>
    </row>
    <row r="882" spans="1:12" x14ac:dyDescent="0.3">
      <c r="A882" t="s">
        <v>898</v>
      </c>
      <c r="B882" t="s">
        <v>21</v>
      </c>
      <c r="C882">
        <v>8298</v>
      </c>
      <c r="D882">
        <v>24.89</v>
      </c>
      <c r="E882">
        <v>4.4800000000000004</v>
      </c>
      <c r="F882">
        <f>COUNTIFS(mdr_rate_cleaned!$A$2:$A$10,B882,mdr_rate_cleaned!$B$2:$B$10,"&lt;"&amp;C882,mdr_rate_cleaned!$F$2:$F$10,"&gt;="&amp;C882)</f>
        <v>1</v>
      </c>
      <c r="G882">
        <v>3.0000000000000001E-3</v>
      </c>
      <c r="H882">
        <v>24.89</v>
      </c>
      <c r="I882" t="s">
        <v>15</v>
      </c>
      <c r="J882" t="s">
        <v>15</v>
      </c>
      <c r="K882">
        <v>4.4800000000000004</v>
      </c>
      <c r="L882">
        <v>0</v>
      </c>
    </row>
    <row r="883" spans="1:12" x14ac:dyDescent="0.3">
      <c r="A883" t="s">
        <v>899</v>
      </c>
      <c r="B883" t="s">
        <v>17</v>
      </c>
      <c r="C883">
        <v>2298</v>
      </c>
      <c r="D883">
        <v>36.770000000000003</v>
      </c>
      <c r="E883">
        <v>6.62</v>
      </c>
      <c r="F883">
        <f>COUNTIFS(mdr_rate_cleaned!$A$2:$A$10,B883,mdr_rate_cleaned!$B$2:$B$10,"&lt;"&amp;C883,mdr_rate_cleaned!$F$2:$F$10,"&gt;="&amp;C883)</f>
        <v>1</v>
      </c>
      <c r="G883">
        <v>1.6E-2</v>
      </c>
      <c r="H883">
        <v>36.770000000000003</v>
      </c>
      <c r="I883" t="s">
        <v>15</v>
      </c>
      <c r="J883" t="s">
        <v>15</v>
      </c>
      <c r="K883">
        <v>6.62</v>
      </c>
      <c r="L883">
        <v>0</v>
      </c>
    </row>
    <row r="884" spans="1:12" x14ac:dyDescent="0.3">
      <c r="A884" t="s">
        <v>900</v>
      </c>
      <c r="B884" t="s">
        <v>21</v>
      </c>
      <c r="C884">
        <v>7999</v>
      </c>
      <c r="D884">
        <v>24</v>
      </c>
      <c r="E884">
        <v>4.32</v>
      </c>
      <c r="F884">
        <f>COUNTIFS(mdr_rate_cleaned!$A$2:$A$10,B884,mdr_rate_cleaned!$B$2:$B$10,"&lt;"&amp;C884,mdr_rate_cleaned!$F$2:$F$10,"&gt;="&amp;C884)</f>
        <v>1</v>
      </c>
      <c r="G884">
        <v>3.0000000000000001E-3</v>
      </c>
      <c r="H884">
        <v>24</v>
      </c>
      <c r="I884" t="s">
        <v>15</v>
      </c>
      <c r="J884" t="s">
        <v>15</v>
      </c>
      <c r="K884">
        <v>4.32</v>
      </c>
      <c r="L884">
        <v>0</v>
      </c>
    </row>
    <row r="885" spans="1:12" x14ac:dyDescent="0.3">
      <c r="A885" t="s">
        <v>901</v>
      </c>
      <c r="B885" t="s">
        <v>21</v>
      </c>
      <c r="C885">
        <v>1798</v>
      </c>
      <c r="D885">
        <v>0</v>
      </c>
      <c r="E885">
        <v>0</v>
      </c>
      <c r="F885">
        <f>COUNTIFS(mdr_rate_cleaned!$A$2:$A$10,B885,mdr_rate_cleaned!$B$2:$B$10,"&lt;"&amp;C885,mdr_rate_cleaned!$F$2:$F$10,"&gt;="&amp;C885)</f>
        <v>1</v>
      </c>
      <c r="G885">
        <v>0</v>
      </c>
      <c r="H885">
        <v>0</v>
      </c>
      <c r="I885" t="s">
        <v>15</v>
      </c>
      <c r="J885" t="s">
        <v>15</v>
      </c>
      <c r="K885">
        <v>0</v>
      </c>
      <c r="L885">
        <v>0</v>
      </c>
    </row>
    <row r="886" spans="1:12" x14ac:dyDescent="0.3">
      <c r="A886" t="s">
        <v>902</v>
      </c>
      <c r="B886" t="s">
        <v>17</v>
      </c>
      <c r="C886">
        <v>5298</v>
      </c>
      <c r="D886">
        <v>84.77</v>
      </c>
      <c r="E886">
        <v>15.26</v>
      </c>
      <c r="F886">
        <f>COUNTIFS(mdr_rate_cleaned!$A$2:$A$10,B886,mdr_rate_cleaned!$B$2:$B$10,"&lt;"&amp;C886,mdr_rate_cleaned!$F$2:$F$10,"&gt;="&amp;C886)</f>
        <v>1</v>
      </c>
      <c r="G886">
        <v>1.6E-2</v>
      </c>
      <c r="H886">
        <v>84.77</v>
      </c>
      <c r="I886" t="s">
        <v>15</v>
      </c>
      <c r="J886" t="s">
        <v>15</v>
      </c>
      <c r="K886">
        <v>15.26</v>
      </c>
      <c r="L886">
        <v>0</v>
      </c>
    </row>
    <row r="887" spans="1:12" x14ac:dyDescent="0.3">
      <c r="A887" t="s">
        <v>903</v>
      </c>
      <c r="B887" t="s">
        <v>17</v>
      </c>
      <c r="C887">
        <v>299</v>
      </c>
      <c r="D887">
        <v>5.38</v>
      </c>
      <c r="E887">
        <v>0.97</v>
      </c>
      <c r="F887">
        <f>COUNTIFS(mdr_rate_cleaned!$A$2:$A$10,B887,mdr_rate_cleaned!$B$2:$B$10,"&lt;"&amp;C887,mdr_rate_cleaned!$F$2:$F$10,"&gt;="&amp;C887)</f>
        <v>1</v>
      </c>
      <c r="G887">
        <v>1.7999999999999999E-2</v>
      </c>
      <c r="H887">
        <v>5.38</v>
      </c>
      <c r="I887" t="s">
        <v>15</v>
      </c>
      <c r="J887" t="s">
        <v>15</v>
      </c>
      <c r="K887">
        <v>0.97</v>
      </c>
      <c r="L887">
        <v>0</v>
      </c>
    </row>
    <row r="888" spans="1:12" x14ac:dyDescent="0.3">
      <c r="A888" t="s">
        <v>904</v>
      </c>
      <c r="B888" t="s">
        <v>21</v>
      </c>
      <c r="C888">
        <v>3598</v>
      </c>
      <c r="D888">
        <v>10.79</v>
      </c>
      <c r="E888">
        <v>1.94</v>
      </c>
      <c r="F888">
        <f>COUNTIFS(mdr_rate_cleaned!$A$2:$A$10,B888,mdr_rate_cleaned!$B$2:$B$10,"&lt;"&amp;C888,mdr_rate_cleaned!$F$2:$F$10,"&gt;="&amp;C888)</f>
        <v>1</v>
      </c>
      <c r="G888">
        <v>3.0000000000000001E-3</v>
      </c>
      <c r="H888">
        <v>10.79</v>
      </c>
      <c r="I888" t="s">
        <v>15</v>
      </c>
      <c r="J888" t="s">
        <v>15</v>
      </c>
      <c r="K888">
        <v>1.94</v>
      </c>
      <c r="L888">
        <v>0</v>
      </c>
    </row>
    <row r="889" spans="1:12" x14ac:dyDescent="0.3">
      <c r="A889" t="s">
        <v>905</v>
      </c>
      <c r="B889" t="s">
        <v>21</v>
      </c>
      <c r="C889">
        <v>9798</v>
      </c>
      <c r="D889">
        <v>29.39</v>
      </c>
      <c r="E889">
        <v>5.29</v>
      </c>
      <c r="F889">
        <f>COUNTIFS(mdr_rate_cleaned!$A$2:$A$10,B889,mdr_rate_cleaned!$B$2:$B$10,"&lt;"&amp;C889,mdr_rate_cleaned!$F$2:$F$10,"&gt;="&amp;C889)</f>
        <v>1</v>
      </c>
      <c r="G889">
        <v>3.0000000000000001E-3</v>
      </c>
      <c r="H889">
        <v>29.39</v>
      </c>
      <c r="I889" t="s">
        <v>15</v>
      </c>
      <c r="J889" t="s">
        <v>15</v>
      </c>
      <c r="K889">
        <v>5.29</v>
      </c>
      <c r="L889">
        <v>0</v>
      </c>
    </row>
    <row r="890" spans="1:12" x14ac:dyDescent="0.3">
      <c r="A890" t="s">
        <v>906</v>
      </c>
      <c r="B890" t="s">
        <v>17</v>
      </c>
      <c r="C890">
        <v>1799</v>
      </c>
      <c r="D890">
        <v>32.380000000000003</v>
      </c>
      <c r="E890">
        <v>5.83</v>
      </c>
      <c r="F890">
        <f>COUNTIFS(mdr_rate_cleaned!$A$2:$A$10,B890,mdr_rate_cleaned!$B$2:$B$10,"&lt;"&amp;C890,mdr_rate_cleaned!$F$2:$F$10,"&gt;="&amp;C890)</f>
        <v>1</v>
      </c>
      <c r="G890">
        <v>1.7999999999999999E-2</v>
      </c>
      <c r="H890">
        <v>32.380000000000003</v>
      </c>
      <c r="I890" t="s">
        <v>15</v>
      </c>
      <c r="J890" t="s">
        <v>15</v>
      </c>
      <c r="K890">
        <v>5.83</v>
      </c>
      <c r="L890">
        <v>0</v>
      </c>
    </row>
    <row r="891" spans="1:12" x14ac:dyDescent="0.3">
      <c r="A891" t="s">
        <v>907</v>
      </c>
      <c r="B891" t="s">
        <v>17</v>
      </c>
      <c r="C891">
        <v>1398</v>
      </c>
      <c r="D891">
        <v>25.16</v>
      </c>
      <c r="E891">
        <v>4.53</v>
      </c>
      <c r="F891">
        <f>COUNTIFS(mdr_rate_cleaned!$A$2:$A$10,B891,mdr_rate_cleaned!$B$2:$B$10,"&lt;"&amp;C891,mdr_rate_cleaned!$F$2:$F$10,"&gt;="&amp;C891)</f>
        <v>1</v>
      </c>
      <c r="G891">
        <v>1.7999999999999999E-2</v>
      </c>
      <c r="H891">
        <v>25.16</v>
      </c>
      <c r="I891" t="s">
        <v>15</v>
      </c>
      <c r="J891" t="s">
        <v>15</v>
      </c>
      <c r="K891">
        <v>4.53</v>
      </c>
      <c r="L891">
        <v>0</v>
      </c>
    </row>
    <row r="892" spans="1:12" x14ac:dyDescent="0.3">
      <c r="A892" t="s">
        <v>908</v>
      </c>
      <c r="B892" t="s">
        <v>21</v>
      </c>
      <c r="C892">
        <v>299</v>
      </c>
      <c r="D892">
        <v>0</v>
      </c>
      <c r="E892">
        <v>0</v>
      </c>
      <c r="F892">
        <f>COUNTIFS(mdr_rate_cleaned!$A$2:$A$10,B892,mdr_rate_cleaned!$B$2:$B$10,"&lt;"&amp;C892,mdr_rate_cleaned!$F$2:$F$10,"&gt;="&amp;C892)</f>
        <v>1</v>
      </c>
      <c r="G892">
        <v>0</v>
      </c>
      <c r="H892">
        <v>0</v>
      </c>
      <c r="I892" t="s">
        <v>15</v>
      </c>
      <c r="J892" t="s">
        <v>15</v>
      </c>
      <c r="K892">
        <v>0</v>
      </c>
      <c r="L892">
        <v>0</v>
      </c>
    </row>
    <row r="893" spans="1:12" x14ac:dyDescent="0.3">
      <c r="A893" t="s">
        <v>909</v>
      </c>
      <c r="B893" t="s">
        <v>17</v>
      </c>
      <c r="C893">
        <v>999</v>
      </c>
      <c r="D893">
        <v>17.98</v>
      </c>
      <c r="E893">
        <v>3.24</v>
      </c>
      <c r="F893">
        <f>COUNTIFS(mdr_rate_cleaned!$A$2:$A$10,B893,mdr_rate_cleaned!$B$2:$B$10,"&lt;"&amp;C893,mdr_rate_cleaned!$F$2:$F$10,"&gt;="&amp;C893)</f>
        <v>1</v>
      </c>
      <c r="G893">
        <v>1.7999999999999999E-2</v>
      </c>
      <c r="H893">
        <v>17.98</v>
      </c>
      <c r="I893" t="s">
        <v>15</v>
      </c>
      <c r="J893" t="s">
        <v>15</v>
      </c>
      <c r="K893">
        <v>3.24</v>
      </c>
      <c r="L893">
        <v>0</v>
      </c>
    </row>
    <row r="894" spans="1:12" x14ac:dyDescent="0.3">
      <c r="A894" t="s">
        <v>910</v>
      </c>
      <c r="B894" t="s">
        <v>21</v>
      </c>
      <c r="C894">
        <v>2999</v>
      </c>
      <c r="D894">
        <v>9</v>
      </c>
      <c r="E894">
        <v>1.62</v>
      </c>
      <c r="F894">
        <f>COUNTIFS(mdr_rate_cleaned!$A$2:$A$10,B894,mdr_rate_cleaned!$B$2:$B$10,"&lt;"&amp;C894,mdr_rate_cleaned!$F$2:$F$10,"&gt;="&amp;C894)</f>
        <v>1</v>
      </c>
      <c r="G894">
        <v>3.0000000000000001E-3</v>
      </c>
      <c r="H894">
        <v>9</v>
      </c>
      <c r="I894" t="s">
        <v>15</v>
      </c>
      <c r="J894" t="s">
        <v>15</v>
      </c>
      <c r="K894">
        <v>1.62</v>
      </c>
      <c r="L894">
        <v>0</v>
      </c>
    </row>
    <row r="895" spans="1:12" x14ac:dyDescent="0.3">
      <c r="A895" t="s">
        <v>911</v>
      </c>
      <c r="B895" t="s">
        <v>21</v>
      </c>
      <c r="C895">
        <v>3798</v>
      </c>
      <c r="D895">
        <v>11.39</v>
      </c>
      <c r="E895">
        <v>2.0499999999999998</v>
      </c>
      <c r="F895">
        <f>COUNTIFS(mdr_rate_cleaned!$A$2:$A$10,B895,mdr_rate_cleaned!$B$2:$B$10,"&lt;"&amp;C895,mdr_rate_cleaned!$F$2:$F$10,"&gt;="&amp;C895)</f>
        <v>1</v>
      </c>
      <c r="G895">
        <v>3.0000000000000001E-3</v>
      </c>
      <c r="H895">
        <v>11.39</v>
      </c>
      <c r="I895" t="s">
        <v>15</v>
      </c>
      <c r="J895" t="s">
        <v>15</v>
      </c>
      <c r="K895">
        <v>2.0499999999999998</v>
      </c>
      <c r="L895">
        <v>0</v>
      </c>
    </row>
    <row r="896" spans="1:12" x14ac:dyDescent="0.3">
      <c r="A896" t="s">
        <v>912</v>
      </c>
      <c r="B896" t="s">
        <v>17</v>
      </c>
      <c r="C896">
        <v>1598</v>
      </c>
      <c r="D896">
        <v>28.76</v>
      </c>
      <c r="E896">
        <v>5.18</v>
      </c>
      <c r="F896">
        <f>COUNTIFS(mdr_rate_cleaned!$A$2:$A$10,B896,mdr_rate_cleaned!$B$2:$B$10,"&lt;"&amp;C896,mdr_rate_cleaned!$F$2:$F$10,"&gt;="&amp;C896)</f>
        <v>1</v>
      </c>
      <c r="G896">
        <v>1.7999999999999999E-2</v>
      </c>
      <c r="H896">
        <v>28.76</v>
      </c>
      <c r="I896" t="s">
        <v>15</v>
      </c>
      <c r="J896" t="s">
        <v>15</v>
      </c>
      <c r="K896">
        <v>5.18</v>
      </c>
      <c r="L896">
        <v>0</v>
      </c>
    </row>
    <row r="897" spans="1:12" x14ac:dyDescent="0.3">
      <c r="A897" t="s">
        <v>913</v>
      </c>
      <c r="B897" t="s">
        <v>17</v>
      </c>
      <c r="C897">
        <v>1299</v>
      </c>
      <c r="D897">
        <v>23.38</v>
      </c>
      <c r="E897">
        <v>4.21</v>
      </c>
      <c r="F897">
        <f>COUNTIFS(mdr_rate_cleaned!$A$2:$A$10,B897,mdr_rate_cleaned!$B$2:$B$10,"&lt;"&amp;C897,mdr_rate_cleaned!$F$2:$F$10,"&gt;="&amp;C897)</f>
        <v>1</v>
      </c>
      <c r="G897">
        <v>1.7999999999999999E-2</v>
      </c>
      <c r="H897">
        <v>23.38</v>
      </c>
      <c r="I897" t="s">
        <v>15</v>
      </c>
      <c r="J897" t="s">
        <v>15</v>
      </c>
      <c r="K897">
        <v>4.21</v>
      </c>
      <c r="L897">
        <v>0</v>
      </c>
    </row>
    <row r="898" spans="1:12" x14ac:dyDescent="0.3">
      <c r="A898" t="s">
        <v>914</v>
      </c>
      <c r="B898" t="s">
        <v>17</v>
      </c>
      <c r="C898">
        <v>5998</v>
      </c>
      <c r="D898">
        <v>95.97</v>
      </c>
      <c r="E898">
        <v>17.27</v>
      </c>
      <c r="F898">
        <f>COUNTIFS(mdr_rate_cleaned!$A$2:$A$10,B898,mdr_rate_cleaned!$B$2:$B$10,"&lt;"&amp;C898,mdr_rate_cleaned!$F$2:$F$10,"&gt;="&amp;C898)</f>
        <v>1</v>
      </c>
      <c r="G898">
        <v>1.6E-2</v>
      </c>
      <c r="H898">
        <v>95.97</v>
      </c>
      <c r="I898" t="s">
        <v>15</v>
      </c>
      <c r="J898" t="s">
        <v>15</v>
      </c>
      <c r="K898">
        <v>17.27</v>
      </c>
      <c r="L898">
        <v>0</v>
      </c>
    </row>
    <row r="899" spans="1:12" x14ac:dyDescent="0.3">
      <c r="A899" t="s">
        <v>915</v>
      </c>
      <c r="B899" t="s">
        <v>17</v>
      </c>
      <c r="C899">
        <v>2499</v>
      </c>
      <c r="D899">
        <v>39.979999999999997</v>
      </c>
      <c r="E899">
        <v>7.2</v>
      </c>
      <c r="F899">
        <f>COUNTIFS(mdr_rate_cleaned!$A$2:$A$10,B899,mdr_rate_cleaned!$B$2:$B$10,"&lt;"&amp;C899,mdr_rate_cleaned!$F$2:$F$10,"&gt;="&amp;C899)</f>
        <v>1</v>
      </c>
      <c r="G899">
        <v>1.6E-2</v>
      </c>
      <c r="H899">
        <v>39.979999999999997</v>
      </c>
      <c r="I899" t="s">
        <v>15</v>
      </c>
      <c r="J899" t="s">
        <v>15</v>
      </c>
      <c r="K899">
        <v>7.2</v>
      </c>
      <c r="L899">
        <v>0</v>
      </c>
    </row>
    <row r="900" spans="1:12" x14ac:dyDescent="0.3">
      <c r="A900" t="s">
        <v>916</v>
      </c>
      <c r="B900" t="s">
        <v>21</v>
      </c>
      <c r="C900">
        <v>2197</v>
      </c>
      <c r="D900">
        <v>6.59</v>
      </c>
      <c r="E900">
        <v>1.19</v>
      </c>
      <c r="F900">
        <f>COUNTIFS(mdr_rate_cleaned!$A$2:$A$10,B900,mdr_rate_cleaned!$B$2:$B$10,"&lt;"&amp;C900,mdr_rate_cleaned!$F$2:$F$10,"&gt;="&amp;C900)</f>
        <v>1</v>
      </c>
      <c r="G900">
        <v>3.0000000000000001E-3</v>
      </c>
      <c r="H900">
        <v>6.59</v>
      </c>
      <c r="I900" t="s">
        <v>15</v>
      </c>
      <c r="J900" t="s">
        <v>15</v>
      </c>
      <c r="K900">
        <v>1.19</v>
      </c>
      <c r="L900">
        <v>0</v>
      </c>
    </row>
    <row r="901" spans="1:12" x14ac:dyDescent="0.3">
      <c r="A901" t="s">
        <v>917</v>
      </c>
      <c r="B901" t="s">
        <v>17</v>
      </c>
      <c r="C901">
        <v>7997</v>
      </c>
      <c r="D901">
        <v>127.95</v>
      </c>
      <c r="E901">
        <v>23.03</v>
      </c>
      <c r="F901">
        <f>COUNTIFS(mdr_rate_cleaned!$A$2:$A$10,B901,mdr_rate_cleaned!$B$2:$B$10,"&lt;"&amp;C901,mdr_rate_cleaned!$F$2:$F$10,"&gt;="&amp;C901)</f>
        <v>1</v>
      </c>
      <c r="G901">
        <v>1.6E-2</v>
      </c>
      <c r="H901">
        <v>127.95</v>
      </c>
      <c r="I901" t="s">
        <v>15</v>
      </c>
      <c r="J901" t="s">
        <v>15</v>
      </c>
      <c r="K901">
        <v>23.03</v>
      </c>
      <c r="L901">
        <v>0</v>
      </c>
    </row>
    <row r="902" spans="1:12" x14ac:dyDescent="0.3">
      <c r="A902" t="s">
        <v>918</v>
      </c>
      <c r="B902" t="s">
        <v>21</v>
      </c>
      <c r="C902">
        <v>3848</v>
      </c>
      <c r="D902">
        <v>11.54</v>
      </c>
      <c r="E902">
        <v>2.08</v>
      </c>
      <c r="F902">
        <f>COUNTIFS(mdr_rate_cleaned!$A$2:$A$10,B902,mdr_rate_cleaned!$B$2:$B$10,"&lt;"&amp;C902,mdr_rate_cleaned!$F$2:$F$10,"&gt;="&amp;C902)</f>
        <v>1</v>
      </c>
      <c r="G902">
        <v>3.0000000000000001E-3</v>
      </c>
      <c r="H902">
        <v>11.54</v>
      </c>
      <c r="I902" t="s">
        <v>15</v>
      </c>
      <c r="J902" t="s">
        <v>15</v>
      </c>
      <c r="K902">
        <v>2.08</v>
      </c>
      <c r="L902">
        <v>0</v>
      </c>
    </row>
    <row r="903" spans="1:12" x14ac:dyDescent="0.3">
      <c r="A903" t="s">
        <v>919</v>
      </c>
      <c r="B903" t="s">
        <v>39</v>
      </c>
      <c r="C903">
        <v>1299</v>
      </c>
      <c r="D903">
        <v>19.489999999999998</v>
      </c>
      <c r="E903">
        <v>3.51</v>
      </c>
      <c r="F903">
        <f>COUNTIFS(mdr_rate_cleaned!$A$2:$A$10,B903,mdr_rate_cleaned!$B$2:$B$10,"&lt;"&amp;C903,mdr_rate_cleaned!$F$2:$F$10,"&gt;="&amp;C903)</f>
        <v>1</v>
      </c>
      <c r="G903">
        <v>1.4999999999999999E-2</v>
      </c>
      <c r="H903">
        <v>19.489999999999998</v>
      </c>
      <c r="I903" t="s">
        <v>15</v>
      </c>
      <c r="J903" t="s">
        <v>15</v>
      </c>
      <c r="K903">
        <v>3.51</v>
      </c>
      <c r="L903">
        <v>0</v>
      </c>
    </row>
    <row r="904" spans="1:12" x14ac:dyDescent="0.3">
      <c r="A904" t="s">
        <v>920</v>
      </c>
      <c r="B904" t="s">
        <v>13</v>
      </c>
      <c r="C904">
        <v>499</v>
      </c>
      <c r="D904">
        <v>9.48</v>
      </c>
      <c r="E904">
        <v>1.71</v>
      </c>
      <c r="F904">
        <f>COUNTIFS(mdr_rate_cleaned!$A$2:$A$10,B904,mdr_rate_cleaned!$B$2:$B$10,"&lt;"&amp;C904,mdr_rate_cleaned!$F$2:$F$10,"&gt;="&amp;C904)</f>
        <v>1</v>
      </c>
      <c r="G904">
        <v>1.9E-2</v>
      </c>
      <c r="H904">
        <v>9.48</v>
      </c>
      <c r="I904" t="s">
        <v>15</v>
      </c>
      <c r="J904" t="s">
        <v>15</v>
      </c>
      <c r="K904">
        <v>1.71</v>
      </c>
      <c r="L904">
        <v>0</v>
      </c>
    </row>
    <row r="905" spans="1:12" x14ac:dyDescent="0.3">
      <c r="A905" t="s">
        <v>921</v>
      </c>
      <c r="B905" t="s">
        <v>17</v>
      </c>
      <c r="C905">
        <v>9647</v>
      </c>
      <c r="D905">
        <v>154.35</v>
      </c>
      <c r="E905">
        <v>27.78</v>
      </c>
      <c r="F905">
        <f>COUNTIFS(mdr_rate_cleaned!$A$2:$A$10,B905,mdr_rate_cleaned!$B$2:$B$10,"&lt;"&amp;C905,mdr_rate_cleaned!$F$2:$F$10,"&gt;="&amp;C905)</f>
        <v>1</v>
      </c>
      <c r="G905">
        <v>1.6E-2</v>
      </c>
      <c r="H905">
        <v>154.35</v>
      </c>
      <c r="I905" t="s">
        <v>15</v>
      </c>
      <c r="J905" t="s">
        <v>15</v>
      </c>
      <c r="K905">
        <v>27.78</v>
      </c>
      <c r="L905">
        <v>0</v>
      </c>
    </row>
    <row r="906" spans="1:12" x14ac:dyDescent="0.3">
      <c r="A906" t="s">
        <v>922</v>
      </c>
      <c r="B906" t="s">
        <v>17</v>
      </c>
      <c r="C906">
        <v>999</v>
      </c>
      <c r="D906">
        <v>17.98</v>
      </c>
      <c r="E906">
        <v>3.24</v>
      </c>
      <c r="F906">
        <f>COUNTIFS(mdr_rate_cleaned!$A$2:$A$10,B906,mdr_rate_cleaned!$B$2:$B$10,"&lt;"&amp;C906,mdr_rate_cleaned!$F$2:$F$10,"&gt;="&amp;C906)</f>
        <v>1</v>
      </c>
      <c r="G906">
        <v>1.7999999999999999E-2</v>
      </c>
      <c r="H906">
        <v>17.98</v>
      </c>
      <c r="I906" t="s">
        <v>15</v>
      </c>
      <c r="J906" t="s">
        <v>15</v>
      </c>
      <c r="K906">
        <v>3.24</v>
      </c>
      <c r="L906">
        <v>0</v>
      </c>
    </row>
    <row r="907" spans="1:12" x14ac:dyDescent="0.3">
      <c r="A907" t="s">
        <v>923</v>
      </c>
      <c r="B907" t="s">
        <v>17</v>
      </c>
      <c r="C907">
        <v>1798</v>
      </c>
      <c r="D907">
        <v>32.36</v>
      </c>
      <c r="E907">
        <v>5.82</v>
      </c>
      <c r="F907">
        <f>COUNTIFS(mdr_rate_cleaned!$A$2:$A$10,B907,mdr_rate_cleaned!$B$2:$B$10,"&lt;"&amp;C907,mdr_rate_cleaned!$F$2:$F$10,"&gt;="&amp;C907)</f>
        <v>1</v>
      </c>
      <c r="G907">
        <v>1.7999999999999999E-2</v>
      </c>
      <c r="H907">
        <v>32.36</v>
      </c>
      <c r="I907" t="s">
        <v>15</v>
      </c>
      <c r="J907" t="s">
        <v>15</v>
      </c>
      <c r="K907">
        <v>5.82</v>
      </c>
      <c r="L907">
        <v>0</v>
      </c>
    </row>
    <row r="908" spans="1:12" x14ac:dyDescent="0.3">
      <c r="A908" t="s">
        <v>924</v>
      </c>
      <c r="B908" t="s">
        <v>13</v>
      </c>
      <c r="C908">
        <v>1498</v>
      </c>
      <c r="D908">
        <v>28.46</v>
      </c>
      <c r="E908">
        <v>5.12</v>
      </c>
      <c r="F908">
        <f>COUNTIFS(mdr_rate_cleaned!$A$2:$A$10,B908,mdr_rate_cleaned!$B$2:$B$10,"&lt;"&amp;C908,mdr_rate_cleaned!$F$2:$F$10,"&gt;="&amp;C908)</f>
        <v>1</v>
      </c>
      <c r="G908">
        <v>1.9E-2</v>
      </c>
      <c r="H908">
        <v>28.46</v>
      </c>
      <c r="I908" t="s">
        <v>15</v>
      </c>
      <c r="J908" t="s">
        <v>15</v>
      </c>
      <c r="K908">
        <v>5.12</v>
      </c>
      <c r="L908">
        <v>0</v>
      </c>
    </row>
    <row r="909" spans="1:12" x14ac:dyDescent="0.3">
      <c r="A909" t="s">
        <v>925</v>
      </c>
      <c r="B909" t="s">
        <v>21</v>
      </c>
      <c r="C909">
        <v>3499</v>
      </c>
      <c r="D909">
        <v>10.5</v>
      </c>
      <c r="E909">
        <v>1.89</v>
      </c>
      <c r="F909">
        <f>COUNTIFS(mdr_rate_cleaned!$A$2:$A$10,B909,mdr_rate_cleaned!$B$2:$B$10,"&lt;"&amp;C909,mdr_rate_cleaned!$F$2:$F$10,"&gt;="&amp;C909)</f>
        <v>1</v>
      </c>
      <c r="G909">
        <v>3.0000000000000001E-3</v>
      </c>
      <c r="H909">
        <v>10.5</v>
      </c>
      <c r="I909" t="s">
        <v>15</v>
      </c>
      <c r="J909" t="s">
        <v>15</v>
      </c>
      <c r="K909">
        <v>1.89</v>
      </c>
      <c r="L909">
        <v>0</v>
      </c>
    </row>
    <row r="910" spans="1:12" x14ac:dyDescent="0.3">
      <c r="A910" t="s">
        <v>926</v>
      </c>
      <c r="B910" t="s">
        <v>17</v>
      </c>
      <c r="C910">
        <v>9597</v>
      </c>
      <c r="D910">
        <v>153.55000000000001</v>
      </c>
      <c r="E910">
        <v>27.64</v>
      </c>
      <c r="F910">
        <f>COUNTIFS(mdr_rate_cleaned!$A$2:$A$10,B910,mdr_rate_cleaned!$B$2:$B$10,"&lt;"&amp;C910,mdr_rate_cleaned!$F$2:$F$10,"&gt;="&amp;C910)</f>
        <v>1</v>
      </c>
      <c r="G910">
        <v>1.6E-2</v>
      </c>
      <c r="H910">
        <v>153.55000000000001</v>
      </c>
      <c r="I910" t="s">
        <v>15</v>
      </c>
      <c r="J910" t="s">
        <v>15</v>
      </c>
      <c r="K910">
        <v>27.64</v>
      </c>
      <c r="L910">
        <v>0</v>
      </c>
    </row>
    <row r="911" spans="1:12" x14ac:dyDescent="0.3">
      <c r="A911" t="s">
        <v>927</v>
      </c>
      <c r="B911" t="s">
        <v>21</v>
      </c>
      <c r="C911">
        <v>2499</v>
      </c>
      <c r="D911">
        <v>7.5</v>
      </c>
      <c r="E911">
        <v>1.35</v>
      </c>
      <c r="F911">
        <f>COUNTIFS(mdr_rate_cleaned!$A$2:$A$10,B911,mdr_rate_cleaned!$B$2:$B$10,"&lt;"&amp;C911,mdr_rate_cleaned!$F$2:$F$10,"&gt;="&amp;C911)</f>
        <v>1</v>
      </c>
      <c r="G911">
        <v>3.0000000000000001E-3</v>
      </c>
      <c r="H911">
        <v>7.5</v>
      </c>
      <c r="I911" t="s">
        <v>15</v>
      </c>
      <c r="J911" t="s">
        <v>15</v>
      </c>
      <c r="K911">
        <v>1.35</v>
      </c>
      <c r="L911">
        <v>0</v>
      </c>
    </row>
    <row r="912" spans="1:12" x14ac:dyDescent="0.3">
      <c r="A912" t="s">
        <v>928</v>
      </c>
      <c r="B912" t="s">
        <v>21</v>
      </c>
      <c r="C912">
        <v>499</v>
      </c>
      <c r="D912">
        <v>0</v>
      </c>
      <c r="E912">
        <v>0</v>
      </c>
      <c r="F912">
        <f>COUNTIFS(mdr_rate_cleaned!$A$2:$A$10,B912,mdr_rate_cleaned!$B$2:$B$10,"&lt;"&amp;C912,mdr_rate_cleaned!$F$2:$F$10,"&gt;="&amp;C912)</f>
        <v>1</v>
      </c>
      <c r="G912">
        <v>0</v>
      </c>
      <c r="H912">
        <v>0</v>
      </c>
      <c r="I912" t="s">
        <v>15</v>
      </c>
      <c r="J912" t="s">
        <v>15</v>
      </c>
      <c r="K912">
        <v>0</v>
      </c>
      <c r="L912">
        <v>0</v>
      </c>
    </row>
    <row r="913" spans="1:12" x14ac:dyDescent="0.3">
      <c r="A913" t="s">
        <v>929</v>
      </c>
      <c r="B913" t="s">
        <v>21</v>
      </c>
      <c r="C913">
        <v>12297</v>
      </c>
      <c r="D913">
        <v>36.89</v>
      </c>
      <c r="E913">
        <v>6.64</v>
      </c>
      <c r="F913">
        <f>COUNTIFS(mdr_rate_cleaned!$A$2:$A$10,B913,mdr_rate_cleaned!$B$2:$B$10,"&lt;"&amp;C913,mdr_rate_cleaned!$F$2:$F$10,"&gt;="&amp;C913)</f>
        <v>1</v>
      </c>
      <c r="G913">
        <v>3.0000000000000001E-3</v>
      </c>
      <c r="H913">
        <v>36.89</v>
      </c>
      <c r="I913" t="s">
        <v>15</v>
      </c>
      <c r="J913" t="s">
        <v>15</v>
      </c>
      <c r="K913">
        <v>6.64</v>
      </c>
      <c r="L913">
        <v>0</v>
      </c>
    </row>
    <row r="914" spans="1:12" x14ac:dyDescent="0.3">
      <c r="A914" t="s">
        <v>930</v>
      </c>
      <c r="B914" t="s">
        <v>13</v>
      </c>
      <c r="C914">
        <v>6297</v>
      </c>
      <c r="D914">
        <v>107.05</v>
      </c>
      <c r="E914">
        <v>19.27</v>
      </c>
      <c r="F914">
        <f>COUNTIFS(mdr_rate_cleaned!$A$2:$A$10,B914,mdr_rate_cleaned!$B$2:$B$10,"&lt;"&amp;C914,mdr_rate_cleaned!$F$2:$F$10,"&gt;="&amp;C914)</f>
        <v>1</v>
      </c>
      <c r="G914">
        <v>1.7000000000000001E-2</v>
      </c>
      <c r="H914">
        <v>107.05</v>
      </c>
      <c r="I914" t="s">
        <v>15</v>
      </c>
      <c r="J914" t="s">
        <v>15</v>
      </c>
      <c r="K914">
        <v>19.27</v>
      </c>
      <c r="L914">
        <v>0</v>
      </c>
    </row>
    <row r="915" spans="1:12" x14ac:dyDescent="0.3">
      <c r="A915" t="s">
        <v>931</v>
      </c>
      <c r="B915" t="s">
        <v>21</v>
      </c>
      <c r="C915">
        <v>5998</v>
      </c>
      <c r="D915">
        <v>17.989999999999998</v>
      </c>
      <c r="E915">
        <v>3.24</v>
      </c>
      <c r="F915">
        <f>COUNTIFS(mdr_rate_cleaned!$A$2:$A$10,B915,mdr_rate_cleaned!$B$2:$B$10,"&lt;"&amp;C915,mdr_rate_cleaned!$F$2:$F$10,"&gt;="&amp;C915)</f>
        <v>1</v>
      </c>
      <c r="G915">
        <v>3.0000000000000001E-3</v>
      </c>
      <c r="H915">
        <v>17.989999999999998</v>
      </c>
      <c r="I915" t="s">
        <v>15</v>
      </c>
      <c r="J915" t="s">
        <v>15</v>
      </c>
      <c r="K915">
        <v>3.24</v>
      </c>
      <c r="L915">
        <v>0</v>
      </c>
    </row>
    <row r="916" spans="1:12" x14ac:dyDescent="0.3">
      <c r="A916" t="s">
        <v>932</v>
      </c>
      <c r="B916" t="s">
        <v>21</v>
      </c>
      <c r="C916">
        <v>599</v>
      </c>
      <c r="D916">
        <v>0</v>
      </c>
      <c r="E916">
        <v>0</v>
      </c>
      <c r="F916">
        <f>COUNTIFS(mdr_rate_cleaned!$A$2:$A$10,B916,mdr_rate_cleaned!$B$2:$B$10,"&lt;"&amp;C916,mdr_rate_cleaned!$F$2:$F$10,"&gt;="&amp;C916)</f>
        <v>1</v>
      </c>
      <c r="G916">
        <v>0</v>
      </c>
      <c r="H916">
        <v>0</v>
      </c>
      <c r="I916" t="s">
        <v>15</v>
      </c>
      <c r="J916" t="s">
        <v>15</v>
      </c>
      <c r="K916">
        <v>0</v>
      </c>
      <c r="L916">
        <v>0</v>
      </c>
    </row>
    <row r="917" spans="1:12" x14ac:dyDescent="0.3">
      <c r="A917" t="s">
        <v>933</v>
      </c>
      <c r="B917" t="s">
        <v>17</v>
      </c>
      <c r="C917">
        <v>8847</v>
      </c>
      <c r="D917">
        <v>141.55000000000001</v>
      </c>
      <c r="E917">
        <v>25.48</v>
      </c>
      <c r="F917">
        <f>COUNTIFS(mdr_rate_cleaned!$A$2:$A$10,B917,mdr_rate_cleaned!$B$2:$B$10,"&lt;"&amp;C917,mdr_rate_cleaned!$F$2:$F$10,"&gt;="&amp;C917)</f>
        <v>1</v>
      </c>
      <c r="G917">
        <v>1.6E-2</v>
      </c>
      <c r="H917">
        <v>141.55000000000001</v>
      </c>
      <c r="I917" t="s">
        <v>15</v>
      </c>
      <c r="J917" t="s">
        <v>15</v>
      </c>
      <c r="K917">
        <v>25.48</v>
      </c>
      <c r="L917">
        <v>0</v>
      </c>
    </row>
    <row r="918" spans="1:12" x14ac:dyDescent="0.3">
      <c r="A918" t="s">
        <v>934</v>
      </c>
      <c r="B918" t="s">
        <v>21</v>
      </c>
      <c r="C918">
        <v>8798</v>
      </c>
      <c r="D918">
        <v>26.39</v>
      </c>
      <c r="E918">
        <v>4.75</v>
      </c>
      <c r="F918">
        <f>COUNTIFS(mdr_rate_cleaned!$A$2:$A$10,B918,mdr_rate_cleaned!$B$2:$B$10,"&lt;"&amp;C918,mdr_rate_cleaned!$F$2:$F$10,"&gt;="&amp;C918)</f>
        <v>1</v>
      </c>
      <c r="G918">
        <v>3.0000000000000001E-3</v>
      </c>
      <c r="H918">
        <v>26.39</v>
      </c>
      <c r="I918" t="s">
        <v>15</v>
      </c>
      <c r="J918" t="s">
        <v>15</v>
      </c>
      <c r="K918">
        <v>4.75</v>
      </c>
      <c r="L918">
        <v>0</v>
      </c>
    </row>
    <row r="919" spans="1:12" x14ac:dyDescent="0.3">
      <c r="A919" t="s">
        <v>935</v>
      </c>
      <c r="B919" t="s">
        <v>21</v>
      </c>
      <c r="C919">
        <v>5348</v>
      </c>
      <c r="D919">
        <v>16.04</v>
      </c>
      <c r="E919">
        <v>2.89</v>
      </c>
      <c r="F919">
        <f>COUNTIFS(mdr_rate_cleaned!$A$2:$A$10,B919,mdr_rate_cleaned!$B$2:$B$10,"&lt;"&amp;C919,mdr_rate_cleaned!$F$2:$F$10,"&gt;="&amp;C919)</f>
        <v>1</v>
      </c>
      <c r="G919">
        <v>3.0000000000000001E-3</v>
      </c>
      <c r="H919">
        <v>16.04</v>
      </c>
      <c r="I919" t="s">
        <v>15</v>
      </c>
      <c r="J919" t="s">
        <v>15</v>
      </c>
      <c r="K919">
        <v>2.89</v>
      </c>
      <c r="L919">
        <v>0</v>
      </c>
    </row>
    <row r="920" spans="1:12" x14ac:dyDescent="0.3">
      <c r="A920" t="s">
        <v>936</v>
      </c>
      <c r="B920" t="s">
        <v>39</v>
      </c>
      <c r="C920">
        <v>1799</v>
      </c>
      <c r="D920">
        <v>26.99</v>
      </c>
      <c r="E920">
        <v>4.8600000000000003</v>
      </c>
      <c r="F920">
        <f>COUNTIFS(mdr_rate_cleaned!$A$2:$A$10,B920,mdr_rate_cleaned!$B$2:$B$10,"&lt;"&amp;C920,mdr_rate_cleaned!$F$2:$F$10,"&gt;="&amp;C920)</f>
        <v>1</v>
      </c>
      <c r="G920">
        <v>1.4999999999999999E-2</v>
      </c>
      <c r="H920">
        <v>26.99</v>
      </c>
      <c r="I920" t="s">
        <v>15</v>
      </c>
      <c r="J920" t="s">
        <v>15</v>
      </c>
      <c r="K920">
        <v>4.8600000000000003</v>
      </c>
      <c r="L920">
        <v>0</v>
      </c>
    </row>
    <row r="921" spans="1:12" x14ac:dyDescent="0.3">
      <c r="A921" t="s">
        <v>937</v>
      </c>
      <c r="B921" t="s">
        <v>39</v>
      </c>
      <c r="C921">
        <v>3298</v>
      </c>
      <c r="D921">
        <v>39.58</v>
      </c>
      <c r="E921">
        <v>7.12</v>
      </c>
      <c r="F921">
        <f>COUNTIFS(mdr_rate_cleaned!$A$2:$A$10,B921,mdr_rate_cleaned!$B$2:$B$10,"&lt;"&amp;C921,mdr_rate_cleaned!$F$2:$F$10,"&gt;="&amp;C921)</f>
        <v>1</v>
      </c>
      <c r="G921">
        <v>1.2E-2</v>
      </c>
      <c r="H921">
        <v>39.58</v>
      </c>
      <c r="I921" t="s">
        <v>15</v>
      </c>
      <c r="J921" t="s">
        <v>15</v>
      </c>
      <c r="K921">
        <v>7.12</v>
      </c>
      <c r="L921">
        <v>0</v>
      </c>
    </row>
    <row r="922" spans="1:12" x14ac:dyDescent="0.3">
      <c r="A922" t="s">
        <v>938</v>
      </c>
      <c r="B922" t="s">
        <v>13</v>
      </c>
      <c r="C922">
        <v>1897</v>
      </c>
      <c r="D922">
        <v>36.04</v>
      </c>
      <c r="E922">
        <v>6.49</v>
      </c>
      <c r="F922">
        <f>COUNTIFS(mdr_rate_cleaned!$A$2:$A$10,B922,mdr_rate_cleaned!$B$2:$B$10,"&lt;"&amp;C922,mdr_rate_cleaned!$F$2:$F$10,"&gt;="&amp;C922)</f>
        <v>1</v>
      </c>
      <c r="G922">
        <v>1.9E-2</v>
      </c>
      <c r="H922">
        <v>36.04</v>
      </c>
      <c r="I922" t="s">
        <v>15</v>
      </c>
      <c r="J922" t="s">
        <v>15</v>
      </c>
      <c r="K922">
        <v>6.49</v>
      </c>
      <c r="L922">
        <v>0</v>
      </c>
    </row>
    <row r="923" spans="1:12" x14ac:dyDescent="0.3">
      <c r="A923" t="s">
        <v>939</v>
      </c>
      <c r="B923" t="s">
        <v>21</v>
      </c>
      <c r="C923">
        <v>4999</v>
      </c>
      <c r="D923">
        <v>15</v>
      </c>
      <c r="E923">
        <v>2.7</v>
      </c>
      <c r="F923">
        <f>COUNTIFS(mdr_rate_cleaned!$A$2:$A$10,B923,mdr_rate_cleaned!$B$2:$B$10,"&lt;"&amp;C923,mdr_rate_cleaned!$F$2:$F$10,"&gt;="&amp;C923)</f>
        <v>1</v>
      </c>
      <c r="G923">
        <v>3.0000000000000001E-3</v>
      </c>
      <c r="H923">
        <v>15</v>
      </c>
      <c r="I923" t="s">
        <v>15</v>
      </c>
      <c r="J923" t="s">
        <v>15</v>
      </c>
      <c r="K923">
        <v>2.7</v>
      </c>
      <c r="L923">
        <v>0</v>
      </c>
    </row>
    <row r="924" spans="1:12" x14ac:dyDescent="0.3">
      <c r="A924" t="s">
        <v>940</v>
      </c>
      <c r="B924" t="s">
        <v>21</v>
      </c>
      <c r="C924">
        <v>299</v>
      </c>
      <c r="D924">
        <v>0</v>
      </c>
      <c r="E924">
        <v>0</v>
      </c>
      <c r="F924">
        <f>COUNTIFS(mdr_rate_cleaned!$A$2:$A$10,B924,mdr_rate_cleaned!$B$2:$B$10,"&lt;"&amp;C924,mdr_rate_cleaned!$F$2:$F$10,"&gt;="&amp;C924)</f>
        <v>1</v>
      </c>
      <c r="G924">
        <v>0</v>
      </c>
      <c r="H924">
        <v>0</v>
      </c>
      <c r="I924" t="s">
        <v>15</v>
      </c>
      <c r="J924" t="s">
        <v>15</v>
      </c>
      <c r="K924">
        <v>0</v>
      </c>
      <c r="L924">
        <v>0</v>
      </c>
    </row>
    <row r="925" spans="1:12" x14ac:dyDescent="0.3">
      <c r="A925" t="s">
        <v>941</v>
      </c>
      <c r="B925" t="s">
        <v>21</v>
      </c>
      <c r="C925">
        <v>3499</v>
      </c>
      <c r="D925">
        <v>10.5</v>
      </c>
      <c r="E925">
        <v>1.89</v>
      </c>
      <c r="F925">
        <f>COUNTIFS(mdr_rate_cleaned!$A$2:$A$10,B925,mdr_rate_cleaned!$B$2:$B$10,"&lt;"&amp;C925,mdr_rate_cleaned!$F$2:$F$10,"&gt;="&amp;C925)</f>
        <v>1</v>
      </c>
      <c r="G925">
        <v>3.0000000000000001E-3</v>
      </c>
      <c r="H925">
        <v>10.5</v>
      </c>
      <c r="I925" t="s">
        <v>15</v>
      </c>
      <c r="J925" t="s">
        <v>15</v>
      </c>
      <c r="K925">
        <v>1.89</v>
      </c>
      <c r="L925">
        <v>0</v>
      </c>
    </row>
    <row r="926" spans="1:12" x14ac:dyDescent="0.3">
      <c r="A926" t="s">
        <v>942</v>
      </c>
      <c r="B926" t="s">
        <v>21</v>
      </c>
      <c r="C926">
        <v>8997</v>
      </c>
      <c r="D926">
        <v>26.99</v>
      </c>
      <c r="E926">
        <v>4.8600000000000003</v>
      </c>
      <c r="F926">
        <f>COUNTIFS(mdr_rate_cleaned!$A$2:$A$10,B926,mdr_rate_cleaned!$B$2:$B$10,"&lt;"&amp;C926,mdr_rate_cleaned!$F$2:$F$10,"&gt;="&amp;C926)</f>
        <v>1</v>
      </c>
      <c r="G926">
        <v>3.0000000000000001E-3</v>
      </c>
      <c r="H926">
        <v>26.99</v>
      </c>
      <c r="I926" t="s">
        <v>15</v>
      </c>
      <c r="J926" t="s">
        <v>15</v>
      </c>
      <c r="K926">
        <v>4.8600000000000003</v>
      </c>
      <c r="L926">
        <v>0</v>
      </c>
    </row>
    <row r="927" spans="1:12" x14ac:dyDescent="0.3">
      <c r="A927" t="s">
        <v>943</v>
      </c>
      <c r="B927" t="s">
        <v>21</v>
      </c>
      <c r="C927">
        <v>8298</v>
      </c>
      <c r="D927">
        <v>24.89</v>
      </c>
      <c r="E927">
        <v>4.4800000000000004</v>
      </c>
      <c r="F927">
        <f>COUNTIFS(mdr_rate_cleaned!$A$2:$A$10,B927,mdr_rate_cleaned!$B$2:$B$10,"&lt;"&amp;C927,mdr_rate_cleaned!$F$2:$F$10,"&gt;="&amp;C927)</f>
        <v>1</v>
      </c>
      <c r="G927">
        <v>3.0000000000000001E-3</v>
      </c>
      <c r="H927">
        <v>24.89</v>
      </c>
      <c r="I927" t="s">
        <v>15</v>
      </c>
      <c r="J927" t="s">
        <v>15</v>
      </c>
      <c r="K927">
        <v>4.4800000000000004</v>
      </c>
      <c r="L927">
        <v>0</v>
      </c>
    </row>
    <row r="928" spans="1:12" x14ac:dyDescent="0.3">
      <c r="A928" t="s">
        <v>944</v>
      </c>
      <c r="B928" t="s">
        <v>21</v>
      </c>
      <c r="C928">
        <v>1598</v>
      </c>
      <c r="D928">
        <v>0</v>
      </c>
      <c r="E928">
        <v>0</v>
      </c>
      <c r="F928">
        <f>COUNTIFS(mdr_rate_cleaned!$A$2:$A$10,B928,mdr_rate_cleaned!$B$2:$B$10,"&lt;"&amp;C928,mdr_rate_cleaned!$F$2:$F$10,"&gt;="&amp;C928)</f>
        <v>1</v>
      </c>
      <c r="G928">
        <v>0</v>
      </c>
      <c r="H928">
        <v>0</v>
      </c>
      <c r="I928" t="s">
        <v>15</v>
      </c>
      <c r="J928" t="s">
        <v>15</v>
      </c>
      <c r="K928">
        <v>0</v>
      </c>
      <c r="L928">
        <v>0</v>
      </c>
    </row>
    <row r="929" spans="1:12" x14ac:dyDescent="0.3">
      <c r="A929" t="s">
        <v>945</v>
      </c>
      <c r="B929" t="s">
        <v>21</v>
      </c>
      <c r="C929">
        <v>3499</v>
      </c>
      <c r="D929">
        <v>10.5</v>
      </c>
      <c r="E929">
        <v>1.89</v>
      </c>
      <c r="F929">
        <f>COUNTIFS(mdr_rate_cleaned!$A$2:$A$10,B929,mdr_rate_cleaned!$B$2:$B$10,"&lt;"&amp;C929,mdr_rate_cleaned!$F$2:$F$10,"&gt;="&amp;C929)</f>
        <v>1</v>
      </c>
      <c r="G929">
        <v>3.0000000000000001E-3</v>
      </c>
      <c r="H929">
        <v>10.5</v>
      </c>
      <c r="I929" t="s">
        <v>15</v>
      </c>
      <c r="J929" t="s">
        <v>15</v>
      </c>
      <c r="K929">
        <v>1.89</v>
      </c>
      <c r="L929">
        <v>0</v>
      </c>
    </row>
    <row r="930" spans="1:12" x14ac:dyDescent="0.3">
      <c r="A930" t="s">
        <v>946</v>
      </c>
      <c r="B930" t="s">
        <v>21</v>
      </c>
      <c r="C930">
        <v>11497</v>
      </c>
      <c r="D930">
        <v>34.49</v>
      </c>
      <c r="E930">
        <v>6.21</v>
      </c>
      <c r="F930">
        <f>COUNTIFS(mdr_rate_cleaned!$A$2:$A$10,B930,mdr_rate_cleaned!$B$2:$B$10,"&lt;"&amp;C930,mdr_rate_cleaned!$F$2:$F$10,"&gt;="&amp;C930)</f>
        <v>1</v>
      </c>
      <c r="G930">
        <v>3.0000000000000001E-3</v>
      </c>
      <c r="H930">
        <v>34.49</v>
      </c>
      <c r="I930" t="s">
        <v>15</v>
      </c>
      <c r="J930" t="s">
        <v>15</v>
      </c>
      <c r="K930">
        <v>6.21</v>
      </c>
      <c r="L930">
        <v>0</v>
      </c>
    </row>
    <row r="931" spans="1:12" x14ac:dyDescent="0.3">
      <c r="A931" t="s">
        <v>947</v>
      </c>
      <c r="B931" t="s">
        <v>21</v>
      </c>
      <c r="C931">
        <v>2848</v>
      </c>
      <c r="D931">
        <v>8.5399999999999991</v>
      </c>
      <c r="E931">
        <v>1.54</v>
      </c>
      <c r="F931">
        <f>COUNTIFS(mdr_rate_cleaned!$A$2:$A$10,B931,mdr_rate_cleaned!$B$2:$B$10,"&lt;"&amp;C931,mdr_rate_cleaned!$F$2:$F$10,"&gt;="&amp;C931)</f>
        <v>1</v>
      </c>
      <c r="G931">
        <v>3.0000000000000001E-3</v>
      </c>
      <c r="H931">
        <v>8.5399999999999991</v>
      </c>
      <c r="I931" t="s">
        <v>15</v>
      </c>
      <c r="J931" t="s">
        <v>15</v>
      </c>
      <c r="K931">
        <v>1.54</v>
      </c>
      <c r="L931">
        <v>0</v>
      </c>
    </row>
    <row r="932" spans="1:12" x14ac:dyDescent="0.3">
      <c r="A932" t="s">
        <v>948</v>
      </c>
      <c r="B932" t="s">
        <v>13</v>
      </c>
      <c r="C932">
        <v>4998</v>
      </c>
      <c r="D932">
        <v>84.97</v>
      </c>
      <c r="E932">
        <v>15.29</v>
      </c>
      <c r="F932">
        <f>COUNTIFS(mdr_rate_cleaned!$A$2:$A$10,B932,mdr_rate_cleaned!$B$2:$B$10,"&lt;"&amp;C932,mdr_rate_cleaned!$F$2:$F$10,"&gt;="&amp;C932)</f>
        <v>1</v>
      </c>
      <c r="G932">
        <v>1.7000000000000001E-2</v>
      </c>
      <c r="H932">
        <v>84.97</v>
      </c>
      <c r="I932" t="s">
        <v>15</v>
      </c>
      <c r="J932" t="s">
        <v>15</v>
      </c>
      <c r="K932">
        <v>15.29</v>
      </c>
      <c r="L932">
        <v>0</v>
      </c>
    </row>
    <row r="933" spans="1:12" x14ac:dyDescent="0.3">
      <c r="A933" t="s">
        <v>949</v>
      </c>
      <c r="B933" t="s">
        <v>21</v>
      </c>
      <c r="C933">
        <v>4597</v>
      </c>
      <c r="D933">
        <v>13.79</v>
      </c>
      <c r="E933">
        <v>2.48</v>
      </c>
      <c r="F933">
        <f>COUNTIFS(mdr_rate_cleaned!$A$2:$A$10,B933,mdr_rate_cleaned!$B$2:$B$10,"&lt;"&amp;C933,mdr_rate_cleaned!$F$2:$F$10,"&gt;="&amp;C933)</f>
        <v>1</v>
      </c>
      <c r="G933">
        <v>3.0000000000000001E-3</v>
      </c>
      <c r="H933">
        <v>13.79</v>
      </c>
      <c r="I933" t="s">
        <v>15</v>
      </c>
      <c r="J933" t="s">
        <v>15</v>
      </c>
      <c r="K933">
        <v>2.48</v>
      </c>
      <c r="L933">
        <v>0</v>
      </c>
    </row>
    <row r="934" spans="1:12" x14ac:dyDescent="0.3">
      <c r="A934" t="s">
        <v>950</v>
      </c>
      <c r="B934" t="s">
        <v>17</v>
      </c>
      <c r="C934">
        <v>5998</v>
      </c>
      <c r="D934">
        <v>95.97</v>
      </c>
      <c r="E934">
        <v>17.27</v>
      </c>
      <c r="F934">
        <f>COUNTIFS(mdr_rate_cleaned!$A$2:$A$10,B934,mdr_rate_cleaned!$B$2:$B$10,"&lt;"&amp;C934,mdr_rate_cleaned!$F$2:$F$10,"&gt;="&amp;C934)</f>
        <v>1</v>
      </c>
      <c r="G934">
        <v>1.6E-2</v>
      </c>
      <c r="H934">
        <v>95.97</v>
      </c>
      <c r="I934" t="s">
        <v>15</v>
      </c>
      <c r="J934" t="s">
        <v>15</v>
      </c>
      <c r="K934">
        <v>17.27</v>
      </c>
      <c r="L934">
        <v>0</v>
      </c>
    </row>
    <row r="935" spans="1:12" x14ac:dyDescent="0.3">
      <c r="A935" t="s">
        <v>951</v>
      </c>
      <c r="B935" t="s">
        <v>21</v>
      </c>
      <c r="C935">
        <v>1798</v>
      </c>
      <c r="D935">
        <v>0</v>
      </c>
      <c r="E935">
        <v>0</v>
      </c>
      <c r="F935">
        <f>COUNTIFS(mdr_rate_cleaned!$A$2:$A$10,B935,mdr_rate_cleaned!$B$2:$B$10,"&lt;"&amp;C935,mdr_rate_cleaned!$F$2:$F$10,"&gt;="&amp;C935)</f>
        <v>1</v>
      </c>
      <c r="G935">
        <v>0</v>
      </c>
      <c r="H935">
        <v>0</v>
      </c>
      <c r="I935" t="s">
        <v>15</v>
      </c>
      <c r="J935" t="s">
        <v>15</v>
      </c>
      <c r="K935">
        <v>0</v>
      </c>
      <c r="L935">
        <v>0</v>
      </c>
    </row>
    <row r="936" spans="1:12" x14ac:dyDescent="0.3">
      <c r="A936" t="s">
        <v>952</v>
      </c>
      <c r="B936" t="s">
        <v>21</v>
      </c>
      <c r="C936">
        <v>7999</v>
      </c>
      <c r="D936">
        <v>24</v>
      </c>
      <c r="E936">
        <v>4.32</v>
      </c>
      <c r="F936">
        <f>COUNTIFS(mdr_rate_cleaned!$A$2:$A$10,B936,mdr_rate_cleaned!$B$2:$B$10,"&lt;"&amp;C936,mdr_rate_cleaned!$F$2:$F$10,"&gt;="&amp;C936)</f>
        <v>1</v>
      </c>
      <c r="G936">
        <v>3.0000000000000001E-3</v>
      </c>
      <c r="H936">
        <v>24</v>
      </c>
      <c r="I936" t="s">
        <v>15</v>
      </c>
      <c r="J936" t="s">
        <v>15</v>
      </c>
      <c r="K936">
        <v>4.32</v>
      </c>
      <c r="L936">
        <v>0</v>
      </c>
    </row>
    <row r="937" spans="1:12" x14ac:dyDescent="0.3">
      <c r="A937" t="s">
        <v>953</v>
      </c>
      <c r="B937" t="s">
        <v>17</v>
      </c>
      <c r="C937">
        <v>799</v>
      </c>
      <c r="D937">
        <v>14.38</v>
      </c>
      <c r="E937">
        <v>2.59</v>
      </c>
      <c r="F937">
        <f>COUNTIFS(mdr_rate_cleaned!$A$2:$A$10,B937,mdr_rate_cleaned!$B$2:$B$10,"&lt;"&amp;C937,mdr_rate_cleaned!$F$2:$F$10,"&gt;="&amp;C937)</f>
        <v>1</v>
      </c>
      <c r="G937">
        <v>1.7999999999999999E-2</v>
      </c>
      <c r="H937">
        <v>14.38</v>
      </c>
      <c r="I937" t="s">
        <v>15</v>
      </c>
      <c r="J937" t="s">
        <v>15</v>
      </c>
      <c r="K937">
        <v>2.59</v>
      </c>
      <c r="L937">
        <v>0</v>
      </c>
    </row>
    <row r="938" spans="1:12" x14ac:dyDescent="0.3">
      <c r="A938" t="s">
        <v>954</v>
      </c>
      <c r="B938" t="s">
        <v>39</v>
      </c>
      <c r="C938">
        <v>6298</v>
      </c>
      <c r="D938">
        <v>75.58</v>
      </c>
      <c r="E938">
        <v>13.6</v>
      </c>
      <c r="F938">
        <f>COUNTIFS(mdr_rate_cleaned!$A$2:$A$10,B938,mdr_rate_cleaned!$B$2:$B$10,"&lt;"&amp;C938,mdr_rate_cleaned!$F$2:$F$10,"&gt;="&amp;C938)</f>
        <v>1</v>
      </c>
      <c r="G938">
        <v>1.2E-2</v>
      </c>
      <c r="H938">
        <v>75.58</v>
      </c>
      <c r="I938" t="s">
        <v>15</v>
      </c>
      <c r="J938" t="s">
        <v>15</v>
      </c>
      <c r="K938">
        <v>13.6</v>
      </c>
      <c r="L938">
        <v>0</v>
      </c>
    </row>
    <row r="939" spans="1:12" x14ac:dyDescent="0.3">
      <c r="A939" t="s">
        <v>955</v>
      </c>
      <c r="B939" t="s">
        <v>21</v>
      </c>
      <c r="C939">
        <v>1998</v>
      </c>
      <c r="D939">
        <v>0</v>
      </c>
      <c r="E939">
        <v>0</v>
      </c>
      <c r="F939">
        <f>COUNTIFS(mdr_rate_cleaned!$A$2:$A$10,B939,mdr_rate_cleaned!$B$2:$B$10,"&lt;"&amp;C939,mdr_rate_cleaned!$F$2:$F$10,"&gt;="&amp;C939)</f>
        <v>1</v>
      </c>
      <c r="G939">
        <v>0</v>
      </c>
      <c r="H939">
        <v>0</v>
      </c>
      <c r="I939" t="s">
        <v>15</v>
      </c>
      <c r="J939" t="s">
        <v>15</v>
      </c>
      <c r="K939">
        <v>0</v>
      </c>
      <c r="L939">
        <v>0</v>
      </c>
    </row>
    <row r="940" spans="1:12" x14ac:dyDescent="0.3">
      <c r="A940" t="s">
        <v>956</v>
      </c>
      <c r="B940" t="s">
        <v>21</v>
      </c>
      <c r="C940">
        <v>349</v>
      </c>
      <c r="D940">
        <v>0</v>
      </c>
      <c r="E940">
        <v>0</v>
      </c>
      <c r="F940">
        <f>COUNTIFS(mdr_rate_cleaned!$A$2:$A$10,B940,mdr_rate_cleaned!$B$2:$B$10,"&lt;"&amp;C940,mdr_rate_cleaned!$F$2:$F$10,"&gt;="&amp;C940)</f>
        <v>1</v>
      </c>
      <c r="G940">
        <v>0</v>
      </c>
      <c r="H940">
        <v>0</v>
      </c>
      <c r="I940" t="s">
        <v>15</v>
      </c>
      <c r="J940" t="s">
        <v>15</v>
      </c>
      <c r="K940">
        <v>0</v>
      </c>
      <c r="L940">
        <v>0</v>
      </c>
    </row>
    <row r="941" spans="1:12" x14ac:dyDescent="0.3">
      <c r="A941" t="s">
        <v>957</v>
      </c>
      <c r="B941" t="s">
        <v>21</v>
      </c>
      <c r="C941">
        <v>1299</v>
      </c>
      <c r="D941">
        <v>0</v>
      </c>
      <c r="E941">
        <v>0</v>
      </c>
      <c r="F941">
        <f>COUNTIFS(mdr_rate_cleaned!$A$2:$A$10,B941,mdr_rate_cleaned!$B$2:$B$10,"&lt;"&amp;C941,mdr_rate_cleaned!$F$2:$F$10,"&gt;="&amp;C941)</f>
        <v>1</v>
      </c>
      <c r="G941">
        <v>0</v>
      </c>
      <c r="H941">
        <v>0</v>
      </c>
      <c r="I941" t="s">
        <v>15</v>
      </c>
      <c r="J941" t="s">
        <v>15</v>
      </c>
      <c r="K941">
        <v>0</v>
      </c>
      <c r="L941">
        <v>0</v>
      </c>
    </row>
    <row r="942" spans="1:12" x14ac:dyDescent="0.3">
      <c r="A942" t="s">
        <v>958</v>
      </c>
      <c r="B942" t="s">
        <v>21</v>
      </c>
      <c r="C942">
        <v>1848</v>
      </c>
      <c r="D942">
        <v>0</v>
      </c>
      <c r="E942">
        <v>0</v>
      </c>
      <c r="F942">
        <f>COUNTIFS(mdr_rate_cleaned!$A$2:$A$10,B942,mdr_rate_cleaned!$B$2:$B$10,"&lt;"&amp;C942,mdr_rate_cleaned!$F$2:$F$10,"&gt;="&amp;C942)</f>
        <v>1</v>
      </c>
      <c r="G942">
        <v>0</v>
      </c>
      <c r="H942">
        <v>0</v>
      </c>
      <c r="I942" t="s">
        <v>15</v>
      </c>
      <c r="J942" t="s">
        <v>15</v>
      </c>
      <c r="K942">
        <v>0</v>
      </c>
      <c r="L942">
        <v>0</v>
      </c>
    </row>
    <row r="943" spans="1:12" x14ac:dyDescent="0.3">
      <c r="A943" t="s">
        <v>959</v>
      </c>
      <c r="B943" t="s">
        <v>21</v>
      </c>
      <c r="C943">
        <v>799</v>
      </c>
      <c r="D943">
        <v>0</v>
      </c>
      <c r="E943">
        <v>0</v>
      </c>
      <c r="F943">
        <f>COUNTIFS(mdr_rate_cleaned!$A$2:$A$10,B943,mdr_rate_cleaned!$B$2:$B$10,"&lt;"&amp;C943,mdr_rate_cleaned!$F$2:$F$10,"&gt;="&amp;C943)</f>
        <v>1</v>
      </c>
      <c r="G943">
        <v>0</v>
      </c>
      <c r="H943">
        <v>0</v>
      </c>
      <c r="I943" t="s">
        <v>15</v>
      </c>
      <c r="J943" t="s">
        <v>15</v>
      </c>
      <c r="K943">
        <v>0</v>
      </c>
      <c r="L943">
        <v>0</v>
      </c>
    </row>
    <row r="944" spans="1:12" x14ac:dyDescent="0.3">
      <c r="A944" t="s">
        <v>960</v>
      </c>
      <c r="B944" t="s">
        <v>21</v>
      </c>
      <c r="C944">
        <v>999</v>
      </c>
      <c r="D944">
        <v>0</v>
      </c>
      <c r="E944">
        <v>0</v>
      </c>
      <c r="F944">
        <f>COUNTIFS(mdr_rate_cleaned!$A$2:$A$10,B944,mdr_rate_cleaned!$B$2:$B$10,"&lt;"&amp;C944,mdr_rate_cleaned!$F$2:$F$10,"&gt;="&amp;C944)</f>
        <v>1</v>
      </c>
      <c r="G944">
        <v>0</v>
      </c>
      <c r="H944">
        <v>0</v>
      </c>
      <c r="I944" t="s">
        <v>15</v>
      </c>
      <c r="J944" t="s">
        <v>15</v>
      </c>
      <c r="K944">
        <v>0</v>
      </c>
      <c r="L944">
        <v>0</v>
      </c>
    </row>
    <row r="945" spans="1:12" x14ac:dyDescent="0.3">
      <c r="A945" t="s">
        <v>961</v>
      </c>
      <c r="B945" t="s">
        <v>21</v>
      </c>
      <c r="C945">
        <v>5097</v>
      </c>
      <c r="D945">
        <v>15.29</v>
      </c>
      <c r="E945">
        <v>2.75</v>
      </c>
      <c r="F945">
        <f>COUNTIFS(mdr_rate_cleaned!$A$2:$A$10,B945,mdr_rate_cleaned!$B$2:$B$10,"&lt;"&amp;C945,mdr_rate_cleaned!$F$2:$F$10,"&gt;="&amp;C945)</f>
        <v>1</v>
      </c>
      <c r="G945">
        <v>3.0000000000000001E-3</v>
      </c>
      <c r="H945">
        <v>15.29</v>
      </c>
      <c r="I945" t="s">
        <v>15</v>
      </c>
      <c r="J945" t="s">
        <v>15</v>
      </c>
      <c r="K945">
        <v>2.75</v>
      </c>
      <c r="L945">
        <v>0</v>
      </c>
    </row>
    <row r="946" spans="1:12" x14ac:dyDescent="0.3">
      <c r="A946" t="s">
        <v>962</v>
      </c>
      <c r="B946" t="s">
        <v>17</v>
      </c>
      <c r="C946">
        <v>7999</v>
      </c>
      <c r="D946">
        <v>127.98</v>
      </c>
      <c r="E946">
        <v>23.04</v>
      </c>
      <c r="F946">
        <f>COUNTIFS(mdr_rate_cleaned!$A$2:$A$10,B946,mdr_rate_cleaned!$B$2:$B$10,"&lt;"&amp;C946,mdr_rate_cleaned!$F$2:$F$10,"&gt;="&amp;C946)</f>
        <v>1</v>
      </c>
      <c r="G946">
        <v>1.6E-2</v>
      </c>
      <c r="H946">
        <v>127.98</v>
      </c>
      <c r="I946" t="s">
        <v>15</v>
      </c>
      <c r="J946" t="s">
        <v>15</v>
      </c>
      <c r="K946">
        <v>23.04</v>
      </c>
      <c r="L946">
        <v>0</v>
      </c>
    </row>
    <row r="947" spans="1:12" x14ac:dyDescent="0.3">
      <c r="A947" t="s">
        <v>963</v>
      </c>
      <c r="B947" t="s">
        <v>21</v>
      </c>
      <c r="C947">
        <v>4999</v>
      </c>
      <c r="D947">
        <v>15</v>
      </c>
      <c r="E947">
        <v>2.7</v>
      </c>
      <c r="F947">
        <f>COUNTIFS(mdr_rate_cleaned!$A$2:$A$10,B947,mdr_rate_cleaned!$B$2:$B$10,"&lt;"&amp;C947,mdr_rate_cleaned!$F$2:$F$10,"&gt;="&amp;C947)</f>
        <v>1</v>
      </c>
      <c r="G947">
        <v>3.0000000000000001E-3</v>
      </c>
      <c r="H947">
        <v>15</v>
      </c>
      <c r="I947" t="s">
        <v>15</v>
      </c>
      <c r="J947" t="s">
        <v>15</v>
      </c>
      <c r="K947">
        <v>2.7</v>
      </c>
      <c r="L947">
        <v>0</v>
      </c>
    </row>
    <row r="948" spans="1:12" x14ac:dyDescent="0.3">
      <c r="A948" t="s">
        <v>964</v>
      </c>
      <c r="B948" t="s">
        <v>17</v>
      </c>
      <c r="C948">
        <v>12297</v>
      </c>
      <c r="D948">
        <v>196.75</v>
      </c>
      <c r="E948">
        <v>35.42</v>
      </c>
      <c r="F948">
        <f>COUNTIFS(mdr_rate_cleaned!$A$2:$A$10,B948,mdr_rate_cleaned!$B$2:$B$10,"&lt;"&amp;C948,mdr_rate_cleaned!$F$2:$F$10,"&gt;="&amp;C948)</f>
        <v>1</v>
      </c>
      <c r="G948">
        <v>1.6E-2</v>
      </c>
      <c r="H948">
        <v>196.75</v>
      </c>
      <c r="I948" t="s">
        <v>15</v>
      </c>
      <c r="J948" t="s">
        <v>15</v>
      </c>
      <c r="K948">
        <v>35.42</v>
      </c>
      <c r="L948">
        <v>0</v>
      </c>
    </row>
    <row r="949" spans="1:12" x14ac:dyDescent="0.3">
      <c r="A949" t="s">
        <v>965</v>
      </c>
      <c r="B949" t="s">
        <v>21</v>
      </c>
      <c r="C949">
        <v>4498</v>
      </c>
      <c r="D949">
        <v>13.49</v>
      </c>
      <c r="E949">
        <v>2.4300000000000002</v>
      </c>
      <c r="F949">
        <f>COUNTIFS(mdr_rate_cleaned!$A$2:$A$10,B949,mdr_rate_cleaned!$B$2:$B$10,"&lt;"&amp;C949,mdr_rate_cleaned!$F$2:$F$10,"&gt;="&amp;C949)</f>
        <v>1</v>
      </c>
      <c r="G949">
        <v>3.0000000000000001E-3</v>
      </c>
      <c r="H949">
        <v>13.49</v>
      </c>
      <c r="I949" t="s">
        <v>15</v>
      </c>
      <c r="J949" t="s">
        <v>15</v>
      </c>
      <c r="K949">
        <v>2.4300000000000002</v>
      </c>
      <c r="L949">
        <v>0</v>
      </c>
    </row>
    <row r="950" spans="1:12" x14ac:dyDescent="0.3">
      <c r="A950" t="s">
        <v>966</v>
      </c>
      <c r="B950" t="s">
        <v>21</v>
      </c>
      <c r="C950">
        <v>1998</v>
      </c>
      <c r="D950">
        <v>0</v>
      </c>
      <c r="E950">
        <v>0</v>
      </c>
      <c r="F950">
        <f>COUNTIFS(mdr_rate_cleaned!$A$2:$A$10,B950,mdr_rate_cleaned!$B$2:$B$10,"&lt;"&amp;C950,mdr_rate_cleaned!$F$2:$F$10,"&gt;="&amp;C950)</f>
        <v>1</v>
      </c>
      <c r="G950">
        <v>0</v>
      </c>
      <c r="H950">
        <v>0</v>
      </c>
      <c r="I950" t="s">
        <v>15</v>
      </c>
      <c r="J950" t="s">
        <v>15</v>
      </c>
      <c r="K950">
        <v>0</v>
      </c>
      <c r="L950">
        <v>0</v>
      </c>
    </row>
    <row r="951" spans="1:12" x14ac:dyDescent="0.3">
      <c r="A951" t="s">
        <v>967</v>
      </c>
      <c r="B951" t="s">
        <v>17</v>
      </c>
      <c r="C951">
        <v>349</v>
      </c>
      <c r="D951">
        <v>6.28</v>
      </c>
      <c r="E951">
        <v>1.1299999999999999</v>
      </c>
      <c r="F951">
        <f>COUNTIFS(mdr_rate_cleaned!$A$2:$A$10,B951,mdr_rate_cleaned!$B$2:$B$10,"&lt;"&amp;C951,mdr_rate_cleaned!$F$2:$F$10,"&gt;="&amp;C951)</f>
        <v>1</v>
      </c>
      <c r="G951">
        <v>1.7999999999999999E-2</v>
      </c>
      <c r="H951">
        <v>6.28</v>
      </c>
      <c r="I951" t="s">
        <v>15</v>
      </c>
      <c r="J951" t="s">
        <v>15</v>
      </c>
      <c r="K951">
        <v>1.1299999999999999</v>
      </c>
      <c r="L951">
        <v>0</v>
      </c>
    </row>
    <row r="952" spans="1:12" x14ac:dyDescent="0.3">
      <c r="A952" t="s">
        <v>968</v>
      </c>
      <c r="B952" t="s">
        <v>17</v>
      </c>
      <c r="C952">
        <v>3498</v>
      </c>
      <c r="D952">
        <v>55.97</v>
      </c>
      <c r="E952">
        <v>10.07</v>
      </c>
      <c r="F952">
        <f>COUNTIFS(mdr_rate_cleaned!$A$2:$A$10,B952,mdr_rate_cleaned!$B$2:$B$10,"&lt;"&amp;C952,mdr_rate_cleaned!$F$2:$F$10,"&gt;="&amp;C952)</f>
        <v>1</v>
      </c>
      <c r="G952">
        <v>1.6E-2</v>
      </c>
      <c r="H952">
        <v>55.97</v>
      </c>
      <c r="I952" t="s">
        <v>15</v>
      </c>
      <c r="J952" t="s">
        <v>15</v>
      </c>
      <c r="K952">
        <v>10.07</v>
      </c>
      <c r="L952">
        <v>0</v>
      </c>
    </row>
    <row r="953" spans="1:12" x14ac:dyDescent="0.3">
      <c r="A953" t="s">
        <v>969</v>
      </c>
      <c r="B953" t="s">
        <v>39</v>
      </c>
      <c r="C953">
        <v>599</v>
      </c>
      <c r="D953">
        <v>8.99</v>
      </c>
      <c r="E953">
        <v>1.62</v>
      </c>
      <c r="F953">
        <f>COUNTIFS(mdr_rate_cleaned!$A$2:$A$10,B953,mdr_rate_cleaned!$B$2:$B$10,"&lt;"&amp;C953,mdr_rate_cleaned!$F$2:$F$10,"&gt;="&amp;C953)</f>
        <v>1</v>
      </c>
      <c r="G953">
        <v>1.4999999999999999E-2</v>
      </c>
      <c r="H953">
        <v>8.99</v>
      </c>
      <c r="I953" t="s">
        <v>15</v>
      </c>
      <c r="J953" t="s">
        <v>15</v>
      </c>
      <c r="K953">
        <v>1.62</v>
      </c>
      <c r="L953">
        <v>0</v>
      </c>
    </row>
    <row r="954" spans="1:12" x14ac:dyDescent="0.3">
      <c r="A954" t="s">
        <v>970</v>
      </c>
      <c r="B954" t="s">
        <v>17</v>
      </c>
      <c r="C954">
        <v>6397</v>
      </c>
      <c r="D954">
        <v>102.35</v>
      </c>
      <c r="E954">
        <v>18.420000000000002</v>
      </c>
      <c r="F954">
        <f>COUNTIFS(mdr_rate_cleaned!$A$2:$A$10,B954,mdr_rate_cleaned!$B$2:$B$10,"&lt;"&amp;C954,mdr_rate_cleaned!$F$2:$F$10,"&gt;="&amp;C954)</f>
        <v>1</v>
      </c>
      <c r="G954">
        <v>1.6E-2</v>
      </c>
      <c r="H954">
        <v>102.35</v>
      </c>
      <c r="I954" t="s">
        <v>15</v>
      </c>
      <c r="J954" t="s">
        <v>15</v>
      </c>
      <c r="K954">
        <v>18.420000000000002</v>
      </c>
      <c r="L954">
        <v>0</v>
      </c>
    </row>
    <row r="955" spans="1:12" x14ac:dyDescent="0.3">
      <c r="A955" t="s">
        <v>971</v>
      </c>
      <c r="B955" t="s">
        <v>21</v>
      </c>
      <c r="C955">
        <v>1799</v>
      </c>
      <c r="D955">
        <v>0</v>
      </c>
      <c r="E955">
        <v>0</v>
      </c>
      <c r="F955">
        <f>COUNTIFS(mdr_rate_cleaned!$A$2:$A$10,B955,mdr_rate_cleaned!$B$2:$B$10,"&lt;"&amp;C955,mdr_rate_cleaned!$F$2:$F$10,"&gt;="&amp;C955)</f>
        <v>1</v>
      </c>
      <c r="G955">
        <v>0</v>
      </c>
      <c r="H955">
        <v>0</v>
      </c>
      <c r="I955" t="s">
        <v>15</v>
      </c>
      <c r="J955" t="s">
        <v>15</v>
      </c>
      <c r="K955">
        <v>0</v>
      </c>
      <c r="L955">
        <v>0</v>
      </c>
    </row>
    <row r="956" spans="1:12" x14ac:dyDescent="0.3">
      <c r="A956" t="s">
        <v>972</v>
      </c>
      <c r="B956" t="s">
        <v>21</v>
      </c>
      <c r="C956">
        <v>9997</v>
      </c>
      <c r="D956">
        <v>29.99</v>
      </c>
      <c r="E956">
        <v>5.4</v>
      </c>
      <c r="F956">
        <f>COUNTIFS(mdr_rate_cleaned!$A$2:$A$10,B956,mdr_rate_cleaned!$B$2:$B$10,"&lt;"&amp;C956,mdr_rate_cleaned!$F$2:$F$10,"&gt;="&amp;C956)</f>
        <v>1</v>
      </c>
      <c r="G956">
        <v>3.0000000000000001E-3</v>
      </c>
      <c r="H956">
        <v>29.99</v>
      </c>
      <c r="I956" t="s">
        <v>15</v>
      </c>
      <c r="J956" t="s">
        <v>15</v>
      </c>
      <c r="K956">
        <v>5.4</v>
      </c>
      <c r="L956">
        <v>0</v>
      </c>
    </row>
    <row r="957" spans="1:12" x14ac:dyDescent="0.3">
      <c r="A957" t="s">
        <v>973</v>
      </c>
      <c r="B957" t="s">
        <v>21</v>
      </c>
      <c r="C957">
        <v>1799</v>
      </c>
      <c r="D957">
        <v>0</v>
      </c>
      <c r="E957">
        <v>0</v>
      </c>
      <c r="F957">
        <f>COUNTIFS(mdr_rate_cleaned!$A$2:$A$10,B957,mdr_rate_cleaned!$B$2:$B$10,"&lt;"&amp;C957,mdr_rate_cleaned!$F$2:$F$10,"&gt;="&amp;C957)</f>
        <v>1</v>
      </c>
      <c r="G957">
        <v>0</v>
      </c>
      <c r="H957">
        <v>0</v>
      </c>
      <c r="I957" t="s">
        <v>15</v>
      </c>
      <c r="J957" t="s">
        <v>15</v>
      </c>
      <c r="K957">
        <v>0</v>
      </c>
      <c r="L957">
        <v>0</v>
      </c>
    </row>
    <row r="958" spans="1:12" x14ac:dyDescent="0.3">
      <c r="A958" t="s">
        <v>974</v>
      </c>
      <c r="B958" t="s">
        <v>21</v>
      </c>
      <c r="C958">
        <v>4999</v>
      </c>
      <c r="D958">
        <v>15</v>
      </c>
      <c r="E958">
        <v>2.7</v>
      </c>
      <c r="F958">
        <f>COUNTIFS(mdr_rate_cleaned!$A$2:$A$10,B958,mdr_rate_cleaned!$B$2:$B$10,"&lt;"&amp;C958,mdr_rate_cleaned!$F$2:$F$10,"&gt;="&amp;C958)</f>
        <v>1</v>
      </c>
      <c r="G958">
        <v>3.0000000000000001E-3</v>
      </c>
      <c r="H958">
        <v>15</v>
      </c>
      <c r="I958" t="s">
        <v>15</v>
      </c>
      <c r="J958" t="s">
        <v>15</v>
      </c>
      <c r="K958">
        <v>2.7</v>
      </c>
      <c r="L958">
        <v>0</v>
      </c>
    </row>
    <row r="959" spans="1:12" x14ac:dyDescent="0.3">
      <c r="A959" t="s">
        <v>975</v>
      </c>
      <c r="B959" t="s">
        <v>21</v>
      </c>
      <c r="C959">
        <v>3848</v>
      </c>
      <c r="D959">
        <v>11.54</v>
      </c>
      <c r="E959">
        <v>2.08</v>
      </c>
      <c r="F959">
        <f>COUNTIFS(mdr_rate_cleaned!$A$2:$A$10,B959,mdr_rate_cleaned!$B$2:$B$10,"&lt;"&amp;C959,mdr_rate_cleaned!$F$2:$F$10,"&gt;="&amp;C959)</f>
        <v>1</v>
      </c>
      <c r="G959">
        <v>3.0000000000000001E-3</v>
      </c>
      <c r="H959">
        <v>11.54</v>
      </c>
      <c r="I959" t="s">
        <v>15</v>
      </c>
      <c r="J959" t="s">
        <v>15</v>
      </c>
      <c r="K959">
        <v>2.08</v>
      </c>
      <c r="L959">
        <v>0</v>
      </c>
    </row>
    <row r="960" spans="1:12" x14ac:dyDescent="0.3">
      <c r="A960" t="s">
        <v>976</v>
      </c>
      <c r="B960" t="s">
        <v>21</v>
      </c>
      <c r="C960">
        <v>499</v>
      </c>
      <c r="D960">
        <v>0</v>
      </c>
      <c r="E960">
        <v>0</v>
      </c>
      <c r="F960">
        <f>COUNTIFS(mdr_rate_cleaned!$A$2:$A$10,B960,mdr_rate_cleaned!$B$2:$B$10,"&lt;"&amp;C960,mdr_rate_cleaned!$F$2:$F$10,"&gt;="&amp;C960)</f>
        <v>1</v>
      </c>
      <c r="G960">
        <v>0</v>
      </c>
      <c r="H960">
        <v>0</v>
      </c>
      <c r="I960" t="s">
        <v>15</v>
      </c>
      <c r="J960" t="s">
        <v>15</v>
      </c>
      <c r="K960">
        <v>0</v>
      </c>
      <c r="L960">
        <v>0</v>
      </c>
    </row>
    <row r="961" spans="1:12" x14ac:dyDescent="0.3">
      <c r="A961" t="s">
        <v>977</v>
      </c>
      <c r="B961" t="s">
        <v>17</v>
      </c>
      <c r="C961">
        <v>1799</v>
      </c>
      <c r="D961">
        <v>32.380000000000003</v>
      </c>
      <c r="E961">
        <v>5.83</v>
      </c>
      <c r="F961">
        <f>COUNTIFS(mdr_rate_cleaned!$A$2:$A$10,B961,mdr_rate_cleaned!$B$2:$B$10,"&lt;"&amp;C961,mdr_rate_cleaned!$F$2:$F$10,"&gt;="&amp;C961)</f>
        <v>1</v>
      </c>
      <c r="G961">
        <v>1.7999999999999999E-2</v>
      </c>
      <c r="H961">
        <v>32.380000000000003</v>
      </c>
      <c r="I961" t="s">
        <v>15</v>
      </c>
      <c r="J961" t="s">
        <v>15</v>
      </c>
      <c r="K961">
        <v>5.83</v>
      </c>
      <c r="L961">
        <v>0</v>
      </c>
    </row>
    <row r="962" spans="1:12" x14ac:dyDescent="0.3">
      <c r="A962" t="s">
        <v>978</v>
      </c>
      <c r="B962" t="s">
        <v>21</v>
      </c>
      <c r="C962">
        <v>798</v>
      </c>
      <c r="D962">
        <v>0</v>
      </c>
      <c r="E962">
        <v>0</v>
      </c>
      <c r="F962">
        <f>COUNTIFS(mdr_rate_cleaned!$A$2:$A$10,B962,mdr_rate_cleaned!$B$2:$B$10,"&lt;"&amp;C962,mdr_rate_cleaned!$F$2:$F$10,"&gt;="&amp;C962)</f>
        <v>1</v>
      </c>
      <c r="G962">
        <v>0</v>
      </c>
      <c r="H962">
        <v>0</v>
      </c>
      <c r="I962" t="s">
        <v>15</v>
      </c>
      <c r="J962" t="s">
        <v>15</v>
      </c>
      <c r="K962">
        <v>0</v>
      </c>
      <c r="L962">
        <v>0</v>
      </c>
    </row>
    <row r="963" spans="1:12" x14ac:dyDescent="0.3">
      <c r="A963" t="s">
        <v>979</v>
      </c>
      <c r="B963" t="s">
        <v>17</v>
      </c>
      <c r="C963">
        <v>599</v>
      </c>
      <c r="D963">
        <v>10.78</v>
      </c>
      <c r="E963">
        <v>1.94</v>
      </c>
      <c r="F963">
        <f>COUNTIFS(mdr_rate_cleaned!$A$2:$A$10,B963,mdr_rate_cleaned!$B$2:$B$10,"&lt;"&amp;C963,mdr_rate_cleaned!$F$2:$F$10,"&gt;="&amp;C963)</f>
        <v>1</v>
      </c>
      <c r="G963">
        <v>1.7999999999999999E-2</v>
      </c>
      <c r="H963">
        <v>10.78</v>
      </c>
      <c r="I963" t="s">
        <v>15</v>
      </c>
      <c r="J963" t="s">
        <v>15</v>
      </c>
      <c r="K963">
        <v>1.94</v>
      </c>
      <c r="L963">
        <v>0</v>
      </c>
    </row>
    <row r="964" spans="1:12" x14ac:dyDescent="0.3">
      <c r="A964" t="s">
        <v>980</v>
      </c>
      <c r="B964" t="s">
        <v>21</v>
      </c>
      <c r="C964">
        <v>5998</v>
      </c>
      <c r="D964">
        <v>17.989999999999998</v>
      </c>
      <c r="E964">
        <v>3.24</v>
      </c>
      <c r="F964">
        <f>COUNTIFS(mdr_rate_cleaned!$A$2:$A$10,B964,mdr_rate_cleaned!$B$2:$B$10,"&lt;"&amp;C964,mdr_rate_cleaned!$F$2:$F$10,"&gt;="&amp;C964)</f>
        <v>1</v>
      </c>
      <c r="G964">
        <v>3.0000000000000001E-3</v>
      </c>
      <c r="H964">
        <v>17.989999999999998</v>
      </c>
      <c r="I964" t="s">
        <v>15</v>
      </c>
      <c r="J964" t="s">
        <v>15</v>
      </c>
      <c r="K964">
        <v>3.24</v>
      </c>
      <c r="L964">
        <v>0</v>
      </c>
    </row>
    <row r="965" spans="1:12" x14ac:dyDescent="0.3">
      <c r="A965" t="s">
        <v>981</v>
      </c>
      <c r="B965" t="s">
        <v>21</v>
      </c>
      <c r="C965">
        <v>2798</v>
      </c>
      <c r="D965">
        <v>8.39</v>
      </c>
      <c r="E965">
        <v>1.51</v>
      </c>
      <c r="F965">
        <f>COUNTIFS(mdr_rate_cleaned!$A$2:$A$10,B965,mdr_rate_cleaned!$B$2:$B$10,"&lt;"&amp;C965,mdr_rate_cleaned!$F$2:$F$10,"&gt;="&amp;C965)</f>
        <v>1</v>
      </c>
      <c r="G965">
        <v>3.0000000000000001E-3</v>
      </c>
      <c r="H965">
        <v>8.39</v>
      </c>
      <c r="I965" t="s">
        <v>15</v>
      </c>
      <c r="J965" t="s">
        <v>15</v>
      </c>
      <c r="K965">
        <v>1.51</v>
      </c>
      <c r="L965">
        <v>0</v>
      </c>
    </row>
    <row r="966" spans="1:12" x14ac:dyDescent="0.3">
      <c r="A966" t="s">
        <v>982</v>
      </c>
      <c r="B966" t="s">
        <v>17</v>
      </c>
      <c r="C966">
        <v>5598</v>
      </c>
      <c r="D966">
        <v>89.57</v>
      </c>
      <c r="E966">
        <v>16.12</v>
      </c>
      <c r="F966">
        <f>COUNTIFS(mdr_rate_cleaned!$A$2:$A$10,B966,mdr_rate_cleaned!$B$2:$B$10,"&lt;"&amp;C966,mdr_rate_cleaned!$F$2:$F$10,"&gt;="&amp;C966)</f>
        <v>1</v>
      </c>
      <c r="G966">
        <v>1.6E-2</v>
      </c>
      <c r="H966">
        <v>89.57</v>
      </c>
      <c r="I966" t="s">
        <v>15</v>
      </c>
      <c r="J966" t="s">
        <v>15</v>
      </c>
      <c r="K966">
        <v>16.12</v>
      </c>
      <c r="L966">
        <v>0</v>
      </c>
    </row>
    <row r="967" spans="1:12" x14ac:dyDescent="0.3">
      <c r="A967" t="s">
        <v>983</v>
      </c>
      <c r="B967" t="s">
        <v>21</v>
      </c>
      <c r="C967">
        <v>648</v>
      </c>
      <c r="D967">
        <v>0</v>
      </c>
      <c r="E967">
        <v>0</v>
      </c>
      <c r="F967">
        <f>COUNTIFS(mdr_rate_cleaned!$A$2:$A$10,B967,mdr_rate_cleaned!$B$2:$B$10,"&lt;"&amp;C967,mdr_rate_cleaned!$F$2:$F$10,"&gt;="&amp;C967)</f>
        <v>1</v>
      </c>
      <c r="G967">
        <v>0</v>
      </c>
      <c r="H967">
        <v>0</v>
      </c>
      <c r="I967" t="s">
        <v>15</v>
      </c>
      <c r="J967" t="s">
        <v>15</v>
      </c>
      <c r="K967">
        <v>0</v>
      </c>
      <c r="L967">
        <v>0</v>
      </c>
    </row>
    <row r="968" spans="1:12" x14ac:dyDescent="0.3">
      <c r="A968" t="s">
        <v>984</v>
      </c>
      <c r="B968" t="s">
        <v>17</v>
      </c>
      <c r="C968">
        <v>299</v>
      </c>
      <c r="D968">
        <v>5.38</v>
      </c>
      <c r="E968">
        <v>0.97</v>
      </c>
      <c r="F968">
        <f>COUNTIFS(mdr_rate_cleaned!$A$2:$A$10,B968,mdr_rate_cleaned!$B$2:$B$10,"&lt;"&amp;C968,mdr_rate_cleaned!$F$2:$F$10,"&gt;="&amp;C968)</f>
        <v>1</v>
      </c>
      <c r="G968">
        <v>1.7999999999999999E-2</v>
      </c>
      <c r="H968">
        <v>5.38</v>
      </c>
      <c r="I968" t="s">
        <v>15</v>
      </c>
      <c r="J968" t="s">
        <v>15</v>
      </c>
      <c r="K968">
        <v>0.97</v>
      </c>
      <c r="L968">
        <v>0</v>
      </c>
    </row>
    <row r="969" spans="1:12" x14ac:dyDescent="0.3">
      <c r="A969" t="s">
        <v>985</v>
      </c>
      <c r="B969" t="s">
        <v>13</v>
      </c>
      <c r="C969">
        <v>499</v>
      </c>
      <c r="D969">
        <v>9.48</v>
      </c>
      <c r="E969">
        <v>1.71</v>
      </c>
      <c r="F969">
        <f>COUNTIFS(mdr_rate_cleaned!$A$2:$A$10,B969,mdr_rate_cleaned!$B$2:$B$10,"&lt;"&amp;C969,mdr_rate_cleaned!$F$2:$F$10,"&gt;="&amp;C969)</f>
        <v>1</v>
      </c>
      <c r="G969">
        <v>1.9E-2</v>
      </c>
      <c r="H969">
        <v>9.48</v>
      </c>
      <c r="I969" t="s">
        <v>15</v>
      </c>
      <c r="J969" t="s">
        <v>15</v>
      </c>
      <c r="K969">
        <v>1.71</v>
      </c>
      <c r="L969">
        <v>0</v>
      </c>
    </row>
    <row r="970" spans="1:12" x14ac:dyDescent="0.3">
      <c r="A970" t="s">
        <v>986</v>
      </c>
      <c r="B970" t="s">
        <v>21</v>
      </c>
      <c r="C970">
        <v>1598</v>
      </c>
      <c r="D970">
        <v>0</v>
      </c>
      <c r="E970">
        <v>0</v>
      </c>
      <c r="F970">
        <f>COUNTIFS(mdr_rate_cleaned!$A$2:$A$10,B970,mdr_rate_cleaned!$B$2:$B$10,"&lt;"&amp;C970,mdr_rate_cleaned!$F$2:$F$10,"&gt;="&amp;C970)</f>
        <v>1</v>
      </c>
      <c r="G970">
        <v>0</v>
      </c>
      <c r="H970">
        <v>0</v>
      </c>
      <c r="I970" t="s">
        <v>15</v>
      </c>
      <c r="J970" t="s">
        <v>15</v>
      </c>
      <c r="K970">
        <v>0</v>
      </c>
      <c r="L970">
        <v>0</v>
      </c>
    </row>
    <row r="971" spans="1:12" x14ac:dyDescent="0.3">
      <c r="A971" t="s">
        <v>987</v>
      </c>
      <c r="B971" t="s">
        <v>17</v>
      </c>
      <c r="C971">
        <v>4498</v>
      </c>
      <c r="D971">
        <v>71.97</v>
      </c>
      <c r="E971">
        <v>12.95</v>
      </c>
      <c r="F971">
        <f>COUNTIFS(mdr_rate_cleaned!$A$2:$A$10,B971,mdr_rate_cleaned!$B$2:$B$10,"&lt;"&amp;C971,mdr_rate_cleaned!$F$2:$F$10,"&gt;="&amp;C971)</f>
        <v>1</v>
      </c>
      <c r="G971">
        <v>1.6E-2</v>
      </c>
      <c r="H971">
        <v>71.97</v>
      </c>
      <c r="I971" t="s">
        <v>15</v>
      </c>
      <c r="J971" t="s">
        <v>15</v>
      </c>
      <c r="K971">
        <v>12.95</v>
      </c>
      <c r="L971">
        <v>0</v>
      </c>
    </row>
    <row r="972" spans="1:12" x14ac:dyDescent="0.3">
      <c r="A972" t="s">
        <v>988</v>
      </c>
      <c r="B972" t="s">
        <v>21</v>
      </c>
      <c r="C972">
        <v>3598</v>
      </c>
      <c r="D972">
        <v>10.79</v>
      </c>
      <c r="E972">
        <v>1.94</v>
      </c>
      <c r="F972">
        <f>COUNTIFS(mdr_rate_cleaned!$A$2:$A$10,B972,mdr_rate_cleaned!$B$2:$B$10,"&lt;"&amp;C972,mdr_rate_cleaned!$F$2:$F$10,"&gt;="&amp;C972)</f>
        <v>1</v>
      </c>
      <c r="G972">
        <v>3.0000000000000001E-3</v>
      </c>
      <c r="H972">
        <v>10.79</v>
      </c>
      <c r="I972" t="s">
        <v>15</v>
      </c>
      <c r="J972" t="s">
        <v>15</v>
      </c>
      <c r="K972">
        <v>1.94</v>
      </c>
      <c r="L972">
        <v>0</v>
      </c>
    </row>
    <row r="973" spans="1:12" x14ac:dyDescent="0.3">
      <c r="A973" t="s">
        <v>989</v>
      </c>
      <c r="B973" t="s">
        <v>17</v>
      </c>
      <c r="C973">
        <v>3298</v>
      </c>
      <c r="D973">
        <v>52.77</v>
      </c>
      <c r="E973">
        <v>9.5</v>
      </c>
      <c r="F973">
        <f>COUNTIFS(mdr_rate_cleaned!$A$2:$A$10,B973,mdr_rate_cleaned!$B$2:$B$10,"&lt;"&amp;C973,mdr_rate_cleaned!$F$2:$F$10,"&gt;="&amp;C973)</f>
        <v>1</v>
      </c>
      <c r="G973">
        <v>1.6E-2</v>
      </c>
      <c r="H973">
        <v>52.77</v>
      </c>
      <c r="I973" t="s">
        <v>15</v>
      </c>
      <c r="J973" t="s">
        <v>15</v>
      </c>
      <c r="K973">
        <v>9.5</v>
      </c>
      <c r="L973">
        <v>0</v>
      </c>
    </row>
    <row r="974" spans="1:12" x14ac:dyDescent="0.3">
      <c r="A974" t="s">
        <v>990</v>
      </c>
      <c r="B974" t="s">
        <v>21</v>
      </c>
      <c r="C974">
        <v>6798</v>
      </c>
      <c r="D974">
        <v>20.39</v>
      </c>
      <c r="E974">
        <v>3.67</v>
      </c>
      <c r="F974">
        <f>COUNTIFS(mdr_rate_cleaned!$A$2:$A$10,B974,mdr_rate_cleaned!$B$2:$B$10,"&lt;"&amp;C974,mdr_rate_cleaned!$F$2:$F$10,"&gt;="&amp;C974)</f>
        <v>1</v>
      </c>
      <c r="G974">
        <v>3.0000000000000001E-3</v>
      </c>
      <c r="H974">
        <v>20.39</v>
      </c>
      <c r="I974" t="s">
        <v>15</v>
      </c>
      <c r="J974" t="s">
        <v>15</v>
      </c>
      <c r="K974">
        <v>3.67</v>
      </c>
      <c r="L974">
        <v>0</v>
      </c>
    </row>
    <row r="975" spans="1:12" x14ac:dyDescent="0.3">
      <c r="A975" t="s">
        <v>991</v>
      </c>
      <c r="B975" t="s">
        <v>13</v>
      </c>
      <c r="C975">
        <v>5598</v>
      </c>
      <c r="D975">
        <v>95.17</v>
      </c>
      <c r="E975">
        <v>17.13</v>
      </c>
      <c r="F975">
        <f>COUNTIFS(mdr_rate_cleaned!$A$2:$A$10,B975,mdr_rate_cleaned!$B$2:$B$10,"&lt;"&amp;C975,mdr_rate_cleaned!$F$2:$F$10,"&gt;="&amp;C975)</f>
        <v>1</v>
      </c>
      <c r="G975">
        <v>1.7000000000000001E-2</v>
      </c>
      <c r="H975">
        <v>95.17</v>
      </c>
      <c r="I975" t="s">
        <v>15</v>
      </c>
      <c r="J975" t="s">
        <v>15</v>
      </c>
      <c r="K975">
        <v>17.13</v>
      </c>
      <c r="L975">
        <v>0</v>
      </c>
    </row>
    <row r="976" spans="1:12" x14ac:dyDescent="0.3">
      <c r="A976" t="s">
        <v>992</v>
      </c>
      <c r="B976" t="s">
        <v>21</v>
      </c>
      <c r="C976">
        <v>3597</v>
      </c>
      <c r="D976">
        <v>10.79</v>
      </c>
      <c r="E976">
        <v>1.94</v>
      </c>
      <c r="F976">
        <f>COUNTIFS(mdr_rate_cleaned!$A$2:$A$10,B976,mdr_rate_cleaned!$B$2:$B$10,"&lt;"&amp;C976,mdr_rate_cleaned!$F$2:$F$10,"&gt;="&amp;C976)</f>
        <v>1</v>
      </c>
      <c r="G976">
        <v>3.0000000000000001E-3</v>
      </c>
      <c r="H976">
        <v>10.79</v>
      </c>
      <c r="I976" t="s">
        <v>15</v>
      </c>
      <c r="J976" t="s">
        <v>15</v>
      </c>
      <c r="K976">
        <v>1.94</v>
      </c>
      <c r="L976">
        <v>0</v>
      </c>
    </row>
    <row r="977" spans="1:12" x14ac:dyDescent="0.3">
      <c r="A977" t="s">
        <v>993</v>
      </c>
      <c r="B977" t="s">
        <v>17</v>
      </c>
      <c r="C977">
        <v>799</v>
      </c>
      <c r="D977">
        <v>14.38</v>
      </c>
      <c r="E977">
        <v>2.59</v>
      </c>
      <c r="F977">
        <f>COUNTIFS(mdr_rate_cleaned!$A$2:$A$10,B977,mdr_rate_cleaned!$B$2:$B$10,"&lt;"&amp;C977,mdr_rate_cleaned!$F$2:$F$10,"&gt;="&amp;C977)</f>
        <v>1</v>
      </c>
      <c r="G977">
        <v>1.7999999999999999E-2</v>
      </c>
      <c r="H977">
        <v>14.38</v>
      </c>
      <c r="I977" t="s">
        <v>15</v>
      </c>
      <c r="J977" t="s">
        <v>15</v>
      </c>
      <c r="K977">
        <v>2.59</v>
      </c>
      <c r="L977">
        <v>0</v>
      </c>
    </row>
    <row r="978" spans="1:12" x14ac:dyDescent="0.3">
      <c r="A978" t="s">
        <v>994</v>
      </c>
      <c r="B978" t="s">
        <v>13</v>
      </c>
      <c r="C978">
        <v>5998</v>
      </c>
      <c r="D978">
        <v>101.97</v>
      </c>
      <c r="E978">
        <v>18.350000000000001</v>
      </c>
      <c r="F978">
        <f>COUNTIFS(mdr_rate_cleaned!$A$2:$A$10,B978,mdr_rate_cleaned!$B$2:$B$10,"&lt;"&amp;C978,mdr_rate_cleaned!$F$2:$F$10,"&gt;="&amp;C978)</f>
        <v>1</v>
      </c>
      <c r="G978">
        <v>1.7000000000000001E-2</v>
      </c>
      <c r="H978">
        <v>101.97</v>
      </c>
      <c r="I978" t="s">
        <v>15</v>
      </c>
      <c r="J978" t="s">
        <v>15</v>
      </c>
      <c r="K978">
        <v>18.350000000000001</v>
      </c>
      <c r="L978">
        <v>0</v>
      </c>
    </row>
    <row r="979" spans="1:12" x14ac:dyDescent="0.3">
      <c r="A979" t="s">
        <v>995</v>
      </c>
      <c r="B979" t="s">
        <v>13</v>
      </c>
      <c r="C979">
        <v>1797</v>
      </c>
      <c r="D979">
        <v>34.14</v>
      </c>
      <c r="E979">
        <v>6.15</v>
      </c>
      <c r="F979">
        <f>COUNTIFS(mdr_rate_cleaned!$A$2:$A$10,B979,mdr_rate_cleaned!$B$2:$B$10,"&lt;"&amp;C979,mdr_rate_cleaned!$F$2:$F$10,"&gt;="&amp;C979)</f>
        <v>1</v>
      </c>
      <c r="G979">
        <v>1.9E-2</v>
      </c>
      <c r="H979">
        <v>34.14</v>
      </c>
      <c r="I979" t="s">
        <v>15</v>
      </c>
      <c r="J979" t="s">
        <v>15</v>
      </c>
      <c r="K979">
        <v>6.15</v>
      </c>
      <c r="L979">
        <v>0</v>
      </c>
    </row>
    <row r="980" spans="1:12" x14ac:dyDescent="0.3">
      <c r="A980" t="s">
        <v>996</v>
      </c>
      <c r="B980" t="s">
        <v>17</v>
      </c>
      <c r="C980">
        <v>3098</v>
      </c>
      <c r="D980">
        <v>49.57</v>
      </c>
      <c r="E980">
        <v>8.92</v>
      </c>
      <c r="F980">
        <f>COUNTIFS(mdr_rate_cleaned!$A$2:$A$10,B980,mdr_rate_cleaned!$B$2:$B$10,"&lt;"&amp;C980,mdr_rate_cleaned!$F$2:$F$10,"&gt;="&amp;C980)</f>
        <v>1</v>
      </c>
      <c r="G980">
        <v>1.6E-2</v>
      </c>
      <c r="H980">
        <v>49.57</v>
      </c>
      <c r="I980" t="s">
        <v>15</v>
      </c>
      <c r="J980" t="s">
        <v>15</v>
      </c>
      <c r="K980">
        <v>8.92</v>
      </c>
      <c r="L980">
        <v>0</v>
      </c>
    </row>
    <row r="981" spans="1:12" x14ac:dyDescent="0.3">
      <c r="A981" t="s">
        <v>997</v>
      </c>
      <c r="B981" t="s">
        <v>17</v>
      </c>
      <c r="C981">
        <v>499</v>
      </c>
      <c r="D981">
        <v>8.98</v>
      </c>
      <c r="E981">
        <v>1.62</v>
      </c>
      <c r="F981">
        <f>COUNTIFS(mdr_rate_cleaned!$A$2:$A$10,B981,mdr_rate_cleaned!$B$2:$B$10,"&lt;"&amp;C981,mdr_rate_cleaned!$F$2:$F$10,"&gt;="&amp;C981)</f>
        <v>1</v>
      </c>
      <c r="G981">
        <v>1.7999999999999999E-2</v>
      </c>
      <c r="H981">
        <v>8.98</v>
      </c>
      <c r="I981" t="s">
        <v>15</v>
      </c>
      <c r="J981" t="s">
        <v>15</v>
      </c>
      <c r="K981">
        <v>1.62</v>
      </c>
      <c r="L981">
        <v>0</v>
      </c>
    </row>
    <row r="982" spans="1:12" x14ac:dyDescent="0.3">
      <c r="A982" t="s">
        <v>998</v>
      </c>
      <c r="B982" t="s">
        <v>17</v>
      </c>
      <c r="C982">
        <v>1799</v>
      </c>
      <c r="D982">
        <v>32.380000000000003</v>
      </c>
      <c r="E982">
        <v>5.83</v>
      </c>
      <c r="F982">
        <f>COUNTIFS(mdr_rate_cleaned!$A$2:$A$10,B982,mdr_rate_cleaned!$B$2:$B$10,"&lt;"&amp;C982,mdr_rate_cleaned!$F$2:$F$10,"&gt;="&amp;C982)</f>
        <v>1</v>
      </c>
      <c r="G982">
        <v>1.7999999999999999E-2</v>
      </c>
      <c r="H982">
        <v>32.380000000000003</v>
      </c>
      <c r="I982" t="s">
        <v>15</v>
      </c>
      <c r="J982" t="s">
        <v>15</v>
      </c>
      <c r="K982">
        <v>5.83</v>
      </c>
      <c r="L982">
        <v>0</v>
      </c>
    </row>
    <row r="983" spans="1:12" x14ac:dyDescent="0.3">
      <c r="A983" t="s">
        <v>999</v>
      </c>
      <c r="B983" t="s">
        <v>21</v>
      </c>
      <c r="C983">
        <v>8798</v>
      </c>
      <c r="D983">
        <v>26.39</v>
      </c>
      <c r="E983">
        <v>4.75</v>
      </c>
      <c r="F983">
        <f>COUNTIFS(mdr_rate_cleaned!$A$2:$A$10,B983,mdr_rate_cleaned!$B$2:$B$10,"&lt;"&amp;C983,mdr_rate_cleaned!$F$2:$F$10,"&gt;="&amp;C983)</f>
        <v>1</v>
      </c>
      <c r="G983">
        <v>3.0000000000000001E-3</v>
      </c>
      <c r="H983">
        <v>26.39</v>
      </c>
      <c r="I983" t="s">
        <v>15</v>
      </c>
      <c r="J983" t="s">
        <v>15</v>
      </c>
      <c r="K983">
        <v>4.75</v>
      </c>
      <c r="L983">
        <v>0</v>
      </c>
    </row>
    <row r="984" spans="1:12" x14ac:dyDescent="0.3">
      <c r="A984" t="s">
        <v>1000</v>
      </c>
      <c r="B984" t="s">
        <v>21</v>
      </c>
      <c r="C984">
        <v>3499</v>
      </c>
      <c r="D984">
        <v>10.5</v>
      </c>
      <c r="E984">
        <v>1.89</v>
      </c>
      <c r="F984">
        <f>COUNTIFS(mdr_rate_cleaned!$A$2:$A$10,B984,mdr_rate_cleaned!$B$2:$B$10,"&lt;"&amp;C984,mdr_rate_cleaned!$F$2:$F$10,"&gt;="&amp;C984)</f>
        <v>1</v>
      </c>
      <c r="G984">
        <v>3.0000000000000001E-3</v>
      </c>
      <c r="H984">
        <v>10.5</v>
      </c>
      <c r="I984" t="s">
        <v>15</v>
      </c>
      <c r="J984" t="s">
        <v>15</v>
      </c>
      <c r="K984">
        <v>1.89</v>
      </c>
      <c r="L984">
        <v>0</v>
      </c>
    </row>
    <row r="985" spans="1:12" x14ac:dyDescent="0.3">
      <c r="A985" t="s">
        <v>1001</v>
      </c>
      <c r="B985" t="s">
        <v>21</v>
      </c>
      <c r="C985">
        <v>4999</v>
      </c>
      <c r="D985">
        <v>15</v>
      </c>
      <c r="E985">
        <v>2.7</v>
      </c>
      <c r="F985">
        <f>COUNTIFS(mdr_rate_cleaned!$A$2:$A$10,B985,mdr_rate_cleaned!$B$2:$B$10,"&lt;"&amp;C985,mdr_rate_cleaned!$F$2:$F$10,"&gt;="&amp;C985)</f>
        <v>1</v>
      </c>
      <c r="G985">
        <v>3.0000000000000001E-3</v>
      </c>
      <c r="H985">
        <v>15</v>
      </c>
      <c r="I985" t="s">
        <v>15</v>
      </c>
      <c r="J985" t="s">
        <v>15</v>
      </c>
      <c r="K985">
        <v>2.7</v>
      </c>
      <c r="L985">
        <v>0</v>
      </c>
    </row>
    <row r="986" spans="1:12" x14ac:dyDescent="0.3">
      <c r="A986" t="s">
        <v>1002</v>
      </c>
      <c r="B986" t="s">
        <v>17</v>
      </c>
      <c r="C986">
        <v>499</v>
      </c>
      <c r="D986">
        <v>8.98</v>
      </c>
      <c r="E986">
        <v>1.62</v>
      </c>
      <c r="F986">
        <f>COUNTIFS(mdr_rate_cleaned!$A$2:$A$10,B986,mdr_rate_cleaned!$B$2:$B$10,"&lt;"&amp;C986,mdr_rate_cleaned!$F$2:$F$10,"&gt;="&amp;C986)</f>
        <v>1</v>
      </c>
      <c r="G986">
        <v>1.7999999999999999E-2</v>
      </c>
      <c r="H986">
        <v>8.98</v>
      </c>
      <c r="I986" t="s">
        <v>15</v>
      </c>
      <c r="J986" t="s">
        <v>15</v>
      </c>
      <c r="K986">
        <v>1.62</v>
      </c>
      <c r="L986">
        <v>0</v>
      </c>
    </row>
    <row r="987" spans="1:12" x14ac:dyDescent="0.3">
      <c r="A987" t="s">
        <v>1003</v>
      </c>
      <c r="B987" t="s">
        <v>21</v>
      </c>
      <c r="C987">
        <v>349</v>
      </c>
      <c r="D987">
        <v>0</v>
      </c>
      <c r="E987">
        <v>0</v>
      </c>
      <c r="F987">
        <f>COUNTIFS(mdr_rate_cleaned!$A$2:$A$10,B987,mdr_rate_cleaned!$B$2:$B$10,"&lt;"&amp;C987,mdr_rate_cleaned!$F$2:$F$10,"&gt;="&amp;C987)</f>
        <v>1</v>
      </c>
      <c r="G987">
        <v>0</v>
      </c>
      <c r="H987">
        <v>0</v>
      </c>
      <c r="I987" t="s">
        <v>15</v>
      </c>
      <c r="J987" t="s">
        <v>15</v>
      </c>
      <c r="K987">
        <v>0</v>
      </c>
      <c r="L987">
        <v>0</v>
      </c>
    </row>
    <row r="988" spans="1:12" x14ac:dyDescent="0.3">
      <c r="A988" t="s">
        <v>1004</v>
      </c>
      <c r="B988" t="s">
        <v>21</v>
      </c>
      <c r="C988">
        <v>299</v>
      </c>
      <c r="D988">
        <v>0</v>
      </c>
      <c r="E988">
        <v>0</v>
      </c>
      <c r="F988">
        <f>COUNTIFS(mdr_rate_cleaned!$A$2:$A$10,B988,mdr_rate_cleaned!$B$2:$B$10,"&lt;"&amp;C988,mdr_rate_cleaned!$F$2:$F$10,"&gt;="&amp;C988)</f>
        <v>1</v>
      </c>
      <c r="G988">
        <v>0</v>
      </c>
      <c r="H988">
        <v>0</v>
      </c>
      <c r="I988" t="s">
        <v>15</v>
      </c>
      <c r="J988" t="s">
        <v>15</v>
      </c>
      <c r="K988">
        <v>0</v>
      </c>
      <c r="L988">
        <v>0</v>
      </c>
    </row>
    <row r="989" spans="1:12" x14ac:dyDescent="0.3">
      <c r="A989" t="s">
        <v>1005</v>
      </c>
      <c r="B989" t="s">
        <v>21</v>
      </c>
      <c r="C989">
        <v>8498</v>
      </c>
      <c r="D989">
        <v>25.49</v>
      </c>
      <c r="E989">
        <v>4.59</v>
      </c>
      <c r="F989">
        <f>COUNTIFS(mdr_rate_cleaned!$A$2:$A$10,B989,mdr_rate_cleaned!$B$2:$B$10,"&lt;"&amp;C989,mdr_rate_cleaned!$F$2:$F$10,"&gt;="&amp;C989)</f>
        <v>1</v>
      </c>
      <c r="G989">
        <v>3.0000000000000001E-3</v>
      </c>
      <c r="H989">
        <v>25.49</v>
      </c>
      <c r="I989" t="s">
        <v>15</v>
      </c>
      <c r="J989" t="s">
        <v>15</v>
      </c>
      <c r="K989">
        <v>4.59</v>
      </c>
      <c r="L989">
        <v>0</v>
      </c>
    </row>
    <row r="990" spans="1:12" x14ac:dyDescent="0.3">
      <c r="A990" t="s">
        <v>1006</v>
      </c>
      <c r="B990" t="s">
        <v>13</v>
      </c>
      <c r="C990">
        <v>2298</v>
      </c>
      <c r="D990">
        <v>55.15</v>
      </c>
      <c r="E990">
        <v>9.93</v>
      </c>
      <c r="F990">
        <f>COUNTIFS(mdr_rate_cleaned!$A$2:$A$10,B990,mdr_rate_cleaned!$B$2:$B$10,"&lt;"&amp;C990,mdr_rate_cleaned!$F$2:$F$10,"&gt;="&amp;C990)</f>
        <v>1</v>
      </c>
      <c r="G990">
        <v>1.7000000000000001E-2</v>
      </c>
      <c r="H990">
        <v>39.07</v>
      </c>
      <c r="I990" t="s">
        <v>14</v>
      </c>
      <c r="J990" t="s">
        <v>15</v>
      </c>
      <c r="K990">
        <v>7.03</v>
      </c>
      <c r="L990">
        <v>18.98</v>
      </c>
    </row>
    <row r="991" spans="1:12" x14ac:dyDescent="0.3">
      <c r="A991" t="s">
        <v>1007</v>
      </c>
      <c r="B991" t="s">
        <v>21</v>
      </c>
      <c r="C991">
        <v>5797</v>
      </c>
      <c r="D991">
        <v>17.39</v>
      </c>
      <c r="E991">
        <v>3.13</v>
      </c>
      <c r="F991">
        <f>COUNTIFS(mdr_rate_cleaned!$A$2:$A$10,B991,mdr_rate_cleaned!$B$2:$B$10,"&lt;"&amp;C991,mdr_rate_cleaned!$F$2:$F$10,"&gt;="&amp;C991)</f>
        <v>1</v>
      </c>
      <c r="G991">
        <v>3.0000000000000001E-3</v>
      </c>
      <c r="H991">
        <v>17.39</v>
      </c>
      <c r="I991" t="s">
        <v>15</v>
      </c>
      <c r="J991" t="s">
        <v>15</v>
      </c>
      <c r="K991">
        <v>3.13</v>
      </c>
      <c r="L991">
        <v>0</v>
      </c>
    </row>
    <row r="992" spans="1:12" x14ac:dyDescent="0.3">
      <c r="A992" t="s">
        <v>1008</v>
      </c>
      <c r="B992" t="s">
        <v>21</v>
      </c>
      <c r="C992">
        <v>9998</v>
      </c>
      <c r="D992">
        <v>29.99</v>
      </c>
      <c r="E992">
        <v>5.4</v>
      </c>
      <c r="F992">
        <f>COUNTIFS(mdr_rate_cleaned!$A$2:$A$10,B992,mdr_rate_cleaned!$B$2:$B$10,"&lt;"&amp;C992,mdr_rate_cleaned!$F$2:$F$10,"&gt;="&amp;C992)</f>
        <v>1</v>
      </c>
      <c r="G992">
        <v>3.0000000000000001E-3</v>
      </c>
      <c r="H992">
        <v>29.99</v>
      </c>
      <c r="I992" t="s">
        <v>15</v>
      </c>
      <c r="J992" t="s">
        <v>15</v>
      </c>
      <c r="K992">
        <v>5.4</v>
      </c>
      <c r="L992">
        <v>0</v>
      </c>
    </row>
    <row r="993" spans="1:12" x14ac:dyDescent="0.3">
      <c r="A993" t="s">
        <v>1009</v>
      </c>
      <c r="B993" t="s">
        <v>21</v>
      </c>
      <c r="C993">
        <v>5147</v>
      </c>
      <c r="D993">
        <v>15.44</v>
      </c>
      <c r="E993">
        <v>2.78</v>
      </c>
      <c r="F993">
        <f>COUNTIFS(mdr_rate_cleaned!$A$2:$A$10,B993,mdr_rate_cleaned!$B$2:$B$10,"&lt;"&amp;C993,mdr_rate_cleaned!$F$2:$F$10,"&gt;="&amp;C993)</f>
        <v>1</v>
      </c>
      <c r="G993">
        <v>3.0000000000000001E-3</v>
      </c>
      <c r="H993">
        <v>15.44</v>
      </c>
      <c r="I993" t="s">
        <v>15</v>
      </c>
      <c r="J993" t="s">
        <v>15</v>
      </c>
      <c r="K993">
        <v>2.78</v>
      </c>
      <c r="L993">
        <v>0</v>
      </c>
    </row>
    <row r="994" spans="1:12" x14ac:dyDescent="0.3">
      <c r="A994" t="s">
        <v>1010</v>
      </c>
      <c r="B994" t="s">
        <v>21</v>
      </c>
      <c r="C994">
        <v>3997</v>
      </c>
      <c r="D994">
        <v>11.99</v>
      </c>
      <c r="E994">
        <v>2.16</v>
      </c>
      <c r="F994">
        <f>COUNTIFS(mdr_rate_cleaned!$A$2:$A$10,B994,mdr_rate_cleaned!$B$2:$B$10,"&lt;"&amp;C994,mdr_rate_cleaned!$F$2:$F$10,"&gt;="&amp;C994)</f>
        <v>1</v>
      </c>
      <c r="G994">
        <v>3.0000000000000001E-3</v>
      </c>
      <c r="H994">
        <v>11.99</v>
      </c>
      <c r="I994" t="s">
        <v>15</v>
      </c>
      <c r="J994" t="s">
        <v>15</v>
      </c>
      <c r="K994">
        <v>2.16</v>
      </c>
      <c r="L994">
        <v>0</v>
      </c>
    </row>
    <row r="995" spans="1:12" x14ac:dyDescent="0.3">
      <c r="A995" t="s">
        <v>1011</v>
      </c>
      <c r="B995" t="s">
        <v>21</v>
      </c>
      <c r="C995">
        <v>349</v>
      </c>
      <c r="D995">
        <v>0</v>
      </c>
      <c r="E995">
        <v>0</v>
      </c>
      <c r="F995">
        <f>COUNTIFS(mdr_rate_cleaned!$A$2:$A$10,B995,mdr_rate_cleaned!$B$2:$B$10,"&lt;"&amp;C995,mdr_rate_cleaned!$F$2:$F$10,"&gt;="&amp;C995)</f>
        <v>1</v>
      </c>
      <c r="G995">
        <v>0</v>
      </c>
      <c r="H995">
        <v>0</v>
      </c>
      <c r="I995" t="s">
        <v>15</v>
      </c>
      <c r="J995" t="s">
        <v>15</v>
      </c>
      <c r="K995">
        <v>0</v>
      </c>
      <c r="L995">
        <v>0</v>
      </c>
    </row>
    <row r="996" spans="1:12" x14ac:dyDescent="0.3">
      <c r="A996" t="s">
        <v>1012</v>
      </c>
      <c r="B996" t="s">
        <v>21</v>
      </c>
      <c r="C996">
        <v>1998</v>
      </c>
      <c r="D996">
        <v>0</v>
      </c>
      <c r="E996">
        <v>0</v>
      </c>
      <c r="F996">
        <f>COUNTIFS(mdr_rate_cleaned!$A$2:$A$10,B996,mdr_rate_cleaned!$B$2:$B$10,"&lt;"&amp;C996,mdr_rate_cleaned!$F$2:$F$10,"&gt;="&amp;C996)</f>
        <v>1</v>
      </c>
      <c r="G996">
        <v>0</v>
      </c>
      <c r="H996">
        <v>0</v>
      </c>
      <c r="I996" t="s">
        <v>15</v>
      </c>
      <c r="J996" t="s">
        <v>15</v>
      </c>
      <c r="K996">
        <v>0</v>
      </c>
      <c r="L996">
        <v>0</v>
      </c>
    </row>
    <row r="997" spans="1:12" x14ac:dyDescent="0.3">
      <c r="A997" t="s">
        <v>1013</v>
      </c>
      <c r="B997" t="s">
        <v>13</v>
      </c>
      <c r="C997">
        <v>7999</v>
      </c>
      <c r="D997">
        <v>135.97999999999999</v>
      </c>
      <c r="E997">
        <v>24.48</v>
      </c>
      <c r="F997">
        <f>COUNTIFS(mdr_rate_cleaned!$A$2:$A$10,B997,mdr_rate_cleaned!$B$2:$B$10,"&lt;"&amp;C997,mdr_rate_cleaned!$F$2:$F$10,"&gt;="&amp;C997)</f>
        <v>1</v>
      </c>
      <c r="G997">
        <v>1.7000000000000001E-2</v>
      </c>
      <c r="H997">
        <v>135.97999999999999</v>
      </c>
      <c r="I997" t="s">
        <v>15</v>
      </c>
      <c r="J997" t="s">
        <v>15</v>
      </c>
      <c r="K997">
        <v>24.48</v>
      </c>
      <c r="L997">
        <v>0</v>
      </c>
    </row>
    <row r="998" spans="1:12" x14ac:dyDescent="0.3">
      <c r="A998" t="s">
        <v>1014</v>
      </c>
      <c r="B998" t="s">
        <v>21</v>
      </c>
      <c r="C998">
        <v>349</v>
      </c>
      <c r="D998">
        <v>0</v>
      </c>
      <c r="E998">
        <v>0</v>
      </c>
      <c r="F998">
        <f>COUNTIFS(mdr_rate_cleaned!$A$2:$A$10,B998,mdr_rate_cleaned!$B$2:$B$10,"&lt;"&amp;C998,mdr_rate_cleaned!$F$2:$F$10,"&gt;="&amp;C998)</f>
        <v>1</v>
      </c>
      <c r="G998">
        <v>0</v>
      </c>
      <c r="H998">
        <v>0</v>
      </c>
      <c r="I998" t="s">
        <v>15</v>
      </c>
      <c r="J998" t="s">
        <v>15</v>
      </c>
      <c r="K998">
        <v>0</v>
      </c>
      <c r="L998">
        <v>0</v>
      </c>
    </row>
    <row r="999" spans="1:12" x14ac:dyDescent="0.3">
      <c r="A999" t="s">
        <v>1015</v>
      </c>
      <c r="B999" t="s">
        <v>17</v>
      </c>
      <c r="C999">
        <v>798</v>
      </c>
      <c r="D999">
        <v>14.36</v>
      </c>
      <c r="E999">
        <v>2.58</v>
      </c>
      <c r="F999">
        <f>COUNTIFS(mdr_rate_cleaned!$A$2:$A$10,B999,mdr_rate_cleaned!$B$2:$B$10,"&lt;"&amp;C999,mdr_rate_cleaned!$F$2:$F$10,"&gt;="&amp;C999)</f>
        <v>1</v>
      </c>
      <c r="G999">
        <v>1.7999999999999999E-2</v>
      </c>
      <c r="H999">
        <v>14.36</v>
      </c>
      <c r="I999" t="s">
        <v>15</v>
      </c>
      <c r="J999" t="s">
        <v>15</v>
      </c>
      <c r="K999">
        <v>2.58</v>
      </c>
      <c r="L999">
        <v>0</v>
      </c>
    </row>
    <row r="1000" spans="1:12" x14ac:dyDescent="0.3">
      <c r="A1000" t="s">
        <v>1016</v>
      </c>
      <c r="B1000" t="s">
        <v>21</v>
      </c>
      <c r="C1000">
        <v>599</v>
      </c>
      <c r="D1000">
        <v>0</v>
      </c>
      <c r="E1000">
        <v>0</v>
      </c>
      <c r="F1000">
        <f>COUNTIFS(mdr_rate_cleaned!$A$2:$A$10,B1000,mdr_rate_cleaned!$B$2:$B$10,"&lt;"&amp;C1000,mdr_rate_cleaned!$F$2:$F$10,"&gt;="&amp;C1000)</f>
        <v>1</v>
      </c>
      <c r="G1000">
        <v>0</v>
      </c>
      <c r="H1000">
        <v>0</v>
      </c>
      <c r="I1000" t="s">
        <v>15</v>
      </c>
      <c r="J1000" t="s">
        <v>15</v>
      </c>
      <c r="K1000">
        <v>0</v>
      </c>
      <c r="L1000">
        <v>0</v>
      </c>
    </row>
    <row r="1001" spans="1:12" x14ac:dyDescent="0.3">
      <c r="A1001" t="s">
        <v>1017</v>
      </c>
      <c r="B1001" t="s">
        <v>21</v>
      </c>
      <c r="C1001">
        <v>12497</v>
      </c>
      <c r="D1001">
        <v>37.49</v>
      </c>
      <c r="E1001">
        <v>6.75</v>
      </c>
      <c r="F1001">
        <f>COUNTIFS(mdr_rate_cleaned!$A$2:$A$10,B1001,mdr_rate_cleaned!$B$2:$B$10,"&lt;"&amp;C1001,mdr_rate_cleaned!$F$2:$F$10,"&gt;="&amp;C1001)</f>
        <v>1</v>
      </c>
      <c r="G1001">
        <v>3.0000000000000001E-3</v>
      </c>
      <c r="H1001">
        <v>37.49</v>
      </c>
      <c r="I1001" t="s">
        <v>15</v>
      </c>
      <c r="J1001" t="s">
        <v>15</v>
      </c>
      <c r="K1001">
        <v>6.75</v>
      </c>
      <c r="L1001">
        <v>0</v>
      </c>
    </row>
    <row r="1002" spans="1:12" x14ac:dyDescent="0.3">
      <c r="A1002" t="s">
        <v>1018</v>
      </c>
      <c r="B1002" t="s">
        <v>13</v>
      </c>
      <c r="C1002">
        <v>8598</v>
      </c>
      <c r="D1002">
        <v>146.16999999999999</v>
      </c>
      <c r="E1002">
        <v>26.31</v>
      </c>
      <c r="F1002">
        <f>COUNTIFS(mdr_rate_cleaned!$A$2:$A$10,B1002,mdr_rate_cleaned!$B$2:$B$10,"&lt;"&amp;C1002,mdr_rate_cleaned!$F$2:$F$10,"&gt;="&amp;C1002)</f>
        <v>1</v>
      </c>
      <c r="G1002">
        <v>1.7000000000000001E-2</v>
      </c>
      <c r="H1002">
        <v>146.16999999999999</v>
      </c>
      <c r="I1002" t="s">
        <v>15</v>
      </c>
      <c r="J1002" t="s">
        <v>15</v>
      </c>
      <c r="K1002">
        <v>26.31</v>
      </c>
      <c r="L1002">
        <v>0</v>
      </c>
    </row>
    <row r="1003" spans="1:12" x14ac:dyDescent="0.3">
      <c r="A1003" t="s">
        <v>1019</v>
      </c>
      <c r="B1003" t="s">
        <v>13</v>
      </c>
      <c r="C1003">
        <v>9347</v>
      </c>
      <c r="D1003">
        <v>158.9</v>
      </c>
      <c r="E1003">
        <v>28.6</v>
      </c>
      <c r="F1003">
        <f>COUNTIFS(mdr_rate_cleaned!$A$2:$A$10,B1003,mdr_rate_cleaned!$B$2:$B$10,"&lt;"&amp;C1003,mdr_rate_cleaned!$F$2:$F$10,"&gt;="&amp;C1003)</f>
        <v>1</v>
      </c>
      <c r="G1003">
        <v>1.7000000000000001E-2</v>
      </c>
      <c r="H1003">
        <v>158.9</v>
      </c>
      <c r="I1003" t="s">
        <v>15</v>
      </c>
      <c r="J1003" t="s">
        <v>15</v>
      </c>
      <c r="K1003">
        <v>28.6</v>
      </c>
      <c r="L1003">
        <v>0</v>
      </c>
    </row>
    <row r="1004" spans="1:12" x14ac:dyDescent="0.3">
      <c r="A1004" t="s">
        <v>1020</v>
      </c>
      <c r="B1004" t="s">
        <v>21</v>
      </c>
      <c r="C1004">
        <v>3897</v>
      </c>
      <c r="D1004">
        <v>11.69</v>
      </c>
      <c r="E1004">
        <v>2.1</v>
      </c>
      <c r="F1004">
        <f>COUNTIFS(mdr_rate_cleaned!$A$2:$A$10,B1004,mdr_rate_cleaned!$B$2:$B$10,"&lt;"&amp;C1004,mdr_rate_cleaned!$F$2:$F$10,"&gt;="&amp;C1004)</f>
        <v>1</v>
      </c>
      <c r="G1004">
        <v>3.0000000000000001E-3</v>
      </c>
      <c r="H1004">
        <v>11.69</v>
      </c>
      <c r="I1004" t="s">
        <v>15</v>
      </c>
      <c r="J1004" t="s">
        <v>15</v>
      </c>
      <c r="K1004">
        <v>2.1</v>
      </c>
      <c r="L1004">
        <v>0</v>
      </c>
    </row>
    <row r="1005" spans="1:12" x14ac:dyDescent="0.3">
      <c r="A1005" t="s">
        <v>1021</v>
      </c>
      <c r="B1005" t="s">
        <v>21</v>
      </c>
      <c r="C1005">
        <v>1648</v>
      </c>
      <c r="D1005">
        <v>0</v>
      </c>
      <c r="E1005">
        <v>0</v>
      </c>
      <c r="F1005">
        <f>COUNTIFS(mdr_rate_cleaned!$A$2:$A$10,B1005,mdr_rate_cleaned!$B$2:$B$10,"&lt;"&amp;C1005,mdr_rate_cleaned!$F$2:$F$10,"&gt;="&amp;C1005)</f>
        <v>1</v>
      </c>
      <c r="G1005">
        <v>0</v>
      </c>
      <c r="H1005">
        <v>0</v>
      </c>
      <c r="I1005" t="s">
        <v>15</v>
      </c>
      <c r="J1005" t="s">
        <v>15</v>
      </c>
      <c r="K1005">
        <v>0</v>
      </c>
      <c r="L1005">
        <v>0</v>
      </c>
    </row>
    <row r="1006" spans="1:12" x14ac:dyDescent="0.3">
      <c r="A1006" t="s">
        <v>1022</v>
      </c>
      <c r="B1006" t="s">
        <v>21</v>
      </c>
      <c r="C1006">
        <v>1498</v>
      </c>
      <c r="D1006">
        <v>0</v>
      </c>
      <c r="E1006">
        <v>0</v>
      </c>
      <c r="F1006">
        <f>COUNTIFS(mdr_rate_cleaned!$A$2:$A$10,B1006,mdr_rate_cleaned!$B$2:$B$10,"&lt;"&amp;C1006,mdr_rate_cleaned!$F$2:$F$10,"&gt;="&amp;C1006)</f>
        <v>1</v>
      </c>
      <c r="G1006">
        <v>0</v>
      </c>
      <c r="H1006">
        <v>0</v>
      </c>
      <c r="I1006" t="s">
        <v>15</v>
      </c>
      <c r="J1006" t="s">
        <v>15</v>
      </c>
      <c r="K1006">
        <v>0</v>
      </c>
      <c r="L1006">
        <v>0</v>
      </c>
    </row>
    <row r="1007" spans="1:12" x14ac:dyDescent="0.3">
      <c r="A1007" t="s">
        <v>1023</v>
      </c>
      <c r="B1007" t="s">
        <v>17</v>
      </c>
      <c r="C1007">
        <v>698</v>
      </c>
      <c r="D1007">
        <v>12.56</v>
      </c>
      <c r="E1007">
        <v>2.2599999999999998</v>
      </c>
      <c r="F1007">
        <f>COUNTIFS(mdr_rate_cleaned!$A$2:$A$10,B1007,mdr_rate_cleaned!$B$2:$B$10,"&lt;"&amp;C1007,mdr_rate_cleaned!$F$2:$F$10,"&gt;="&amp;C1007)</f>
        <v>1</v>
      </c>
      <c r="G1007">
        <v>1.7999999999999999E-2</v>
      </c>
      <c r="H1007">
        <v>12.56</v>
      </c>
      <c r="I1007" t="s">
        <v>15</v>
      </c>
      <c r="J1007" t="s">
        <v>15</v>
      </c>
      <c r="K1007">
        <v>2.2599999999999998</v>
      </c>
      <c r="L1007">
        <v>0</v>
      </c>
    </row>
    <row r="1008" spans="1:12" x14ac:dyDescent="0.3">
      <c r="A1008" t="s">
        <v>1024</v>
      </c>
      <c r="B1008" t="s">
        <v>21</v>
      </c>
      <c r="C1008">
        <v>349</v>
      </c>
      <c r="D1008">
        <v>0</v>
      </c>
      <c r="E1008">
        <v>0</v>
      </c>
      <c r="F1008">
        <f>COUNTIFS(mdr_rate_cleaned!$A$2:$A$10,B1008,mdr_rate_cleaned!$B$2:$B$10,"&lt;"&amp;C1008,mdr_rate_cleaned!$F$2:$F$10,"&gt;="&amp;C1008)</f>
        <v>1</v>
      </c>
      <c r="G1008">
        <v>0</v>
      </c>
      <c r="H1008">
        <v>0</v>
      </c>
      <c r="I1008" t="s">
        <v>15</v>
      </c>
      <c r="J1008" t="s">
        <v>15</v>
      </c>
      <c r="K1008">
        <v>0</v>
      </c>
      <c r="L1008">
        <v>0</v>
      </c>
    </row>
    <row r="1009" spans="1:12" x14ac:dyDescent="0.3">
      <c r="A1009" t="s">
        <v>1025</v>
      </c>
      <c r="B1009" t="s">
        <v>17</v>
      </c>
      <c r="C1009">
        <v>3597</v>
      </c>
      <c r="D1009">
        <v>57.55</v>
      </c>
      <c r="E1009">
        <v>10.36</v>
      </c>
      <c r="F1009">
        <f>COUNTIFS(mdr_rate_cleaned!$A$2:$A$10,B1009,mdr_rate_cleaned!$B$2:$B$10,"&lt;"&amp;C1009,mdr_rate_cleaned!$F$2:$F$10,"&gt;="&amp;C1009)</f>
        <v>1</v>
      </c>
      <c r="G1009">
        <v>1.6E-2</v>
      </c>
      <c r="H1009">
        <v>57.55</v>
      </c>
      <c r="I1009" t="s">
        <v>15</v>
      </c>
      <c r="J1009" t="s">
        <v>15</v>
      </c>
      <c r="K1009">
        <v>10.36</v>
      </c>
      <c r="L1009">
        <v>0</v>
      </c>
    </row>
    <row r="1010" spans="1:12" x14ac:dyDescent="0.3">
      <c r="A1010" t="s">
        <v>1026</v>
      </c>
      <c r="B1010" t="s">
        <v>21</v>
      </c>
      <c r="C1010">
        <v>8348</v>
      </c>
      <c r="D1010">
        <v>25.04</v>
      </c>
      <c r="E1010">
        <v>4.51</v>
      </c>
      <c r="F1010">
        <f>COUNTIFS(mdr_rate_cleaned!$A$2:$A$10,B1010,mdr_rate_cleaned!$B$2:$B$10,"&lt;"&amp;C1010,mdr_rate_cleaned!$F$2:$F$10,"&gt;="&amp;C1010)</f>
        <v>1</v>
      </c>
      <c r="G1010">
        <v>3.0000000000000001E-3</v>
      </c>
      <c r="H1010">
        <v>25.04</v>
      </c>
      <c r="I1010" t="s">
        <v>15</v>
      </c>
      <c r="J1010" t="s">
        <v>15</v>
      </c>
      <c r="K1010">
        <v>4.51</v>
      </c>
      <c r="L1010">
        <v>0</v>
      </c>
    </row>
    <row r="1011" spans="1:12" x14ac:dyDescent="0.3">
      <c r="A1011" t="s">
        <v>1027</v>
      </c>
      <c r="B1011" t="s">
        <v>13</v>
      </c>
      <c r="C1011">
        <v>3499</v>
      </c>
      <c r="D1011">
        <v>59.48</v>
      </c>
      <c r="E1011">
        <v>10.71</v>
      </c>
      <c r="F1011">
        <f>COUNTIFS(mdr_rate_cleaned!$A$2:$A$10,B1011,mdr_rate_cleaned!$B$2:$B$10,"&lt;"&amp;C1011,mdr_rate_cleaned!$F$2:$F$10,"&gt;="&amp;C1011)</f>
        <v>1</v>
      </c>
      <c r="G1011">
        <v>1.7000000000000001E-2</v>
      </c>
      <c r="H1011">
        <v>59.48</v>
      </c>
      <c r="I1011" t="s">
        <v>15</v>
      </c>
      <c r="J1011" t="s">
        <v>15</v>
      </c>
      <c r="K1011">
        <v>10.71</v>
      </c>
      <c r="L1011">
        <v>0</v>
      </c>
    </row>
    <row r="1012" spans="1:12" x14ac:dyDescent="0.3">
      <c r="A1012" t="s">
        <v>1028</v>
      </c>
      <c r="B1012" t="s">
        <v>17</v>
      </c>
      <c r="C1012">
        <v>8348</v>
      </c>
      <c r="D1012">
        <v>133.57</v>
      </c>
      <c r="E1012">
        <v>24.04</v>
      </c>
      <c r="F1012">
        <f>COUNTIFS(mdr_rate_cleaned!$A$2:$A$10,B1012,mdr_rate_cleaned!$B$2:$B$10,"&lt;"&amp;C1012,mdr_rate_cleaned!$F$2:$F$10,"&gt;="&amp;C1012)</f>
        <v>1</v>
      </c>
      <c r="G1012">
        <v>1.6E-2</v>
      </c>
      <c r="H1012">
        <v>133.57</v>
      </c>
      <c r="I1012" t="s">
        <v>15</v>
      </c>
      <c r="J1012" t="s">
        <v>15</v>
      </c>
      <c r="K1012">
        <v>24.04</v>
      </c>
      <c r="L1012">
        <v>0</v>
      </c>
    </row>
    <row r="1013" spans="1:12" x14ac:dyDescent="0.3">
      <c r="A1013" t="s">
        <v>1029</v>
      </c>
      <c r="B1013" t="s">
        <v>17</v>
      </c>
      <c r="C1013">
        <v>1799</v>
      </c>
      <c r="D1013">
        <v>32.380000000000003</v>
      </c>
      <c r="E1013">
        <v>5.83</v>
      </c>
      <c r="F1013">
        <f>COUNTIFS(mdr_rate_cleaned!$A$2:$A$10,B1013,mdr_rate_cleaned!$B$2:$B$10,"&lt;"&amp;C1013,mdr_rate_cleaned!$F$2:$F$10,"&gt;="&amp;C1013)</f>
        <v>1</v>
      </c>
      <c r="G1013">
        <v>1.7999999999999999E-2</v>
      </c>
      <c r="H1013">
        <v>32.380000000000003</v>
      </c>
      <c r="I1013" t="s">
        <v>15</v>
      </c>
      <c r="J1013" t="s">
        <v>15</v>
      </c>
      <c r="K1013">
        <v>5.83</v>
      </c>
      <c r="L1013">
        <v>0</v>
      </c>
    </row>
    <row r="1014" spans="1:12" x14ac:dyDescent="0.3">
      <c r="A1014" t="s">
        <v>1030</v>
      </c>
      <c r="B1014" t="s">
        <v>17</v>
      </c>
      <c r="C1014">
        <v>299</v>
      </c>
      <c r="D1014">
        <v>5.38</v>
      </c>
      <c r="E1014">
        <v>0.97</v>
      </c>
      <c r="F1014">
        <f>COUNTIFS(mdr_rate_cleaned!$A$2:$A$10,B1014,mdr_rate_cleaned!$B$2:$B$10,"&lt;"&amp;C1014,mdr_rate_cleaned!$F$2:$F$10,"&gt;="&amp;C1014)</f>
        <v>1</v>
      </c>
      <c r="G1014">
        <v>1.7999999999999999E-2</v>
      </c>
      <c r="H1014">
        <v>5.38</v>
      </c>
      <c r="I1014" t="s">
        <v>15</v>
      </c>
      <c r="J1014" t="s">
        <v>15</v>
      </c>
      <c r="K1014">
        <v>0.97</v>
      </c>
      <c r="L1014">
        <v>0</v>
      </c>
    </row>
    <row r="1015" spans="1:12" x14ac:dyDescent="0.3">
      <c r="A1015" t="s">
        <v>1031</v>
      </c>
      <c r="B1015" t="s">
        <v>17</v>
      </c>
      <c r="C1015">
        <v>3499</v>
      </c>
      <c r="D1015">
        <v>55.98</v>
      </c>
      <c r="E1015">
        <v>10.08</v>
      </c>
      <c r="F1015">
        <f>COUNTIFS(mdr_rate_cleaned!$A$2:$A$10,B1015,mdr_rate_cleaned!$B$2:$B$10,"&lt;"&amp;C1015,mdr_rate_cleaned!$F$2:$F$10,"&gt;="&amp;C1015)</f>
        <v>1</v>
      </c>
      <c r="G1015">
        <v>1.6E-2</v>
      </c>
      <c r="H1015">
        <v>55.98</v>
      </c>
      <c r="I1015" t="s">
        <v>15</v>
      </c>
      <c r="J1015" t="s">
        <v>15</v>
      </c>
      <c r="K1015">
        <v>10.08</v>
      </c>
      <c r="L1015">
        <v>0</v>
      </c>
    </row>
    <row r="1016" spans="1:12" x14ac:dyDescent="0.3">
      <c r="A1016" t="s">
        <v>1032</v>
      </c>
      <c r="B1016" t="s">
        <v>17</v>
      </c>
      <c r="C1016">
        <v>7999</v>
      </c>
      <c r="D1016">
        <v>127.98</v>
      </c>
      <c r="E1016">
        <v>23.04</v>
      </c>
      <c r="F1016">
        <f>COUNTIFS(mdr_rate_cleaned!$A$2:$A$10,B1016,mdr_rate_cleaned!$B$2:$B$10,"&lt;"&amp;C1016,mdr_rate_cleaned!$F$2:$F$10,"&gt;="&amp;C1016)</f>
        <v>1</v>
      </c>
      <c r="G1016">
        <v>1.6E-2</v>
      </c>
      <c r="H1016">
        <v>127.98</v>
      </c>
      <c r="I1016" t="s">
        <v>15</v>
      </c>
      <c r="J1016" t="s">
        <v>15</v>
      </c>
      <c r="K1016">
        <v>23.04</v>
      </c>
      <c r="L1016">
        <v>0</v>
      </c>
    </row>
    <row r="1017" spans="1:12" x14ac:dyDescent="0.3">
      <c r="A1017" t="s">
        <v>1033</v>
      </c>
      <c r="B1017" t="s">
        <v>21</v>
      </c>
      <c r="C1017">
        <v>1898</v>
      </c>
      <c r="D1017">
        <v>0</v>
      </c>
      <c r="E1017">
        <v>0</v>
      </c>
      <c r="F1017">
        <f>COUNTIFS(mdr_rate_cleaned!$A$2:$A$10,B1017,mdr_rate_cleaned!$B$2:$B$10,"&lt;"&amp;C1017,mdr_rate_cleaned!$F$2:$F$10,"&gt;="&amp;C1017)</f>
        <v>1</v>
      </c>
      <c r="G1017">
        <v>0</v>
      </c>
      <c r="H1017">
        <v>0</v>
      </c>
      <c r="I1017" t="s">
        <v>15</v>
      </c>
      <c r="J1017" t="s">
        <v>15</v>
      </c>
      <c r="K1017">
        <v>0</v>
      </c>
      <c r="L1017">
        <v>0</v>
      </c>
    </row>
    <row r="1018" spans="1:12" x14ac:dyDescent="0.3">
      <c r="A1018" t="s">
        <v>1034</v>
      </c>
      <c r="B1018" t="s">
        <v>39</v>
      </c>
      <c r="C1018">
        <v>3298</v>
      </c>
      <c r="D1018">
        <v>39.58</v>
      </c>
      <c r="E1018">
        <v>7.12</v>
      </c>
      <c r="F1018">
        <f>COUNTIFS(mdr_rate_cleaned!$A$2:$A$10,B1018,mdr_rate_cleaned!$B$2:$B$10,"&lt;"&amp;C1018,mdr_rate_cleaned!$F$2:$F$10,"&gt;="&amp;C1018)</f>
        <v>1</v>
      </c>
      <c r="G1018">
        <v>1.2E-2</v>
      </c>
      <c r="H1018">
        <v>39.58</v>
      </c>
      <c r="I1018" t="s">
        <v>15</v>
      </c>
      <c r="J1018" t="s">
        <v>15</v>
      </c>
      <c r="K1018">
        <v>7.12</v>
      </c>
      <c r="L1018">
        <v>0</v>
      </c>
    </row>
    <row r="1019" spans="1:12" x14ac:dyDescent="0.3">
      <c r="A1019" t="s">
        <v>1035</v>
      </c>
      <c r="B1019" t="s">
        <v>21</v>
      </c>
      <c r="C1019">
        <v>1299</v>
      </c>
      <c r="D1019">
        <v>0</v>
      </c>
      <c r="E1019">
        <v>0</v>
      </c>
      <c r="F1019">
        <f>COUNTIFS(mdr_rate_cleaned!$A$2:$A$10,B1019,mdr_rate_cleaned!$B$2:$B$10,"&lt;"&amp;C1019,mdr_rate_cleaned!$F$2:$F$10,"&gt;="&amp;C1019)</f>
        <v>1</v>
      </c>
      <c r="G1019">
        <v>0</v>
      </c>
      <c r="H1019">
        <v>0</v>
      </c>
      <c r="I1019" t="s">
        <v>15</v>
      </c>
      <c r="J1019" t="s">
        <v>15</v>
      </c>
      <c r="K1019">
        <v>0</v>
      </c>
      <c r="L1019">
        <v>0</v>
      </c>
    </row>
    <row r="1020" spans="1:12" x14ac:dyDescent="0.3">
      <c r="A1020" t="s">
        <v>1036</v>
      </c>
      <c r="B1020" t="s">
        <v>21</v>
      </c>
      <c r="C1020">
        <v>2398</v>
      </c>
      <c r="D1020">
        <v>7.19</v>
      </c>
      <c r="E1020">
        <v>1.29</v>
      </c>
      <c r="F1020">
        <f>COUNTIFS(mdr_rate_cleaned!$A$2:$A$10,B1020,mdr_rate_cleaned!$B$2:$B$10,"&lt;"&amp;C1020,mdr_rate_cleaned!$F$2:$F$10,"&gt;="&amp;C1020)</f>
        <v>1</v>
      </c>
      <c r="G1020">
        <v>3.0000000000000001E-3</v>
      </c>
      <c r="H1020">
        <v>7.19</v>
      </c>
      <c r="I1020" t="s">
        <v>15</v>
      </c>
      <c r="J1020" t="s">
        <v>15</v>
      </c>
      <c r="K1020">
        <v>1.29</v>
      </c>
      <c r="L1020">
        <v>0</v>
      </c>
    </row>
    <row r="1021" spans="1:12" x14ac:dyDescent="0.3">
      <c r="A1021" t="s">
        <v>1037</v>
      </c>
      <c r="B1021" t="s">
        <v>21</v>
      </c>
      <c r="C1021">
        <v>2999</v>
      </c>
      <c r="D1021">
        <v>9</v>
      </c>
      <c r="E1021">
        <v>1.62</v>
      </c>
      <c r="F1021">
        <f>COUNTIFS(mdr_rate_cleaned!$A$2:$A$10,B1021,mdr_rate_cleaned!$B$2:$B$10,"&lt;"&amp;C1021,mdr_rate_cleaned!$F$2:$F$10,"&gt;="&amp;C1021)</f>
        <v>1</v>
      </c>
      <c r="G1021">
        <v>3.0000000000000001E-3</v>
      </c>
      <c r="H1021">
        <v>9</v>
      </c>
      <c r="I1021" t="s">
        <v>15</v>
      </c>
      <c r="J1021" t="s">
        <v>15</v>
      </c>
      <c r="K1021">
        <v>1.62</v>
      </c>
      <c r="L1021">
        <v>0</v>
      </c>
    </row>
    <row r="1022" spans="1:12" x14ac:dyDescent="0.3">
      <c r="A1022" t="s">
        <v>1038</v>
      </c>
      <c r="B1022" t="s">
        <v>21</v>
      </c>
      <c r="C1022">
        <v>2999</v>
      </c>
      <c r="D1022">
        <v>9</v>
      </c>
      <c r="E1022">
        <v>1.62</v>
      </c>
      <c r="F1022">
        <f>COUNTIFS(mdr_rate_cleaned!$A$2:$A$10,B1022,mdr_rate_cleaned!$B$2:$B$10,"&lt;"&amp;C1022,mdr_rate_cleaned!$F$2:$F$10,"&gt;="&amp;C1022)</f>
        <v>1</v>
      </c>
      <c r="G1022">
        <v>3.0000000000000001E-3</v>
      </c>
      <c r="H1022">
        <v>9</v>
      </c>
      <c r="I1022" t="s">
        <v>15</v>
      </c>
      <c r="J1022" t="s">
        <v>15</v>
      </c>
      <c r="K1022">
        <v>1.62</v>
      </c>
      <c r="L1022">
        <v>0</v>
      </c>
    </row>
    <row r="1023" spans="1:12" x14ac:dyDescent="0.3">
      <c r="A1023" t="s">
        <v>1039</v>
      </c>
      <c r="B1023" t="s">
        <v>21</v>
      </c>
      <c r="C1023">
        <v>1798</v>
      </c>
      <c r="D1023">
        <v>0</v>
      </c>
      <c r="E1023">
        <v>0</v>
      </c>
      <c r="F1023">
        <f>COUNTIFS(mdr_rate_cleaned!$A$2:$A$10,B1023,mdr_rate_cleaned!$B$2:$B$10,"&lt;"&amp;C1023,mdr_rate_cleaned!$F$2:$F$10,"&gt;="&amp;C1023)</f>
        <v>1</v>
      </c>
      <c r="G1023">
        <v>0</v>
      </c>
      <c r="H1023">
        <v>0</v>
      </c>
      <c r="I1023" t="s">
        <v>15</v>
      </c>
      <c r="J1023" t="s">
        <v>15</v>
      </c>
      <c r="K1023">
        <v>0</v>
      </c>
      <c r="L1023">
        <v>0</v>
      </c>
    </row>
    <row r="1024" spans="1:12" x14ac:dyDescent="0.3">
      <c r="A1024" t="s">
        <v>1040</v>
      </c>
      <c r="B1024" t="s">
        <v>17</v>
      </c>
      <c r="C1024">
        <v>7999</v>
      </c>
      <c r="D1024">
        <v>127.98</v>
      </c>
      <c r="E1024">
        <v>23.04</v>
      </c>
      <c r="F1024">
        <f>COUNTIFS(mdr_rate_cleaned!$A$2:$A$10,B1024,mdr_rate_cleaned!$B$2:$B$10,"&lt;"&amp;C1024,mdr_rate_cleaned!$F$2:$F$10,"&gt;="&amp;C1024)</f>
        <v>1</v>
      </c>
      <c r="G1024">
        <v>1.6E-2</v>
      </c>
      <c r="H1024">
        <v>127.98</v>
      </c>
      <c r="I1024" t="s">
        <v>15</v>
      </c>
      <c r="J1024" t="s">
        <v>15</v>
      </c>
      <c r="K1024">
        <v>23.04</v>
      </c>
      <c r="L1024">
        <v>0</v>
      </c>
    </row>
    <row r="1025" spans="1:12" x14ac:dyDescent="0.3">
      <c r="A1025" t="s">
        <v>1041</v>
      </c>
      <c r="B1025" t="s">
        <v>21</v>
      </c>
      <c r="C1025">
        <v>3397</v>
      </c>
      <c r="D1025">
        <v>10.19</v>
      </c>
      <c r="E1025">
        <v>1.83</v>
      </c>
      <c r="F1025">
        <f>COUNTIFS(mdr_rate_cleaned!$A$2:$A$10,B1025,mdr_rate_cleaned!$B$2:$B$10,"&lt;"&amp;C1025,mdr_rate_cleaned!$F$2:$F$10,"&gt;="&amp;C1025)</f>
        <v>1</v>
      </c>
      <c r="G1025">
        <v>3.0000000000000001E-3</v>
      </c>
      <c r="H1025">
        <v>10.19</v>
      </c>
      <c r="I1025" t="s">
        <v>15</v>
      </c>
      <c r="J1025" t="s">
        <v>15</v>
      </c>
      <c r="K1025">
        <v>1.83</v>
      </c>
      <c r="L1025">
        <v>0</v>
      </c>
    </row>
    <row r="1026" spans="1:12" x14ac:dyDescent="0.3">
      <c r="A1026" t="s">
        <v>1042</v>
      </c>
      <c r="B1026" t="s">
        <v>17</v>
      </c>
      <c r="C1026">
        <v>799</v>
      </c>
      <c r="D1026">
        <v>14.38</v>
      </c>
      <c r="E1026">
        <v>2.59</v>
      </c>
      <c r="F1026">
        <f>COUNTIFS(mdr_rate_cleaned!$A$2:$A$10,B1026,mdr_rate_cleaned!$B$2:$B$10,"&lt;"&amp;C1026,mdr_rate_cleaned!$F$2:$F$10,"&gt;="&amp;C1026)</f>
        <v>1</v>
      </c>
      <c r="G1026">
        <v>1.7999999999999999E-2</v>
      </c>
      <c r="H1026">
        <v>14.38</v>
      </c>
      <c r="I1026" t="s">
        <v>15</v>
      </c>
      <c r="J1026" t="s">
        <v>15</v>
      </c>
      <c r="K1026">
        <v>2.59</v>
      </c>
      <c r="L1026">
        <v>0</v>
      </c>
    </row>
    <row r="1027" spans="1:12" x14ac:dyDescent="0.3">
      <c r="A1027" t="s">
        <v>1043</v>
      </c>
      <c r="B1027" t="s">
        <v>21</v>
      </c>
      <c r="C1027">
        <v>4999</v>
      </c>
      <c r="D1027">
        <v>15</v>
      </c>
      <c r="E1027">
        <v>2.7</v>
      </c>
      <c r="F1027">
        <f>COUNTIFS(mdr_rate_cleaned!$A$2:$A$10,B1027,mdr_rate_cleaned!$B$2:$B$10,"&lt;"&amp;C1027,mdr_rate_cleaned!$F$2:$F$10,"&gt;="&amp;C1027)</f>
        <v>1</v>
      </c>
      <c r="G1027">
        <v>3.0000000000000001E-3</v>
      </c>
      <c r="H1027">
        <v>15</v>
      </c>
      <c r="I1027" t="s">
        <v>15</v>
      </c>
      <c r="J1027" t="s">
        <v>15</v>
      </c>
      <c r="K1027">
        <v>2.7</v>
      </c>
      <c r="L1027">
        <v>0</v>
      </c>
    </row>
    <row r="1028" spans="1:12" x14ac:dyDescent="0.3">
      <c r="A1028" t="s">
        <v>1044</v>
      </c>
      <c r="B1028" t="s">
        <v>21</v>
      </c>
      <c r="C1028">
        <v>4347</v>
      </c>
      <c r="D1028">
        <v>13.04</v>
      </c>
      <c r="E1028">
        <v>2.35</v>
      </c>
      <c r="F1028">
        <f>COUNTIFS(mdr_rate_cleaned!$A$2:$A$10,B1028,mdr_rate_cleaned!$B$2:$B$10,"&lt;"&amp;C1028,mdr_rate_cleaned!$F$2:$F$10,"&gt;="&amp;C1028)</f>
        <v>1</v>
      </c>
      <c r="G1028">
        <v>3.0000000000000001E-3</v>
      </c>
      <c r="H1028">
        <v>13.04</v>
      </c>
      <c r="I1028" t="s">
        <v>15</v>
      </c>
      <c r="J1028" t="s">
        <v>15</v>
      </c>
      <c r="K1028">
        <v>2.35</v>
      </c>
      <c r="L1028">
        <v>0</v>
      </c>
    </row>
    <row r="1029" spans="1:12" x14ac:dyDescent="0.3">
      <c r="A1029" t="s">
        <v>1045</v>
      </c>
      <c r="B1029" t="s">
        <v>21</v>
      </c>
      <c r="C1029">
        <v>1499</v>
      </c>
      <c r="D1029">
        <v>0</v>
      </c>
      <c r="E1029">
        <v>0</v>
      </c>
      <c r="F1029">
        <f>COUNTIFS(mdr_rate_cleaned!$A$2:$A$10,B1029,mdr_rate_cleaned!$B$2:$B$10,"&lt;"&amp;C1029,mdr_rate_cleaned!$F$2:$F$10,"&gt;="&amp;C1029)</f>
        <v>1</v>
      </c>
      <c r="G1029">
        <v>0</v>
      </c>
      <c r="H1029">
        <v>0</v>
      </c>
      <c r="I1029" t="s">
        <v>15</v>
      </c>
      <c r="J1029" t="s">
        <v>15</v>
      </c>
      <c r="K1029">
        <v>0</v>
      </c>
      <c r="L1029">
        <v>0</v>
      </c>
    </row>
    <row r="1030" spans="1:12" x14ac:dyDescent="0.3">
      <c r="A1030" t="s">
        <v>1046</v>
      </c>
      <c r="B1030" t="s">
        <v>21</v>
      </c>
      <c r="C1030">
        <v>349</v>
      </c>
      <c r="D1030">
        <v>0</v>
      </c>
      <c r="E1030">
        <v>0</v>
      </c>
      <c r="F1030">
        <f>COUNTIFS(mdr_rate_cleaned!$A$2:$A$10,B1030,mdr_rate_cleaned!$B$2:$B$10,"&lt;"&amp;C1030,mdr_rate_cleaned!$F$2:$F$10,"&gt;="&amp;C1030)</f>
        <v>1</v>
      </c>
      <c r="G1030">
        <v>0</v>
      </c>
      <c r="H1030">
        <v>0</v>
      </c>
      <c r="I1030" t="s">
        <v>15</v>
      </c>
      <c r="J1030" t="s">
        <v>15</v>
      </c>
      <c r="K1030">
        <v>0</v>
      </c>
      <c r="L1030">
        <v>0</v>
      </c>
    </row>
    <row r="1031" spans="1:12" x14ac:dyDescent="0.3">
      <c r="A1031" t="s">
        <v>1047</v>
      </c>
      <c r="B1031" t="s">
        <v>21</v>
      </c>
      <c r="C1031">
        <v>6297</v>
      </c>
      <c r="D1031">
        <v>18.89</v>
      </c>
      <c r="E1031">
        <v>3.4</v>
      </c>
      <c r="F1031">
        <f>COUNTIFS(mdr_rate_cleaned!$A$2:$A$10,B1031,mdr_rate_cleaned!$B$2:$B$10,"&lt;"&amp;C1031,mdr_rate_cleaned!$F$2:$F$10,"&gt;="&amp;C1031)</f>
        <v>1</v>
      </c>
      <c r="G1031">
        <v>3.0000000000000001E-3</v>
      </c>
      <c r="H1031">
        <v>18.89</v>
      </c>
      <c r="I1031" t="s">
        <v>15</v>
      </c>
      <c r="J1031" t="s">
        <v>15</v>
      </c>
      <c r="K1031">
        <v>3.4</v>
      </c>
      <c r="L1031">
        <v>0</v>
      </c>
    </row>
    <row r="1032" spans="1:12" x14ac:dyDescent="0.3">
      <c r="A1032" t="s">
        <v>1048</v>
      </c>
      <c r="B1032" t="s">
        <v>17</v>
      </c>
      <c r="C1032">
        <v>299</v>
      </c>
      <c r="D1032">
        <v>5.38</v>
      </c>
      <c r="E1032">
        <v>0.97</v>
      </c>
      <c r="F1032">
        <f>COUNTIFS(mdr_rate_cleaned!$A$2:$A$10,B1032,mdr_rate_cleaned!$B$2:$B$10,"&lt;"&amp;C1032,mdr_rate_cleaned!$F$2:$F$10,"&gt;="&amp;C1032)</f>
        <v>1</v>
      </c>
      <c r="G1032">
        <v>1.7999999999999999E-2</v>
      </c>
      <c r="H1032">
        <v>5.38</v>
      </c>
      <c r="I1032" t="s">
        <v>15</v>
      </c>
      <c r="J1032" t="s">
        <v>15</v>
      </c>
      <c r="K1032">
        <v>0.97</v>
      </c>
      <c r="L1032">
        <v>0</v>
      </c>
    </row>
    <row r="1033" spans="1:12" x14ac:dyDescent="0.3">
      <c r="A1033" t="s">
        <v>1049</v>
      </c>
      <c r="B1033" t="s">
        <v>17</v>
      </c>
      <c r="C1033">
        <v>2598</v>
      </c>
      <c r="D1033">
        <v>41.57</v>
      </c>
      <c r="E1033">
        <v>7.48</v>
      </c>
      <c r="F1033">
        <f>COUNTIFS(mdr_rate_cleaned!$A$2:$A$10,B1033,mdr_rate_cleaned!$B$2:$B$10,"&lt;"&amp;C1033,mdr_rate_cleaned!$F$2:$F$10,"&gt;="&amp;C1033)</f>
        <v>1</v>
      </c>
      <c r="G1033">
        <v>1.6E-2</v>
      </c>
      <c r="H1033">
        <v>41.57</v>
      </c>
      <c r="I1033" t="s">
        <v>15</v>
      </c>
      <c r="J1033" t="s">
        <v>15</v>
      </c>
      <c r="K1033">
        <v>7.48</v>
      </c>
      <c r="L1033">
        <v>0</v>
      </c>
    </row>
    <row r="1034" spans="1:12" x14ac:dyDescent="0.3">
      <c r="A1034" t="s">
        <v>1050</v>
      </c>
      <c r="B1034" t="s">
        <v>21</v>
      </c>
      <c r="C1034">
        <v>3798</v>
      </c>
      <c r="D1034">
        <v>11.39</v>
      </c>
      <c r="E1034">
        <v>2.0499999999999998</v>
      </c>
      <c r="F1034">
        <f>COUNTIFS(mdr_rate_cleaned!$A$2:$A$10,B1034,mdr_rate_cleaned!$B$2:$B$10,"&lt;"&amp;C1034,mdr_rate_cleaned!$F$2:$F$10,"&gt;="&amp;C1034)</f>
        <v>1</v>
      </c>
      <c r="G1034">
        <v>3.0000000000000001E-3</v>
      </c>
      <c r="H1034">
        <v>11.39</v>
      </c>
      <c r="I1034" t="s">
        <v>15</v>
      </c>
      <c r="J1034" t="s">
        <v>15</v>
      </c>
      <c r="K1034">
        <v>2.0499999999999998</v>
      </c>
      <c r="L1034">
        <v>0</v>
      </c>
    </row>
    <row r="1035" spans="1:12" x14ac:dyDescent="0.3">
      <c r="A1035" t="s">
        <v>1051</v>
      </c>
      <c r="B1035" t="s">
        <v>21</v>
      </c>
      <c r="C1035">
        <v>2298</v>
      </c>
      <c r="D1035">
        <v>6.89</v>
      </c>
      <c r="E1035">
        <v>1.24</v>
      </c>
      <c r="F1035">
        <f>COUNTIFS(mdr_rate_cleaned!$A$2:$A$10,B1035,mdr_rate_cleaned!$B$2:$B$10,"&lt;"&amp;C1035,mdr_rate_cleaned!$F$2:$F$10,"&gt;="&amp;C1035)</f>
        <v>1</v>
      </c>
      <c r="G1035">
        <v>3.0000000000000001E-3</v>
      </c>
      <c r="H1035">
        <v>6.89</v>
      </c>
      <c r="I1035" t="s">
        <v>15</v>
      </c>
      <c r="J1035" t="s">
        <v>15</v>
      </c>
      <c r="K1035">
        <v>1.24</v>
      </c>
      <c r="L1035">
        <v>0</v>
      </c>
    </row>
    <row r="1036" spans="1:12" x14ac:dyDescent="0.3">
      <c r="A1036" t="s">
        <v>1052</v>
      </c>
      <c r="B1036" t="s">
        <v>17</v>
      </c>
      <c r="C1036">
        <v>8348</v>
      </c>
      <c r="D1036">
        <v>133.57</v>
      </c>
      <c r="E1036">
        <v>24.04</v>
      </c>
      <c r="F1036">
        <f>COUNTIFS(mdr_rate_cleaned!$A$2:$A$10,B1036,mdr_rate_cleaned!$B$2:$B$10,"&lt;"&amp;C1036,mdr_rate_cleaned!$F$2:$F$10,"&gt;="&amp;C1036)</f>
        <v>1</v>
      </c>
      <c r="G1036">
        <v>1.6E-2</v>
      </c>
      <c r="H1036">
        <v>133.57</v>
      </c>
      <c r="I1036" t="s">
        <v>15</v>
      </c>
      <c r="J1036" t="s">
        <v>15</v>
      </c>
      <c r="K1036">
        <v>24.04</v>
      </c>
      <c r="L1036">
        <v>0</v>
      </c>
    </row>
    <row r="1037" spans="1:12" x14ac:dyDescent="0.3">
      <c r="A1037" t="s">
        <v>1053</v>
      </c>
      <c r="B1037" t="s">
        <v>21</v>
      </c>
      <c r="C1037">
        <v>599</v>
      </c>
      <c r="D1037">
        <v>0</v>
      </c>
      <c r="E1037">
        <v>0</v>
      </c>
      <c r="F1037">
        <f>COUNTIFS(mdr_rate_cleaned!$A$2:$A$10,B1037,mdr_rate_cleaned!$B$2:$B$10,"&lt;"&amp;C1037,mdr_rate_cleaned!$F$2:$F$10,"&gt;="&amp;C1037)</f>
        <v>1</v>
      </c>
      <c r="G1037">
        <v>0</v>
      </c>
      <c r="H1037">
        <v>0</v>
      </c>
      <c r="I1037" t="s">
        <v>15</v>
      </c>
      <c r="J1037" t="s">
        <v>15</v>
      </c>
      <c r="K1037">
        <v>0</v>
      </c>
      <c r="L1037">
        <v>0</v>
      </c>
    </row>
    <row r="1038" spans="1:12" x14ac:dyDescent="0.3">
      <c r="A1038" t="s">
        <v>1054</v>
      </c>
      <c r="B1038" t="s">
        <v>21</v>
      </c>
      <c r="C1038">
        <v>349</v>
      </c>
      <c r="D1038">
        <v>0</v>
      </c>
      <c r="E1038">
        <v>0</v>
      </c>
      <c r="F1038">
        <f>COUNTIFS(mdr_rate_cleaned!$A$2:$A$10,B1038,mdr_rate_cleaned!$B$2:$B$10,"&lt;"&amp;C1038,mdr_rate_cleaned!$F$2:$F$10,"&gt;="&amp;C1038)</f>
        <v>1</v>
      </c>
      <c r="G1038">
        <v>0</v>
      </c>
      <c r="H1038">
        <v>0</v>
      </c>
      <c r="I1038" t="s">
        <v>15</v>
      </c>
      <c r="J1038" t="s">
        <v>15</v>
      </c>
      <c r="K1038">
        <v>0</v>
      </c>
      <c r="L1038">
        <v>0</v>
      </c>
    </row>
    <row r="1039" spans="1:12" x14ac:dyDescent="0.3">
      <c r="A1039" t="s">
        <v>1055</v>
      </c>
      <c r="B1039" t="s">
        <v>13</v>
      </c>
      <c r="C1039">
        <v>2999</v>
      </c>
      <c r="D1039">
        <v>50.98</v>
      </c>
      <c r="E1039">
        <v>9.18</v>
      </c>
      <c r="F1039">
        <f>COUNTIFS(mdr_rate_cleaned!$A$2:$A$10,B1039,mdr_rate_cleaned!$B$2:$B$10,"&lt;"&amp;C1039,mdr_rate_cleaned!$F$2:$F$10,"&gt;="&amp;C1039)</f>
        <v>1</v>
      </c>
      <c r="G1039">
        <v>1.7000000000000001E-2</v>
      </c>
      <c r="H1039">
        <v>50.98</v>
      </c>
      <c r="I1039" t="s">
        <v>15</v>
      </c>
      <c r="J1039" t="s">
        <v>15</v>
      </c>
      <c r="K1039">
        <v>9.18</v>
      </c>
      <c r="L1039">
        <v>0</v>
      </c>
    </row>
    <row r="1040" spans="1:12" x14ac:dyDescent="0.3">
      <c r="A1040" t="s">
        <v>1056</v>
      </c>
      <c r="B1040" t="s">
        <v>17</v>
      </c>
      <c r="C1040">
        <v>499</v>
      </c>
      <c r="D1040">
        <v>8.98</v>
      </c>
      <c r="E1040">
        <v>1.62</v>
      </c>
      <c r="F1040">
        <f>COUNTIFS(mdr_rate_cleaned!$A$2:$A$10,B1040,mdr_rate_cleaned!$B$2:$B$10,"&lt;"&amp;C1040,mdr_rate_cleaned!$F$2:$F$10,"&gt;="&amp;C1040)</f>
        <v>1</v>
      </c>
      <c r="G1040">
        <v>1.7999999999999999E-2</v>
      </c>
      <c r="H1040">
        <v>8.98</v>
      </c>
      <c r="I1040" t="s">
        <v>15</v>
      </c>
      <c r="J1040" t="s">
        <v>15</v>
      </c>
      <c r="K1040">
        <v>1.62</v>
      </c>
      <c r="L1040">
        <v>0</v>
      </c>
    </row>
    <row r="1041" spans="1:12" x14ac:dyDescent="0.3">
      <c r="A1041" t="s">
        <v>1057</v>
      </c>
      <c r="B1041" t="s">
        <v>21</v>
      </c>
      <c r="C1041">
        <v>3298</v>
      </c>
      <c r="D1041">
        <v>9.89</v>
      </c>
      <c r="E1041">
        <v>1.78</v>
      </c>
      <c r="F1041">
        <f>COUNTIFS(mdr_rate_cleaned!$A$2:$A$10,B1041,mdr_rate_cleaned!$B$2:$B$10,"&lt;"&amp;C1041,mdr_rate_cleaned!$F$2:$F$10,"&gt;="&amp;C1041)</f>
        <v>1</v>
      </c>
      <c r="G1041">
        <v>3.0000000000000001E-3</v>
      </c>
      <c r="H1041">
        <v>9.89</v>
      </c>
      <c r="I1041" t="s">
        <v>15</v>
      </c>
      <c r="J1041" t="s">
        <v>15</v>
      </c>
      <c r="K1041">
        <v>1.78</v>
      </c>
      <c r="L1041">
        <v>0</v>
      </c>
    </row>
    <row r="1042" spans="1:12" x14ac:dyDescent="0.3">
      <c r="A1042" t="s">
        <v>1058</v>
      </c>
      <c r="B1042" t="s">
        <v>21</v>
      </c>
      <c r="C1042">
        <v>7999</v>
      </c>
      <c r="D1042">
        <v>24</v>
      </c>
      <c r="E1042">
        <v>4.32</v>
      </c>
      <c r="F1042">
        <f>COUNTIFS(mdr_rate_cleaned!$A$2:$A$10,B1042,mdr_rate_cleaned!$B$2:$B$10,"&lt;"&amp;C1042,mdr_rate_cleaned!$F$2:$F$10,"&gt;="&amp;C1042)</f>
        <v>1</v>
      </c>
      <c r="G1042">
        <v>3.0000000000000001E-3</v>
      </c>
      <c r="H1042">
        <v>24</v>
      </c>
      <c r="I1042" t="s">
        <v>15</v>
      </c>
      <c r="J1042" t="s">
        <v>15</v>
      </c>
      <c r="K1042">
        <v>4.32</v>
      </c>
      <c r="L1042">
        <v>0</v>
      </c>
    </row>
    <row r="1043" spans="1:12" x14ac:dyDescent="0.3">
      <c r="A1043" t="s">
        <v>1059</v>
      </c>
      <c r="B1043" t="s">
        <v>21</v>
      </c>
      <c r="C1043">
        <v>5597</v>
      </c>
      <c r="D1043">
        <v>16.79</v>
      </c>
      <c r="E1043">
        <v>3.02</v>
      </c>
      <c r="F1043">
        <f>COUNTIFS(mdr_rate_cleaned!$A$2:$A$10,B1043,mdr_rate_cleaned!$B$2:$B$10,"&lt;"&amp;C1043,mdr_rate_cleaned!$F$2:$F$10,"&gt;="&amp;C1043)</f>
        <v>1</v>
      </c>
      <c r="G1043">
        <v>3.0000000000000001E-3</v>
      </c>
      <c r="H1043">
        <v>16.79</v>
      </c>
      <c r="I1043" t="s">
        <v>15</v>
      </c>
      <c r="J1043" t="s">
        <v>15</v>
      </c>
      <c r="K1043">
        <v>3.02</v>
      </c>
      <c r="L1043">
        <v>0</v>
      </c>
    </row>
    <row r="1044" spans="1:12" x14ac:dyDescent="0.3">
      <c r="A1044" t="s">
        <v>1060</v>
      </c>
      <c r="B1044" t="s">
        <v>21</v>
      </c>
      <c r="C1044">
        <v>4999</v>
      </c>
      <c r="D1044">
        <v>15</v>
      </c>
      <c r="E1044">
        <v>2.7</v>
      </c>
      <c r="F1044">
        <f>COUNTIFS(mdr_rate_cleaned!$A$2:$A$10,B1044,mdr_rate_cleaned!$B$2:$B$10,"&lt;"&amp;C1044,mdr_rate_cleaned!$F$2:$F$10,"&gt;="&amp;C1044)</f>
        <v>1</v>
      </c>
      <c r="G1044">
        <v>3.0000000000000001E-3</v>
      </c>
      <c r="H1044">
        <v>15</v>
      </c>
      <c r="I1044" t="s">
        <v>15</v>
      </c>
      <c r="J1044" t="s">
        <v>15</v>
      </c>
      <c r="K1044">
        <v>2.7</v>
      </c>
      <c r="L1044">
        <v>0</v>
      </c>
    </row>
    <row r="1045" spans="1:12" x14ac:dyDescent="0.3">
      <c r="A1045" t="s">
        <v>1061</v>
      </c>
      <c r="B1045" t="s">
        <v>21</v>
      </c>
      <c r="C1045">
        <v>12097</v>
      </c>
      <c r="D1045">
        <v>36.29</v>
      </c>
      <c r="E1045">
        <v>6.53</v>
      </c>
      <c r="F1045">
        <f>COUNTIFS(mdr_rate_cleaned!$A$2:$A$10,B1045,mdr_rate_cleaned!$B$2:$B$10,"&lt;"&amp;C1045,mdr_rate_cleaned!$F$2:$F$10,"&gt;="&amp;C1045)</f>
        <v>1</v>
      </c>
      <c r="G1045">
        <v>3.0000000000000001E-3</v>
      </c>
      <c r="H1045">
        <v>36.29</v>
      </c>
      <c r="I1045" t="s">
        <v>15</v>
      </c>
      <c r="J1045" t="s">
        <v>15</v>
      </c>
      <c r="K1045">
        <v>6.53</v>
      </c>
      <c r="L1045">
        <v>0</v>
      </c>
    </row>
    <row r="1046" spans="1:12" x14ac:dyDescent="0.3">
      <c r="A1046" t="s">
        <v>1062</v>
      </c>
      <c r="B1046" t="s">
        <v>39</v>
      </c>
      <c r="C1046">
        <v>299</v>
      </c>
      <c r="D1046">
        <v>4.49</v>
      </c>
      <c r="E1046">
        <v>0.81</v>
      </c>
      <c r="F1046">
        <f>COUNTIFS(mdr_rate_cleaned!$A$2:$A$10,B1046,mdr_rate_cleaned!$B$2:$B$10,"&lt;"&amp;C1046,mdr_rate_cleaned!$F$2:$F$10,"&gt;="&amp;C1046)</f>
        <v>1</v>
      </c>
      <c r="G1046">
        <v>1.4999999999999999E-2</v>
      </c>
      <c r="H1046">
        <v>4.49</v>
      </c>
      <c r="I1046" t="s">
        <v>15</v>
      </c>
      <c r="J1046" t="s">
        <v>15</v>
      </c>
      <c r="K1046">
        <v>0.81</v>
      </c>
      <c r="L1046">
        <v>0</v>
      </c>
    </row>
    <row r="1047" spans="1:12" x14ac:dyDescent="0.3">
      <c r="A1047" t="s">
        <v>1063</v>
      </c>
      <c r="B1047" t="s">
        <v>21</v>
      </c>
      <c r="C1047">
        <v>6298</v>
      </c>
      <c r="D1047">
        <v>18.89</v>
      </c>
      <c r="E1047">
        <v>3.4</v>
      </c>
      <c r="F1047">
        <f>COUNTIFS(mdr_rate_cleaned!$A$2:$A$10,B1047,mdr_rate_cleaned!$B$2:$B$10,"&lt;"&amp;C1047,mdr_rate_cleaned!$F$2:$F$10,"&gt;="&amp;C1047)</f>
        <v>1</v>
      </c>
      <c r="G1047">
        <v>3.0000000000000001E-3</v>
      </c>
      <c r="H1047">
        <v>18.89</v>
      </c>
      <c r="I1047" t="s">
        <v>15</v>
      </c>
      <c r="J1047" t="s">
        <v>15</v>
      </c>
      <c r="K1047">
        <v>3.4</v>
      </c>
      <c r="L1047">
        <v>0</v>
      </c>
    </row>
    <row r="1048" spans="1:12" x14ac:dyDescent="0.3">
      <c r="A1048" t="s">
        <v>1064</v>
      </c>
      <c r="B1048" t="s">
        <v>21</v>
      </c>
      <c r="C1048">
        <v>1499</v>
      </c>
      <c r="D1048">
        <v>0</v>
      </c>
      <c r="E1048">
        <v>0</v>
      </c>
      <c r="F1048">
        <f>COUNTIFS(mdr_rate_cleaned!$A$2:$A$10,B1048,mdr_rate_cleaned!$B$2:$B$10,"&lt;"&amp;C1048,mdr_rate_cleaned!$F$2:$F$10,"&gt;="&amp;C1048)</f>
        <v>1</v>
      </c>
      <c r="G1048">
        <v>0</v>
      </c>
      <c r="H1048">
        <v>0</v>
      </c>
      <c r="I1048" t="s">
        <v>15</v>
      </c>
      <c r="J1048" t="s">
        <v>15</v>
      </c>
      <c r="K1048">
        <v>0</v>
      </c>
      <c r="L1048">
        <v>0</v>
      </c>
    </row>
    <row r="1049" spans="1:12" x14ac:dyDescent="0.3">
      <c r="A1049" t="s">
        <v>1065</v>
      </c>
      <c r="B1049" t="s">
        <v>17</v>
      </c>
      <c r="C1049">
        <v>349</v>
      </c>
      <c r="D1049">
        <v>6.28</v>
      </c>
      <c r="E1049">
        <v>1.1299999999999999</v>
      </c>
      <c r="F1049">
        <f>COUNTIFS(mdr_rate_cleaned!$A$2:$A$10,B1049,mdr_rate_cleaned!$B$2:$B$10,"&lt;"&amp;C1049,mdr_rate_cleaned!$F$2:$F$10,"&gt;="&amp;C1049)</f>
        <v>1</v>
      </c>
      <c r="G1049">
        <v>1.7999999999999999E-2</v>
      </c>
      <c r="H1049">
        <v>6.28</v>
      </c>
      <c r="I1049" t="s">
        <v>15</v>
      </c>
      <c r="J1049" t="s">
        <v>15</v>
      </c>
      <c r="K1049">
        <v>1.1299999999999999</v>
      </c>
      <c r="L1049">
        <v>0</v>
      </c>
    </row>
    <row r="1050" spans="1:12" x14ac:dyDescent="0.3">
      <c r="A1050" t="s">
        <v>1066</v>
      </c>
      <c r="B1050" t="s">
        <v>21</v>
      </c>
      <c r="C1050">
        <v>7999</v>
      </c>
      <c r="D1050">
        <v>24</v>
      </c>
      <c r="E1050">
        <v>4.32</v>
      </c>
      <c r="F1050">
        <f>COUNTIFS(mdr_rate_cleaned!$A$2:$A$10,B1050,mdr_rate_cleaned!$B$2:$B$10,"&lt;"&amp;C1050,mdr_rate_cleaned!$F$2:$F$10,"&gt;="&amp;C1050)</f>
        <v>1</v>
      </c>
      <c r="G1050">
        <v>3.0000000000000001E-3</v>
      </c>
      <c r="H1050">
        <v>24</v>
      </c>
      <c r="I1050" t="s">
        <v>15</v>
      </c>
      <c r="J1050" t="s">
        <v>15</v>
      </c>
      <c r="K1050">
        <v>4.32</v>
      </c>
      <c r="L1050">
        <v>0</v>
      </c>
    </row>
    <row r="1051" spans="1:12" x14ac:dyDescent="0.3">
      <c r="A1051" t="s">
        <v>1067</v>
      </c>
      <c r="B1051" t="s">
        <v>17</v>
      </c>
      <c r="C1051">
        <v>10397</v>
      </c>
      <c r="D1051">
        <v>166.35</v>
      </c>
      <c r="E1051">
        <v>29.94</v>
      </c>
      <c r="F1051">
        <f>COUNTIFS(mdr_rate_cleaned!$A$2:$A$10,B1051,mdr_rate_cleaned!$B$2:$B$10,"&lt;"&amp;C1051,mdr_rate_cleaned!$F$2:$F$10,"&gt;="&amp;C1051)</f>
        <v>1</v>
      </c>
      <c r="G1051">
        <v>1.6E-2</v>
      </c>
      <c r="H1051">
        <v>166.35</v>
      </c>
      <c r="I1051" t="s">
        <v>15</v>
      </c>
      <c r="J1051" t="s">
        <v>15</v>
      </c>
      <c r="K1051">
        <v>29.94</v>
      </c>
      <c r="L1051">
        <v>0</v>
      </c>
    </row>
    <row r="1052" spans="1:12" x14ac:dyDescent="0.3">
      <c r="A1052" t="s">
        <v>1068</v>
      </c>
      <c r="B1052" t="s">
        <v>21</v>
      </c>
      <c r="C1052">
        <v>1299</v>
      </c>
      <c r="D1052">
        <v>0</v>
      </c>
      <c r="E1052">
        <v>0</v>
      </c>
      <c r="F1052">
        <f>COUNTIFS(mdr_rate_cleaned!$A$2:$A$10,B1052,mdr_rate_cleaned!$B$2:$B$10,"&lt;"&amp;C1052,mdr_rate_cleaned!$F$2:$F$10,"&gt;="&amp;C1052)</f>
        <v>1</v>
      </c>
      <c r="G1052">
        <v>0</v>
      </c>
      <c r="H1052">
        <v>0</v>
      </c>
      <c r="I1052" t="s">
        <v>15</v>
      </c>
      <c r="J1052" t="s">
        <v>15</v>
      </c>
      <c r="K1052">
        <v>0</v>
      </c>
      <c r="L1052">
        <v>0</v>
      </c>
    </row>
    <row r="1053" spans="1:12" x14ac:dyDescent="0.3">
      <c r="A1053" t="s">
        <v>1069</v>
      </c>
      <c r="B1053" t="s">
        <v>21</v>
      </c>
      <c r="C1053">
        <v>5847</v>
      </c>
      <c r="D1053">
        <v>17.54</v>
      </c>
      <c r="E1053">
        <v>3.16</v>
      </c>
      <c r="F1053">
        <f>COUNTIFS(mdr_rate_cleaned!$A$2:$A$10,B1053,mdr_rate_cleaned!$B$2:$B$10,"&lt;"&amp;C1053,mdr_rate_cleaned!$F$2:$F$10,"&gt;="&amp;C1053)</f>
        <v>1</v>
      </c>
      <c r="G1053">
        <v>3.0000000000000001E-3</v>
      </c>
      <c r="H1053">
        <v>17.54</v>
      </c>
      <c r="I1053" t="s">
        <v>15</v>
      </c>
      <c r="J1053" t="s">
        <v>15</v>
      </c>
      <c r="K1053">
        <v>3.16</v>
      </c>
      <c r="L1053">
        <v>0</v>
      </c>
    </row>
    <row r="1054" spans="1:12" x14ac:dyDescent="0.3">
      <c r="A1054" t="s">
        <v>1070</v>
      </c>
      <c r="B1054" t="s">
        <v>21</v>
      </c>
      <c r="C1054">
        <v>1799</v>
      </c>
      <c r="D1054">
        <v>0</v>
      </c>
      <c r="E1054">
        <v>0</v>
      </c>
      <c r="F1054">
        <f>COUNTIFS(mdr_rate_cleaned!$A$2:$A$10,B1054,mdr_rate_cleaned!$B$2:$B$10,"&lt;"&amp;C1054,mdr_rate_cleaned!$F$2:$F$10,"&gt;="&amp;C1054)</f>
        <v>1</v>
      </c>
      <c r="G1054">
        <v>0</v>
      </c>
      <c r="H1054">
        <v>0</v>
      </c>
      <c r="I1054" t="s">
        <v>15</v>
      </c>
      <c r="J1054" t="s">
        <v>15</v>
      </c>
      <c r="K1054">
        <v>0</v>
      </c>
      <c r="L1054">
        <v>0</v>
      </c>
    </row>
    <row r="1055" spans="1:12" x14ac:dyDescent="0.3">
      <c r="A1055" t="s">
        <v>1071</v>
      </c>
      <c r="B1055" t="s">
        <v>17</v>
      </c>
      <c r="C1055">
        <v>3697</v>
      </c>
      <c r="D1055">
        <v>59.15</v>
      </c>
      <c r="E1055">
        <v>10.65</v>
      </c>
      <c r="F1055">
        <f>COUNTIFS(mdr_rate_cleaned!$A$2:$A$10,B1055,mdr_rate_cleaned!$B$2:$B$10,"&lt;"&amp;C1055,mdr_rate_cleaned!$F$2:$F$10,"&gt;="&amp;C1055)</f>
        <v>1</v>
      </c>
      <c r="G1055">
        <v>1.6E-2</v>
      </c>
      <c r="H1055">
        <v>59.15</v>
      </c>
      <c r="I1055" t="s">
        <v>15</v>
      </c>
      <c r="J1055" t="s">
        <v>15</v>
      </c>
      <c r="K1055">
        <v>10.65</v>
      </c>
      <c r="L1055">
        <v>0</v>
      </c>
    </row>
    <row r="1056" spans="1:12" x14ac:dyDescent="0.3">
      <c r="A1056" t="s">
        <v>1072</v>
      </c>
      <c r="B1056" t="s">
        <v>17</v>
      </c>
      <c r="C1056">
        <v>4498</v>
      </c>
      <c r="D1056">
        <v>71.97</v>
      </c>
      <c r="E1056">
        <v>12.95</v>
      </c>
      <c r="F1056">
        <f>COUNTIFS(mdr_rate_cleaned!$A$2:$A$10,B1056,mdr_rate_cleaned!$B$2:$B$10,"&lt;"&amp;C1056,mdr_rate_cleaned!$F$2:$F$10,"&gt;="&amp;C1056)</f>
        <v>1</v>
      </c>
      <c r="G1056">
        <v>1.6E-2</v>
      </c>
      <c r="H1056">
        <v>71.97</v>
      </c>
      <c r="I1056" t="s">
        <v>15</v>
      </c>
      <c r="J1056" t="s">
        <v>15</v>
      </c>
      <c r="K1056">
        <v>12.95</v>
      </c>
      <c r="L1056">
        <v>0</v>
      </c>
    </row>
    <row r="1057" spans="1:12" x14ac:dyDescent="0.3">
      <c r="A1057" t="s">
        <v>1073</v>
      </c>
      <c r="B1057" t="s">
        <v>21</v>
      </c>
      <c r="C1057">
        <v>4999</v>
      </c>
      <c r="D1057">
        <v>15</v>
      </c>
      <c r="E1057">
        <v>2.7</v>
      </c>
      <c r="F1057">
        <f>COUNTIFS(mdr_rate_cleaned!$A$2:$A$10,B1057,mdr_rate_cleaned!$B$2:$B$10,"&lt;"&amp;C1057,mdr_rate_cleaned!$F$2:$F$10,"&gt;="&amp;C1057)</f>
        <v>1</v>
      </c>
      <c r="G1057">
        <v>3.0000000000000001E-3</v>
      </c>
      <c r="H1057">
        <v>15</v>
      </c>
      <c r="I1057" t="s">
        <v>15</v>
      </c>
      <c r="J1057" t="s">
        <v>15</v>
      </c>
      <c r="K1057">
        <v>2.7</v>
      </c>
      <c r="L1057">
        <v>0</v>
      </c>
    </row>
    <row r="1058" spans="1:12" x14ac:dyDescent="0.3">
      <c r="A1058" t="s">
        <v>1074</v>
      </c>
      <c r="B1058" t="s">
        <v>21</v>
      </c>
      <c r="C1058">
        <v>2999</v>
      </c>
      <c r="D1058">
        <v>9</v>
      </c>
      <c r="E1058">
        <v>1.62</v>
      </c>
      <c r="F1058">
        <f>COUNTIFS(mdr_rate_cleaned!$A$2:$A$10,B1058,mdr_rate_cleaned!$B$2:$B$10,"&lt;"&amp;C1058,mdr_rate_cleaned!$F$2:$F$10,"&gt;="&amp;C1058)</f>
        <v>1</v>
      </c>
      <c r="G1058">
        <v>3.0000000000000001E-3</v>
      </c>
      <c r="H1058">
        <v>9</v>
      </c>
      <c r="I1058" t="s">
        <v>15</v>
      </c>
      <c r="J1058" t="s">
        <v>15</v>
      </c>
      <c r="K1058">
        <v>1.62</v>
      </c>
      <c r="L1058">
        <v>0</v>
      </c>
    </row>
    <row r="1059" spans="1:12" x14ac:dyDescent="0.3">
      <c r="A1059" t="s">
        <v>1075</v>
      </c>
      <c r="B1059" t="s">
        <v>17</v>
      </c>
      <c r="C1059">
        <v>349</v>
      </c>
      <c r="D1059">
        <v>6.28</v>
      </c>
      <c r="E1059">
        <v>1.1299999999999999</v>
      </c>
      <c r="F1059">
        <f>COUNTIFS(mdr_rate_cleaned!$A$2:$A$10,B1059,mdr_rate_cleaned!$B$2:$B$10,"&lt;"&amp;C1059,mdr_rate_cleaned!$F$2:$F$10,"&gt;="&amp;C1059)</f>
        <v>1</v>
      </c>
      <c r="G1059">
        <v>1.7999999999999999E-2</v>
      </c>
      <c r="H1059">
        <v>6.28</v>
      </c>
      <c r="I1059" t="s">
        <v>15</v>
      </c>
      <c r="J1059" t="s">
        <v>15</v>
      </c>
      <c r="K1059">
        <v>1.1299999999999999</v>
      </c>
      <c r="L1059">
        <v>0</v>
      </c>
    </row>
    <row r="1060" spans="1:12" x14ac:dyDescent="0.3">
      <c r="A1060" t="s">
        <v>1076</v>
      </c>
      <c r="B1060" t="s">
        <v>21</v>
      </c>
      <c r="C1060">
        <v>5998</v>
      </c>
      <c r="D1060">
        <v>17.989999999999998</v>
      </c>
      <c r="E1060">
        <v>3.24</v>
      </c>
      <c r="F1060">
        <f>COUNTIFS(mdr_rate_cleaned!$A$2:$A$10,B1060,mdr_rate_cleaned!$B$2:$B$10,"&lt;"&amp;C1060,mdr_rate_cleaned!$F$2:$F$10,"&gt;="&amp;C1060)</f>
        <v>1</v>
      </c>
      <c r="G1060">
        <v>3.0000000000000001E-3</v>
      </c>
      <c r="H1060">
        <v>17.989999999999998</v>
      </c>
      <c r="I1060" t="s">
        <v>15</v>
      </c>
      <c r="J1060" t="s">
        <v>15</v>
      </c>
      <c r="K1060">
        <v>3.24</v>
      </c>
      <c r="L1060">
        <v>0</v>
      </c>
    </row>
    <row r="1061" spans="1:12" x14ac:dyDescent="0.3">
      <c r="A1061" t="s">
        <v>1077</v>
      </c>
      <c r="B1061" t="s">
        <v>39</v>
      </c>
      <c r="C1061">
        <v>2499</v>
      </c>
      <c r="D1061">
        <v>29.99</v>
      </c>
      <c r="E1061">
        <v>5.4</v>
      </c>
      <c r="F1061">
        <f>COUNTIFS(mdr_rate_cleaned!$A$2:$A$10,B1061,mdr_rate_cleaned!$B$2:$B$10,"&lt;"&amp;C1061,mdr_rate_cleaned!$F$2:$F$10,"&gt;="&amp;C1061)</f>
        <v>1</v>
      </c>
      <c r="G1061">
        <v>1.2E-2</v>
      </c>
      <c r="H1061">
        <v>29.99</v>
      </c>
      <c r="I1061" t="s">
        <v>15</v>
      </c>
      <c r="J1061" t="s">
        <v>15</v>
      </c>
      <c r="K1061">
        <v>5.4</v>
      </c>
      <c r="L1061">
        <v>0</v>
      </c>
    </row>
    <row r="1062" spans="1:12" x14ac:dyDescent="0.3">
      <c r="A1062" t="s">
        <v>1078</v>
      </c>
      <c r="B1062" t="s">
        <v>21</v>
      </c>
      <c r="C1062">
        <v>799</v>
      </c>
      <c r="D1062">
        <v>0</v>
      </c>
      <c r="E1062">
        <v>0</v>
      </c>
      <c r="F1062">
        <f>COUNTIFS(mdr_rate_cleaned!$A$2:$A$10,B1062,mdr_rate_cleaned!$B$2:$B$10,"&lt;"&amp;C1062,mdr_rate_cleaned!$F$2:$F$10,"&gt;="&amp;C1062)</f>
        <v>1</v>
      </c>
      <c r="G1062">
        <v>0</v>
      </c>
      <c r="H1062">
        <v>0</v>
      </c>
      <c r="I1062" t="s">
        <v>15</v>
      </c>
      <c r="J1062" t="s">
        <v>15</v>
      </c>
      <c r="K1062">
        <v>0</v>
      </c>
      <c r="L1062">
        <v>0</v>
      </c>
    </row>
    <row r="1063" spans="1:12" x14ac:dyDescent="0.3">
      <c r="A1063" t="s">
        <v>1079</v>
      </c>
      <c r="B1063" t="s">
        <v>21</v>
      </c>
      <c r="C1063">
        <v>9298</v>
      </c>
      <c r="D1063">
        <v>27.89</v>
      </c>
      <c r="E1063">
        <v>5.0199999999999996</v>
      </c>
      <c r="F1063">
        <f>COUNTIFS(mdr_rate_cleaned!$A$2:$A$10,B1063,mdr_rate_cleaned!$B$2:$B$10,"&lt;"&amp;C1063,mdr_rate_cleaned!$F$2:$F$10,"&gt;="&amp;C1063)</f>
        <v>1</v>
      </c>
      <c r="G1063">
        <v>3.0000000000000001E-3</v>
      </c>
      <c r="H1063">
        <v>27.89</v>
      </c>
      <c r="I1063" t="s">
        <v>15</v>
      </c>
      <c r="J1063" t="s">
        <v>15</v>
      </c>
      <c r="K1063">
        <v>5.0199999999999996</v>
      </c>
      <c r="L1063">
        <v>0</v>
      </c>
    </row>
    <row r="1064" spans="1:12" x14ac:dyDescent="0.3">
      <c r="A1064" t="s">
        <v>1080</v>
      </c>
      <c r="B1064" t="s">
        <v>21</v>
      </c>
      <c r="C1064">
        <v>2499</v>
      </c>
      <c r="D1064">
        <v>7.5</v>
      </c>
      <c r="E1064">
        <v>1.35</v>
      </c>
      <c r="F1064">
        <f>COUNTIFS(mdr_rate_cleaned!$A$2:$A$10,B1064,mdr_rate_cleaned!$B$2:$B$10,"&lt;"&amp;C1064,mdr_rate_cleaned!$F$2:$F$10,"&gt;="&amp;C1064)</f>
        <v>1</v>
      </c>
      <c r="G1064">
        <v>3.0000000000000001E-3</v>
      </c>
      <c r="H1064">
        <v>7.5</v>
      </c>
      <c r="I1064" t="s">
        <v>15</v>
      </c>
      <c r="J1064" t="s">
        <v>15</v>
      </c>
      <c r="K1064">
        <v>1.35</v>
      </c>
      <c r="L1064">
        <v>0</v>
      </c>
    </row>
    <row r="1065" spans="1:12" x14ac:dyDescent="0.3">
      <c r="A1065" t="s">
        <v>1081</v>
      </c>
      <c r="B1065" t="s">
        <v>21</v>
      </c>
      <c r="C1065">
        <v>3097</v>
      </c>
      <c r="D1065">
        <v>9.2899999999999991</v>
      </c>
      <c r="E1065">
        <v>1.67</v>
      </c>
      <c r="F1065">
        <f>COUNTIFS(mdr_rate_cleaned!$A$2:$A$10,B1065,mdr_rate_cleaned!$B$2:$B$10,"&lt;"&amp;C1065,mdr_rate_cleaned!$F$2:$F$10,"&gt;="&amp;C1065)</f>
        <v>1</v>
      </c>
      <c r="G1065">
        <v>3.0000000000000001E-3</v>
      </c>
      <c r="H1065">
        <v>9.2899999999999991</v>
      </c>
      <c r="I1065" t="s">
        <v>15</v>
      </c>
      <c r="J1065" t="s">
        <v>15</v>
      </c>
      <c r="K1065">
        <v>1.67</v>
      </c>
      <c r="L1065">
        <v>0</v>
      </c>
    </row>
    <row r="1066" spans="1:12" x14ac:dyDescent="0.3">
      <c r="A1066" t="s">
        <v>1082</v>
      </c>
      <c r="B1066" t="s">
        <v>21</v>
      </c>
      <c r="C1066">
        <v>3797</v>
      </c>
      <c r="D1066">
        <v>11.39</v>
      </c>
      <c r="E1066">
        <v>2.0499999999999998</v>
      </c>
      <c r="F1066">
        <f>COUNTIFS(mdr_rate_cleaned!$A$2:$A$10,B1066,mdr_rate_cleaned!$B$2:$B$10,"&lt;"&amp;C1066,mdr_rate_cleaned!$F$2:$F$10,"&gt;="&amp;C1066)</f>
        <v>1</v>
      </c>
      <c r="G1066">
        <v>3.0000000000000001E-3</v>
      </c>
      <c r="H1066">
        <v>11.39</v>
      </c>
      <c r="I1066" t="s">
        <v>15</v>
      </c>
      <c r="J1066" t="s">
        <v>15</v>
      </c>
      <c r="K1066">
        <v>2.0499999999999998</v>
      </c>
      <c r="L1066">
        <v>0</v>
      </c>
    </row>
    <row r="1067" spans="1:12" x14ac:dyDescent="0.3">
      <c r="A1067" t="s">
        <v>1083</v>
      </c>
      <c r="B1067" t="s">
        <v>21</v>
      </c>
      <c r="C1067">
        <v>599</v>
      </c>
      <c r="D1067">
        <v>0</v>
      </c>
      <c r="E1067">
        <v>0</v>
      </c>
      <c r="F1067">
        <f>COUNTIFS(mdr_rate_cleaned!$A$2:$A$10,B1067,mdr_rate_cleaned!$B$2:$B$10,"&lt;"&amp;C1067,mdr_rate_cleaned!$F$2:$F$10,"&gt;="&amp;C1067)</f>
        <v>1</v>
      </c>
      <c r="G1067">
        <v>0</v>
      </c>
      <c r="H1067">
        <v>0</v>
      </c>
      <c r="I1067" t="s">
        <v>15</v>
      </c>
      <c r="J1067" t="s">
        <v>15</v>
      </c>
      <c r="K1067">
        <v>0</v>
      </c>
      <c r="L1067">
        <v>0</v>
      </c>
    </row>
    <row r="1068" spans="1:12" x14ac:dyDescent="0.3">
      <c r="A1068" t="s">
        <v>1084</v>
      </c>
      <c r="B1068" t="s">
        <v>13</v>
      </c>
      <c r="C1068">
        <v>3798</v>
      </c>
      <c r="D1068">
        <v>91.15</v>
      </c>
      <c r="E1068">
        <v>16.41</v>
      </c>
      <c r="F1068">
        <f>COUNTIFS(mdr_rate_cleaned!$A$2:$A$10,B1068,mdr_rate_cleaned!$B$2:$B$10,"&lt;"&amp;C1068,mdr_rate_cleaned!$F$2:$F$10,"&gt;="&amp;C1068)</f>
        <v>1</v>
      </c>
      <c r="G1068">
        <v>1.7000000000000001E-2</v>
      </c>
      <c r="H1068">
        <v>64.569999999999993</v>
      </c>
      <c r="I1068" t="s">
        <v>14</v>
      </c>
      <c r="J1068" t="s">
        <v>15</v>
      </c>
      <c r="K1068">
        <v>11.62</v>
      </c>
      <c r="L1068">
        <v>31.37</v>
      </c>
    </row>
    <row r="1069" spans="1:12" x14ac:dyDescent="0.3">
      <c r="A1069" t="s">
        <v>1085</v>
      </c>
      <c r="B1069" t="s">
        <v>21</v>
      </c>
      <c r="C1069">
        <v>3498</v>
      </c>
      <c r="D1069">
        <v>10.49</v>
      </c>
      <c r="E1069">
        <v>1.89</v>
      </c>
      <c r="F1069">
        <f>COUNTIFS(mdr_rate_cleaned!$A$2:$A$10,B1069,mdr_rate_cleaned!$B$2:$B$10,"&lt;"&amp;C1069,mdr_rate_cleaned!$F$2:$F$10,"&gt;="&amp;C1069)</f>
        <v>1</v>
      </c>
      <c r="G1069">
        <v>3.0000000000000001E-3</v>
      </c>
      <c r="H1069">
        <v>10.49</v>
      </c>
      <c r="I1069" t="s">
        <v>15</v>
      </c>
      <c r="J1069" t="s">
        <v>15</v>
      </c>
      <c r="K1069">
        <v>1.89</v>
      </c>
      <c r="L1069">
        <v>0</v>
      </c>
    </row>
    <row r="1070" spans="1:12" x14ac:dyDescent="0.3">
      <c r="A1070" t="s">
        <v>1086</v>
      </c>
      <c r="B1070" t="s">
        <v>21</v>
      </c>
      <c r="C1070">
        <v>3097</v>
      </c>
      <c r="D1070">
        <v>9.2899999999999991</v>
      </c>
      <c r="E1070">
        <v>1.67</v>
      </c>
      <c r="F1070">
        <f>COUNTIFS(mdr_rate_cleaned!$A$2:$A$10,B1070,mdr_rate_cleaned!$B$2:$B$10,"&lt;"&amp;C1070,mdr_rate_cleaned!$F$2:$F$10,"&gt;="&amp;C1070)</f>
        <v>1</v>
      </c>
      <c r="G1070">
        <v>3.0000000000000001E-3</v>
      </c>
      <c r="H1070">
        <v>9.2899999999999991</v>
      </c>
      <c r="I1070" t="s">
        <v>15</v>
      </c>
      <c r="J1070" t="s">
        <v>15</v>
      </c>
      <c r="K1070">
        <v>1.67</v>
      </c>
      <c r="L1070">
        <v>0</v>
      </c>
    </row>
    <row r="1071" spans="1:12" x14ac:dyDescent="0.3">
      <c r="A1071" t="s">
        <v>1087</v>
      </c>
      <c r="B1071" t="s">
        <v>21</v>
      </c>
      <c r="C1071">
        <v>3348</v>
      </c>
      <c r="D1071">
        <v>10.039999999999999</v>
      </c>
      <c r="E1071">
        <v>1.81</v>
      </c>
      <c r="F1071">
        <f>COUNTIFS(mdr_rate_cleaned!$A$2:$A$10,B1071,mdr_rate_cleaned!$B$2:$B$10,"&lt;"&amp;C1071,mdr_rate_cleaned!$F$2:$F$10,"&gt;="&amp;C1071)</f>
        <v>1</v>
      </c>
      <c r="G1071">
        <v>3.0000000000000001E-3</v>
      </c>
      <c r="H1071">
        <v>10.039999999999999</v>
      </c>
      <c r="I1071" t="s">
        <v>15</v>
      </c>
      <c r="J1071" t="s">
        <v>15</v>
      </c>
      <c r="K1071">
        <v>1.81</v>
      </c>
      <c r="L1071">
        <v>0</v>
      </c>
    </row>
    <row r="1072" spans="1:12" x14ac:dyDescent="0.3">
      <c r="A1072" t="s">
        <v>1088</v>
      </c>
      <c r="B1072" t="s">
        <v>21</v>
      </c>
      <c r="C1072">
        <v>1499</v>
      </c>
      <c r="D1072">
        <v>0</v>
      </c>
      <c r="E1072">
        <v>0</v>
      </c>
      <c r="F1072">
        <f>COUNTIFS(mdr_rate_cleaned!$A$2:$A$10,B1072,mdr_rate_cleaned!$B$2:$B$10,"&lt;"&amp;C1072,mdr_rate_cleaned!$F$2:$F$10,"&gt;="&amp;C1072)</f>
        <v>1</v>
      </c>
      <c r="G1072">
        <v>0</v>
      </c>
      <c r="H1072">
        <v>0</v>
      </c>
      <c r="I1072" t="s">
        <v>15</v>
      </c>
      <c r="J1072" t="s">
        <v>15</v>
      </c>
      <c r="K1072">
        <v>0</v>
      </c>
      <c r="L1072">
        <v>0</v>
      </c>
    </row>
    <row r="1073" spans="1:12" x14ac:dyDescent="0.3">
      <c r="A1073" t="s">
        <v>1089</v>
      </c>
      <c r="B1073" t="s">
        <v>21</v>
      </c>
      <c r="C1073">
        <v>4999</v>
      </c>
      <c r="D1073">
        <v>15</v>
      </c>
      <c r="E1073">
        <v>2.7</v>
      </c>
      <c r="F1073">
        <f>COUNTIFS(mdr_rate_cleaned!$A$2:$A$10,B1073,mdr_rate_cleaned!$B$2:$B$10,"&lt;"&amp;C1073,mdr_rate_cleaned!$F$2:$F$10,"&gt;="&amp;C1073)</f>
        <v>1</v>
      </c>
      <c r="G1073">
        <v>3.0000000000000001E-3</v>
      </c>
      <c r="H1073">
        <v>15</v>
      </c>
      <c r="I1073" t="s">
        <v>15</v>
      </c>
      <c r="J1073" t="s">
        <v>15</v>
      </c>
      <c r="K1073">
        <v>2.7</v>
      </c>
      <c r="L1073">
        <v>0</v>
      </c>
    </row>
    <row r="1074" spans="1:12" x14ac:dyDescent="0.3">
      <c r="A1074" t="s">
        <v>1090</v>
      </c>
      <c r="B1074" t="s">
        <v>39</v>
      </c>
      <c r="C1074">
        <v>3499</v>
      </c>
      <c r="D1074">
        <v>41.99</v>
      </c>
      <c r="E1074">
        <v>7.56</v>
      </c>
      <c r="F1074">
        <f>COUNTIFS(mdr_rate_cleaned!$A$2:$A$10,B1074,mdr_rate_cleaned!$B$2:$B$10,"&lt;"&amp;C1074,mdr_rate_cleaned!$F$2:$F$10,"&gt;="&amp;C1074)</f>
        <v>1</v>
      </c>
      <c r="G1074">
        <v>1.2E-2</v>
      </c>
      <c r="H1074">
        <v>41.99</v>
      </c>
      <c r="I1074" t="s">
        <v>15</v>
      </c>
      <c r="J1074" t="s">
        <v>15</v>
      </c>
      <c r="K1074">
        <v>7.56</v>
      </c>
      <c r="L1074">
        <v>0</v>
      </c>
    </row>
    <row r="1075" spans="1:12" x14ac:dyDescent="0.3">
      <c r="A1075" t="s">
        <v>1091</v>
      </c>
      <c r="B1075" t="s">
        <v>13</v>
      </c>
      <c r="C1075">
        <v>799</v>
      </c>
      <c r="D1075">
        <v>15.18</v>
      </c>
      <c r="E1075">
        <v>2.73</v>
      </c>
      <c r="F1075">
        <f>COUNTIFS(mdr_rate_cleaned!$A$2:$A$10,B1075,mdr_rate_cleaned!$B$2:$B$10,"&lt;"&amp;C1075,mdr_rate_cleaned!$F$2:$F$10,"&gt;="&amp;C1075)</f>
        <v>1</v>
      </c>
      <c r="G1075">
        <v>1.9E-2</v>
      </c>
      <c r="H1075">
        <v>15.18</v>
      </c>
      <c r="I1075" t="s">
        <v>15</v>
      </c>
      <c r="J1075" t="s">
        <v>15</v>
      </c>
      <c r="K1075">
        <v>2.73</v>
      </c>
      <c r="L1075">
        <v>0</v>
      </c>
    </row>
    <row r="1076" spans="1:12" x14ac:dyDescent="0.3">
      <c r="A1076" t="s">
        <v>1092</v>
      </c>
      <c r="B1076" t="s">
        <v>21</v>
      </c>
      <c r="C1076">
        <v>4999</v>
      </c>
      <c r="D1076">
        <v>15</v>
      </c>
      <c r="E1076">
        <v>2.7</v>
      </c>
      <c r="F1076">
        <f>COUNTIFS(mdr_rate_cleaned!$A$2:$A$10,B1076,mdr_rate_cleaned!$B$2:$B$10,"&lt;"&amp;C1076,mdr_rate_cleaned!$F$2:$F$10,"&gt;="&amp;C1076)</f>
        <v>1</v>
      </c>
      <c r="G1076">
        <v>3.0000000000000001E-3</v>
      </c>
      <c r="H1076">
        <v>15</v>
      </c>
      <c r="I1076" t="s">
        <v>15</v>
      </c>
      <c r="J1076" t="s">
        <v>15</v>
      </c>
      <c r="K1076">
        <v>2.7</v>
      </c>
      <c r="L1076">
        <v>0</v>
      </c>
    </row>
    <row r="1077" spans="1:12" x14ac:dyDescent="0.3">
      <c r="A1077" t="s">
        <v>1093</v>
      </c>
      <c r="B1077" t="s">
        <v>17</v>
      </c>
      <c r="C1077">
        <v>9798</v>
      </c>
      <c r="D1077">
        <v>156.77000000000001</v>
      </c>
      <c r="E1077">
        <v>28.22</v>
      </c>
      <c r="F1077">
        <f>COUNTIFS(mdr_rate_cleaned!$A$2:$A$10,B1077,mdr_rate_cleaned!$B$2:$B$10,"&lt;"&amp;C1077,mdr_rate_cleaned!$F$2:$F$10,"&gt;="&amp;C1077)</f>
        <v>1</v>
      </c>
      <c r="G1077">
        <v>1.6E-2</v>
      </c>
      <c r="H1077">
        <v>156.77000000000001</v>
      </c>
      <c r="I1077" t="s">
        <v>15</v>
      </c>
      <c r="J1077" t="s">
        <v>15</v>
      </c>
      <c r="K1077">
        <v>28.22</v>
      </c>
      <c r="L1077">
        <v>0</v>
      </c>
    </row>
    <row r="1078" spans="1:12" x14ac:dyDescent="0.3">
      <c r="A1078" t="s">
        <v>1094</v>
      </c>
      <c r="B1078" t="s">
        <v>21</v>
      </c>
      <c r="C1078">
        <v>798</v>
      </c>
      <c r="D1078">
        <v>0</v>
      </c>
      <c r="E1078">
        <v>0</v>
      </c>
      <c r="F1078">
        <f>COUNTIFS(mdr_rate_cleaned!$A$2:$A$10,B1078,mdr_rate_cleaned!$B$2:$B$10,"&lt;"&amp;C1078,mdr_rate_cleaned!$F$2:$F$10,"&gt;="&amp;C1078)</f>
        <v>1</v>
      </c>
      <c r="G1078">
        <v>0</v>
      </c>
      <c r="H1078">
        <v>0</v>
      </c>
      <c r="I1078" t="s">
        <v>15</v>
      </c>
      <c r="J1078" t="s">
        <v>15</v>
      </c>
      <c r="K1078">
        <v>0</v>
      </c>
      <c r="L1078">
        <v>0</v>
      </c>
    </row>
    <row r="1079" spans="1:12" x14ac:dyDescent="0.3">
      <c r="A1079" t="s">
        <v>1095</v>
      </c>
      <c r="B1079" t="s">
        <v>17</v>
      </c>
      <c r="C1079">
        <v>7999</v>
      </c>
      <c r="D1079">
        <v>127.98</v>
      </c>
      <c r="E1079">
        <v>23.04</v>
      </c>
      <c r="F1079">
        <f>COUNTIFS(mdr_rate_cleaned!$A$2:$A$10,B1079,mdr_rate_cleaned!$B$2:$B$10,"&lt;"&amp;C1079,mdr_rate_cleaned!$F$2:$F$10,"&gt;="&amp;C1079)</f>
        <v>1</v>
      </c>
      <c r="G1079">
        <v>1.6E-2</v>
      </c>
      <c r="H1079">
        <v>127.98</v>
      </c>
      <c r="I1079" t="s">
        <v>15</v>
      </c>
      <c r="J1079" t="s">
        <v>15</v>
      </c>
      <c r="K1079">
        <v>23.04</v>
      </c>
      <c r="L1079">
        <v>0</v>
      </c>
    </row>
    <row r="1080" spans="1:12" x14ac:dyDescent="0.3">
      <c r="A1080" t="s">
        <v>1096</v>
      </c>
      <c r="B1080" t="s">
        <v>21</v>
      </c>
      <c r="C1080">
        <v>499</v>
      </c>
      <c r="D1080">
        <v>0</v>
      </c>
      <c r="E1080">
        <v>0</v>
      </c>
      <c r="F1080">
        <f>COUNTIFS(mdr_rate_cleaned!$A$2:$A$10,B1080,mdr_rate_cleaned!$B$2:$B$10,"&lt;"&amp;C1080,mdr_rate_cleaned!$F$2:$F$10,"&gt;="&amp;C1080)</f>
        <v>1</v>
      </c>
      <c r="G1080">
        <v>0</v>
      </c>
      <c r="H1080">
        <v>0</v>
      </c>
      <c r="I1080" t="s">
        <v>15</v>
      </c>
      <c r="J1080" t="s">
        <v>15</v>
      </c>
      <c r="K1080">
        <v>0</v>
      </c>
      <c r="L1080">
        <v>0</v>
      </c>
    </row>
    <row r="1081" spans="1:12" x14ac:dyDescent="0.3">
      <c r="A1081" t="s">
        <v>1097</v>
      </c>
      <c r="B1081" t="s">
        <v>17</v>
      </c>
      <c r="C1081">
        <v>9097</v>
      </c>
      <c r="D1081">
        <v>145.55000000000001</v>
      </c>
      <c r="E1081">
        <v>26.2</v>
      </c>
      <c r="F1081">
        <f>COUNTIFS(mdr_rate_cleaned!$A$2:$A$10,B1081,mdr_rate_cleaned!$B$2:$B$10,"&lt;"&amp;C1081,mdr_rate_cleaned!$F$2:$F$10,"&gt;="&amp;C1081)</f>
        <v>1</v>
      </c>
      <c r="G1081">
        <v>1.6E-2</v>
      </c>
      <c r="H1081">
        <v>145.55000000000001</v>
      </c>
      <c r="I1081" t="s">
        <v>15</v>
      </c>
      <c r="J1081" t="s">
        <v>15</v>
      </c>
      <c r="K1081">
        <v>26.2</v>
      </c>
      <c r="L1081">
        <v>0</v>
      </c>
    </row>
    <row r="1082" spans="1:12" x14ac:dyDescent="0.3">
      <c r="A1082" t="s">
        <v>1098</v>
      </c>
      <c r="B1082" t="s">
        <v>21</v>
      </c>
      <c r="C1082">
        <v>4298</v>
      </c>
      <c r="D1082">
        <v>12.89</v>
      </c>
      <c r="E1082">
        <v>2.3199999999999998</v>
      </c>
      <c r="F1082">
        <f>COUNTIFS(mdr_rate_cleaned!$A$2:$A$10,B1082,mdr_rate_cleaned!$B$2:$B$10,"&lt;"&amp;C1082,mdr_rate_cleaned!$F$2:$F$10,"&gt;="&amp;C1082)</f>
        <v>1</v>
      </c>
      <c r="G1082">
        <v>3.0000000000000001E-3</v>
      </c>
      <c r="H1082">
        <v>12.89</v>
      </c>
      <c r="I1082" t="s">
        <v>15</v>
      </c>
      <c r="J1082" t="s">
        <v>15</v>
      </c>
      <c r="K1082">
        <v>2.3199999999999998</v>
      </c>
      <c r="L1082">
        <v>0</v>
      </c>
    </row>
    <row r="1083" spans="1:12" x14ac:dyDescent="0.3">
      <c r="A1083" t="s">
        <v>1099</v>
      </c>
      <c r="B1083" t="s">
        <v>39</v>
      </c>
      <c r="C1083">
        <v>999</v>
      </c>
      <c r="D1083">
        <v>14.99</v>
      </c>
      <c r="E1083">
        <v>2.7</v>
      </c>
      <c r="F1083">
        <f>COUNTIFS(mdr_rate_cleaned!$A$2:$A$10,B1083,mdr_rate_cleaned!$B$2:$B$10,"&lt;"&amp;C1083,mdr_rate_cleaned!$F$2:$F$10,"&gt;="&amp;C1083)</f>
        <v>1</v>
      </c>
      <c r="G1083">
        <v>1.4999999999999999E-2</v>
      </c>
      <c r="H1083">
        <v>14.99</v>
      </c>
      <c r="I1083" t="s">
        <v>15</v>
      </c>
      <c r="J1083" t="s">
        <v>15</v>
      </c>
      <c r="K1083">
        <v>2.7</v>
      </c>
      <c r="L1083">
        <v>0</v>
      </c>
    </row>
    <row r="1084" spans="1:12" x14ac:dyDescent="0.3">
      <c r="A1084" t="s">
        <v>1100</v>
      </c>
      <c r="B1084" t="s">
        <v>21</v>
      </c>
      <c r="C1084">
        <v>1598</v>
      </c>
      <c r="D1084">
        <v>0</v>
      </c>
      <c r="E1084">
        <v>0</v>
      </c>
      <c r="F1084">
        <f>COUNTIFS(mdr_rate_cleaned!$A$2:$A$10,B1084,mdr_rate_cleaned!$B$2:$B$10,"&lt;"&amp;C1084,mdr_rate_cleaned!$F$2:$F$10,"&gt;="&amp;C1084)</f>
        <v>1</v>
      </c>
      <c r="G1084">
        <v>0</v>
      </c>
      <c r="H1084">
        <v>0</v>
      </c>
      <c r="I1084" t="s">
        <v>15</v>
      </c>
      <c r="J1084" t="s">
        <v>15</v>
      </c>
      <c r="K1084">
        <v>0</v>
      </c>
      <c r="L1084">
        <v>0</v>
      </c>
    </row>
    <row r="1085" spans="1:12" x14ac:dyDescent="0.3">
      <c r="A1085" t="s">
        <v>1101</v>
      </c>
      <c r="B1085" t="s">
        <v>39</v>
      </c>
      <c r="C1085">
        <v>499</v>
      </c>
      <c r="D1085">
        <v>7.49</v>
      </c>
      <c r="E1085">
        <v>1.35</v>
      </c>
      <c r="F1085">
        <f>COUNTIFS(mdr_rate_cleaned!$A$2:$A$10,B1085,mdr_rate_cleaned!$B$2:$B$10,"&lt;"&amp;C1085,mdr_rate_cleaned!$F$2:$F$10,"&gt;="&amp;C1085)</f>
        <v>1</v>
      </c>
      <c r="G1085">
        <v>1.4999999999999999E-2</v>
      </c>
      <c r="H1085">
        <v>7.49</v>
      </c>
      <c r="I1085" t="s">
        <v>15</v>
      </c>
      <c r="J1085" t="s">
        <v>15</v>
      </c>
      <c r="K1085">
        <v>1.35</v>
      </c>
      <c r="L1085">
        <v>0</v>
      </c>
    </row>
    <row r="1086" spans="1:12" x14ac:dyDescent="0.3">
      <c r="A1086" t="s">
        <v>1102</v>
      </c>
      <c r="B1086" t="s">
        <v>21</v>
      </c>
      <c r="C1086">
        <v>4999</v>
      </c>
      <c r="D1086">
        <v>15</v>
      </c>
      <c r="E1086">
        <v>2.7</v>
      </c>
      <c r="F1086">
        <f>COUNTIFS(mdr_rate_cleaned!$A$2:$A$10,B1086,mdr_rate_cleaned!$B$2:$B$10,"&lt;"&amp;C1086,mdr_rate_cleaned!$F$2:$F$10,"&gt;="&amp;C1086)</f>
        <v>1</v>
      </c>
      <c r="G1086">
        <v>3.0000000000000001E-3</v>
      </c>
      <c r="H1086">
        <v>15</v>
      </c>
      <c r="I1086" t="s">
        <v>15</v>
      </c>
      <c r="J1086" t="s">
        <v>15</v>
      </c>
      <c r="K1086">
        <v>2.7</v>
      </c>
      <c r="L1086">
        <v>0</v>
      </c>
    </row>
    <row r="1087" spans="1:12" x14ac:dyDescent="0.3">
      <c r="A1087" t="s">
        <v>1103</v>
      </c>
      <c r="B1087" t="s">
        <v>21</v>
      </c>
      <c r="C1087">
        <v>499</v>
      </c>
      <c r="D1087">
        <v>0</v>
      </c>
      <c r="E1087">
        <v>0</v>
      </c>
      <c r="F1087">
        <f>COUNTIFS(mdr_rate_cleaned!$A$2:$A$10,B1087,mdr_rate_cleaned!$B$2:$B$10,"&lt;"&amp;C1087,mdr_rate_cleaned!$F$2:$F$10,"&gt;="&amp;C1087)</f>
        <v>1</v>
      </c>
      <c r="G1087">
        <v>0</v>
      </c>
      <c r="H1087">
        <v>0</v>
      </c>
      <c r="I1087" t="s">
        <v>15</v>
      </c>
      <c r="J1087" t="s">
        <v>15</v>
      </c>
      <c r="K1087">
        <v>0</v>
      </c>
      <c r="L1087">
        <v>0</v>
      </c>
    </row>
    <row r="1088" spans="1:12" x14ac:dyDescent="0.3">
      <c r="A1088" t="s">
        <v>1104</v>
      </c>
      <c r="B1088" t="s">
        <v>39</v>
      </c>
      <c r="C1088">
        <v>2499</v>
      </c>
      <c r="D1088">
        <v>29.99</v>
      </c>
      <c r="E1088">
        <v>5.4</v>
      </c>
      <c r="F1088">
        <f>COUNTIFS(mdr_rate_cleaned!$A$2:$A$10,B1088,mdr_rate_cleaned!$B$2:$B$10,"&lt;"&amp;C1088,mdr_rate_cleaned!$F$2:$F$10,"&gt;="&amp;C1088)</f>
        <v>1</v>
      </c>
      <c r="G1088">
        <v>1.2E-2</v>
      </c>
      <c r="H1088">
        <v>29.99</v>
      </c>
      <c r="I1088" t="s">
        <v>15</v>
      </c>
      <c r="J1088" t="s">
        <v>15</v>
      </c>
      <c r="K1088">
        <v>5.4</v>
      </c>
      <c r="L1088">
        <v>0</v>
      </c>
    </row>
    <row r="1089" spans="1:12" x14ac:dyDescent="0.3">
      <c r="A1089" t="s">
        <v>1105</v>
      </c>
      <c r="B1089" t="s">
        <v>21</v>
      </c>
      <c r="C1089">
        <v>3998</v>
      </c>
      <c r="D1089">
        <v>11.99</v>
      </c>
      <c r="E1089">
        <v>2.16</v>
      </c>
      <c r="F1089">
        <f>COUNTIFS(mdr_rate_cleaned!$A$2:$A$10,B1089,mdr_rate_cleaned!$B$2:$B$10,"&lt;"&amp;C1089,mdr_rate_cleaned!$F$2:$F$10,"&gt;="&amp;C1089)</f>
        <v>1</v>
      </c>
      <c r="G1089">
        <v>3.0000000000000001E-3</v>
      </c>
      <c r="H1089">
        <v>11.99</v>
      </c>
      <c r="I1089" t="s">
        <v>15</v>
      </c>
      <c r="J1089" t="s">
        <v>15</v>
      </c>
      <c r="K1089">
        <v>2.16</v>
      </c>
      <c r="L1089">
        <v>0</v>
      </c>
    </row>
    <row r="1090" spans="1:12" x14ac:dyDescent="0.3">
      <c r="A1090" t="s">
        <v>1106</v>
      </c>
      <c r="B1090" t="s">
        <v>13</v>
      </c>
      <c r="C1090">
        <v>3499</v>
      </c>
      <c r="D1090">
        <v>83.98</v>
      </c>
      <c r="E1090">
        <v>15.12</v>
      </c>
      <c r="F1090">
        <f>COUNTIFS(mdr_rate_cleaned!$A$2:$A$10,B1090,mdr_rate_cleaned!$B$2:$B$10,"&lt;"&amp;C1090,mdr_rate_cleaned!$F$2:$F$10,"&gt;="&amp;C1090)</f>
        <v>1</v>
      </c>
      <c r="G1090">
        <v>1.7000000000000001E-2</v>
      </c>
      <c r="H1090">
        <v>59.48</v>
      </c>
      <c r="I1090" t="s">
        <v>14</v>
      </c>
      <c r="J1090" t="s">
        <v>15</v>
      </c>
      <c r="K1090">
        <v>10.71</v>
      </c>
      <c r="L1090">
        <v>28.91</v>
      </c>
    </row>
    <row r="1091" spans="1:12" x14ac:dyDescent="0.3">
      <c r="A1091" t="s">
        <v>1107</v>
      </c>
      <c r="B1091" t="s">
        <v>17</v>
      </c>
      <c r="C1091">
        <v>2499</v>
      </c>
      <c r="D1091">
        <v>39.979999999999997</v>
      </c>
      <c r="E1091">
        <v>7.2</v>
      </c>
      <c r="F1091">
        <f>COUNTIFS(mdr_rate_cleaned!$A$2:$A$10,B1091,mdr_rate_cleaned!$B$2:$B$10,"&lt;"&amp;C1091,mdr_rate_cleaned!$F$2:$F$10,"&gt;="&amp;C1091)</f>
        <v>1</v>
      </c>
      <c r="G1091">
        <v>1.6E-2</v>
      </c>
      <c r="H1091">
        <v>39.979999999999997</v>
      </c>
      <c r="I1091" t="s">
        <v>15</v>
      </c>
      <c r="J1091" t="s">
        <v>15</v>
      </c>
      <c r="K1091">
        <v>7.2</v>
      </c>
      <c r="L1091">
        <v>0</v>
      </c>
    </row>
    <row r="1092" spans="1:12" x14ac:dyDescent="0.3">
      <c r="A1092" t="s">
        <v>1108</v>
      </c>
      <c r="B1092" t="s">
        <v>21</v>
      </c>
      <c r="C1092">
        <v>349</v>
      </c>
      <c r="D1092">
        <v>0</v>
      </c>
      <c r="E1092">
        <v>0</v>
      </c>
      <c r="F1092">
        <f>COUNTIFS(mdr_rate_cleaned!$A$2:$A$10,B1092,mdr_rate_cleaned!$B$2:$B$10,"&lt;"&amp;C1092,mdr_rate_cleaned!$F$2:$F$10,"&gt;="&amp;C1092)</f>
        <v>1</v>
      </c>
      <c r="G1092">
        <v>0</v>
      </c>
      <c r="H1092">
        <v>0</v>
      </c>
      <c r="I1092" t="s">
        <v>15</v>
      </c>
      <c r="J1092" t="s">
        <v>15</v>
      </c>
      <c r="K1092">
        <v>0</v>
      </c>
      <c r="L1092">
        <v>0</v>
      </c>
    </row>
    <row r="1093" spans="1:12" x14ac:dyDescent="0.3">
      <c r="A1093" t="s">
        <v>1109</v>
      </c>
      <c r="B1093" t="s">
        <v>21</v>
      </c>
      <c r="C1093">
        <v>4298</v>
      </c>
      <c r="D1093">
        <v>12.89</v>
      </c>
      <c r="E1093">
        <v>2.3199999999999998</v>
      </c>
      <c r="F1093">
        <f>COUNTIFS(mdr_rate_cleaned!$A$2:$A$10,B1093,mdr_rate_cleaned!$B$2:$B$10,"&lt;"&amp;C1093,mdr_rate_cleaned!$F$2:$F$10,"&gt;="&amp;C1093)</f>
        <v>1</v>
      </c>
      <c r="G1093">
        <v>3.0000000000000001E-3</v>
      </c>
      <c r="H1093">
        <v>12.89</v>
      </c>
      <c r="I1093" t="s">
        <v>15</v>
      </c>
      <c r="J1093" t="s">
        <v>15</v>
      </c>
      <c r="K1093">
        <v>2.3199999999999998</v>
      </c>
      <c r="L1093">
        <v>0</v>
      </c>
    </row>
    <row r="1094" spans="1:12" x14ac:dyDescent="0.3">
      <c r="A1094" t="s">
        <v>1110</v>
      </c>
      <c r="B1094" t="s">
        <v>39</v>
      </c>
      <c r="C1094">
        <v>7397</v>
      </c>
      <c r="D1094">
        <v>88.76</v>
      </c>
      <c r="E1094">
        <v>15.98</v>
      </c>
      <c r="F1094">
        <f>COUNTIFS(mdr_rate_cleaned!$A$2:$A$10,B1094,mdr_rate_cleaned!$B$2:$B$10,"&lt;"&amp;C1094,mdr_rate_cleaned!$F$2:$F$10,"&gt;="&amp;C1094)</f>
        <v>1</v>
      </c>
      <c r="G1094">
        <v>1.2E-2</v>
      </c>
      <c r="H1094">
        <v>88.76</v>
      </c>
      <c r="I1094" t="s">
        <v>15</v>
      </c>
      <c r="J1094" t="s">
        <v>15</v>
      </c>
      <c r="K1094">
        <v>15.98</v>
      </c>
      <c r="L1094">
        <v>0</v>
      </c>
    </row>
    <row r="1095" spans="1:12" x14ac:dyDescent="0.3">
      <c r="A1095" t="s">
        <v>1111</v>
      </c>
      <c r="B1095" t="s">
        <v>21</v>
      </c>
      <c r="C1095">
        <v>5348</v>
      </c>
      <c r="D1095">
        <v>16.04</v>
      </c>
      <c r="E1095">
        <v>2.89</v>
      </c>
      <c r="F1095">
        <f>COUNTIFS(mdr_rate_cleaned!$A$2:$A$10,B1095,mdr_rate_cleaned!$B$2:$B$10,"&lt;"&amp;C1095,mdr_rate_cleaned!$F$2:$F$10,"&gt;="&amp;C1095)</f>
        <v>1</v>
      </c>
      <c r="G1095">
        <v>3.0000000000000001E-3</v>
      </c>
      <c r="H1095">
        <v>16.04</v>
      </c>
      <c r="I1095" t="s">
        <v>15</v>
      </c>
      <c r="J1095" t="s">
        <v>15</v>
      </c>
      <c r="K1095">
        <v>2.89</v>
      </c>
      <c r="L1095">
        <v>0</v>
      </c>
    </row>
    <row r="1096" spans="1:12" x14ac:dyDescent="0.3">
      <c r="A1096" t="s">
        <v>1112</v>
      </c>
      <c r="B1096" t="s">
        <v>21</v>
      </c>
      <c r="C1096">
        <v>7999</v>
      </c>
      <c r="D1096">
        <v>24</v>
      </c>
      <c r="E1096">
        <v>4.32</v>
      </c>
      <c r="F1096">
        <f>COUNTIFS(mdr_rate_cleaned!$A$2:$A$10,B1096,mdr_rate_cleaned!$B$2:$B$10,"&lt;"&amp;C1096,mdr_rate_cleaned!$F$2:$F$10,"&gt;="&amp;C1096)</f>
        <v>1</v>
      </c>
      <c r="G1096">
        <v>3.0000000000000001E-3</v>
      </c>
      <c r="H1096">
        <v>24</v>
      </c>
      <c r="I1096" t="s">
        <v>15</v>
      </c>
      <c r="J1096" t="s">
        <v>15</v>
      </c>
      <c r="K1096">
        <v>4.32</v>
      </c>
      <c r="L1096">
        <v>0</v>
      </c>
    </row>
    <row r="1097" spans="1:12" x14ac:dyDescent="0.3">
      <c r="A1097" t="s">
        <v>1113</v>
      </c>
      <c r="B1097" t="s">
        <v>13</v>
      </c>
      <c r="C1097">
        <v>1799</v>
      </c>
      <c r="D1097">
        <v>34.18</v>
      </c>
      <c r="E1097">
        <v>6.15</v>
      </c>
      <c r="F1097">
        <f>COUNTIFS(mdr_rate_cleaned!$A$2:$A$10,B1097,mdr_rate_cleaned!$B$2:$B$10,"&lt;"&amp;C1097,mdr_rate_cleaned!$F$2:$F$10,"&gt;="&amp;C1097)</f>
        <v>1</v>
      </c>
      <c r="G1097">
        <v>1.9E-2</v>
      </c>
      <c r="H1097">
        <v>34.18</v>
      </c>
      <c r="I1097" t="s">
        <v>15</v>
      </c>
      <c r="J1097" t="s">
        <v>15</v>
      </c>
      <c r="K1097">
        <v>6.15</v>
      </c>
      <c r="L1097">
        <v>0</v>
      </c>
    </row>
    <row r="1098" spans="1:12" x14ac:dyDescent="0.3">
      <c r="A1098" t="s">
        <v>1114</v>
      </c>
      <c r="B1098" t="s">
        <v>21</v>
      </c>
      <c r="C1098">
        <v>2297</v>
      </c>
      <c r="D1098">
        <v>6.89</v>
      </c>
      <c r="E1098">
        <v>1.24</v>
      </c>
      <c r="F1098">
        <f>COUNTIFS(mdr_rate_cleaned!$A$2:$A$10,B1098,mdr_rate_cleaned!$B$2:$B$10,"&lt;"&amp;C1098,mdr_rate_cleaned!$F$2:$F$10,"&gt;="&amp;C1098)</f>
        <v>1</v>
      </c>
      <c r="G1098">
        <v>3.0000000000000001E-3</v>
      </c>
      <c r="H1098">
        <v>6.89</v>
      </c>
      <c r="I1098" t="s">
        <v>15</v>
      </c>
      <c r="J1098" t="s">
        <v>15</v>
      </c>
      <c r="K1098">
        <v>1.24</v>
      </c>
      <c r="L1098">
        <v>0</v>
      </c>
    </row>
    <row r="1099" spans="1:12" x14ac:dyDescent="0.3">
      <c r="A1099" t="s">
        <v>1115</v>
      </c>
      <c r="B1099" t="s">
        <v>17</v>
      </c>
      <c r="C1099">
        <v>499</v>
      </c>
      <c r="D1099">
        <v>8.98</v>
      </c>
      <c r="E1099">
        <v>1.62</v>
      </c>
      <c r="F1099">
        <f>COUNTIFS(mdr_rate_cleaned!$A$2:$A$10,B1099,mdr_rate_cleaned!$B$2:$B$10,"&lt;"&amp;C1099,mdr_rate_cleaned!$F$2:$F$10,"&gt;="&amp;C1099)</f>
        <v>1</v>
      </c>
      <c r="G1099">
        <v>1.7999999999999999E-2</v>
      </c>
      <c r="H1099">
        <v>8.98</v>
      </c>
      <c r="I1099" t="s">
        <v>15</v>
      </c>
      <c r="J1099" t="s">
        <v>15</v>
      </c>
      <c r="K1099">
        <v>1.62</v>
      </c>
      <c r="L1099">
        <v>0</v>
      </c>
    </row>
    <row r="1100" spans="1:12" x14ac:dyDescent="0.3">
      <c r="A1100" t="s">
        <v>1116</v>
      </c>
      <c r="B1100" t="s">
        <v>21</v>
      </c>
      <c r="C1100">
        <v>7999</v>
      </c>
      <c r="D1100">
        <v>24</v>
      </c>
      <c r="E1100">
        <v>4.32</v>
      </c>
      <c r="F1100">
        <f>COUNTIFS(mdr_rate_cleaned!$A$2:$A$10,B1100,mdr_rate_cleaned!$B$2:$B$10,"&lt;"&amp;C1100,mdr_rate_cleaned!$F$2:$F$10,"&gt;="&amp;C1100)</f>
        <v>1</v>
      </c>
      <c r="G1100">
        <v>3.0000000000000001E-3</v>
      </c>
      <c r="H1100">
        <v>24</v>
      </c>
      <c r="I1100" t="s">
        <v>15</v>
      </c>
      <c r="J1100" t="s">
        <v>15</v>
      </c>
      <c r="K1100">
        <v>4.32</v>
      </c>
      <c r="L1100">
        <v>0</v>
      </c>
    </row>
    <row r="1101" spans="1:12" x14ac:dyDescent="0.3">
      <c r="A1101" t="s">
        <v>1117</v>
      </c>
      <c r="B1101" t="s">
        <v>21</v>
      </c>
      <c r="C1101">
        <v>3098</v>
      </c>
      <c r="D1101">
        <v>9.2899999999999991</v>
      </c>
      <c r="E1101">
        <v>1.67</v>
      </c>
      <c r="F1101">
        <f>COUNTIFS(mdr_rate_cleaned!$A$2:$A$10,B1101,mdr_rate_cleaned!$B$2:$B$10,"&lt;"&amp;C1101,mdr_rate_cleaned!$F$2:$F$10,"&gt;="&amp;C1101)</f>
        <v>1</v>
      </c>
      <c r="G1101">
        <v>3.0000000000000001E-3</v>
      </c>
      <c r="H1101">
        <v>9.2899999999999991</v>
      </c>
      <c r="I1101" t="s">
        <v>15</v>
      </c>
      <c r="J1101" t="s">
        <v>15</v>
      </c>
      <c r="K1101">
        <v>1.67</v>
      </c>
      <c r="L1101">
        <v>0</v>
      </c>
    </row>
    <row r="1102" spans="1:12" x14ac:dyDescent="0.3">
      <c r="A1102" t="s">
        <v>1118</v>
      </c>
      <c r="B1102" t="s">
        <v>21</v>
      </c>
      <c r="C1102">
        <v>499</v>
      </c>
      <c r="D1102">
        <v>0</v>
      </c>
      <c r="E1102">
        <v>0</v>
      </c>
      <c r="F1102">
        <f>COUNTIFS(mdr_rate_cleaned!$A$2:$A$10,B1102,mdr_rate_cleaned!$B$2:$B$10,"&lt;"&amp;C1102,mdr_rate_cleaned!$F$2:$F$10,"&gt;="&amp;C1102)</f>
        <v>1</v>
      </c>
      <c r="G1102">
        <v>0</v>
      </c>
      <c r="H1102">
        <v>0</v>
      </c>
      <c r="I1102" t="s">
        <v>15</v>
      </c>
      <c r="J1102" t="s">
        <v>15</v>
      </c>
      <c r="K1102">
        <v>0</v>
      </c>
      <c r="L1102">
        <v>0</v>
      </c>
    </row>
    <row r="1103" spans="1:12" x14ac:dyDescent="0.3">
      <c r="A1103" t="s">
        <v>1119</v>
      </c>
      <c r="B1103" t="s">
        <v>17</v>
      </c>
      <c r="C1103">
        <v>2298</v>
      </c>
      <c r="D1103">
        <v>36.770000000000003</v>
      </c>
      <c r="E1103">
        <v>6.62</v>
      </c>
      <c r="F1103">
        <f>COUNTIFS(mdr_rate_cleaned!$A$2:$A$10,B1103,mdr_rate_cleaned!$B$2:$B$10,"&lt;"&amp;C1103,mdr_rate_cleaned!$F$2:$F$10,"&gt;="&amp;C1103)</f>
        <v>1</v>
      </c>
      <c r="G1103">
        <v>1.6E-2</v>
      </c>
      <c r="H1103">
        <v>36.770000000000003</v>
      </c>
      <c r="I1103" t="s">
        <v>15</v>
      </c>
      <c r="J1103" t="s">
        <v>15</v>
      </c>
      <c r="K1103">
        <v>6.62</v>
      </c>
      <c r="L1103">
        <v>0</v>
      </c>
    </row>
    <row r="1104" spans="1:12" x14ac:dyDescent="0.3">
      <c r="A1104" t="s">
        <v>1120</v>
      </c>
      <c r="B1104" t="s">
        <v>21</v>
      </c>
      <c r="C1104">
        <v>5998</v>
      </c>
      <c r="D1104">
        <v>17.989999999999998</v>
      </c>
      <c r="E1104">
        <v>3.24</v>
      </c>
      <c r="F1104">
        <f>COUNTIFS(mdr_rate_cleaned!$A$2:$A$10,B1104,mdr_rate_cleaned!$B$2:$B$10,"&lt;"&amp;C1104,mdr_rate_cleaned!$F$2:$F$10,"&gt;="&amp;C1104)</f>
        <v>1</v>
      </c>
      <c r="G1104">
        <v>3.0000000000000001E-3</v>
      </c>
      <c r="H1104">
        <v>17.989999999999998</v>
      </c>
      <c r="I1104" t="s">
        <v>15</v>
      </c>
      <c r="J1104" t="s">
        <v>15</v>
      </c>
      <c r="K1104">
        <v>3.24</v>
      </c>
      <c r="L1104">
        <v>0</v>
      </c>
    </row>
    <row r="1105" spans="1:12" x14ac:dyDescent="0.3">
      <c r="A1105" t="s">
        <v>1121</v>
      </c>
      <c r="B1105" t="s">
        <v>21</v>
      </c>
      <c r="C1105">
        <v>2998</v>
      </c>
      <c r="D1105">
        <v>8.99</v>
      </c>
      <c r="E1105">
        <v>1.62</v>
      </c>
      <c r="F1105">
        <f>COUNTIFS(mdr_rate_cleaned!$A$2:$A$10,B1105,mdr_rate_cleaned!$B$2:$B$10,"&lt;"&amp;C1105,mdr_rate_cleaned!$F$2:$F$10,"&gt;="&amp;C1105)</f>
        <v>1</v>
      </c>
      <c r="G1105">
        <v>3.0000000000000001E-3</v>
      </c>
      <c r="H1105">
        <v>8.99</v>
      </c>
      <c r="I1105" t="s">
        <v>15</v>
      </c>
      <c r="J1105" t="s">
        <v>15</v>
      </c>
      <c r="K1105">
        <v>1.62</v>
      </c>
      <c r="L1105">
        <v>0</v>
      </c>
    </row>
    <row r="1106" spans="1:12" x14ac:dyDescent="0.3">
      <c r="A1106" t="s">
        <v>1122</v>
      </c>
      <c r="B1106" t="s">
        <v>17</v>
      </c>
      <c r="C1106">
        <v>6297</v>
      </c>
      <c r="D1106">
        <v>100.75</v>
      </c>
      <c r="E1106">
        <v>18.14</v>
      </c>
      <c r="F1106">
        <f>COUNTIFS(mdr_rate_cleaned!$A$2:$A$10,B1106,mdr_rate_cleaned!$B$2:$B$10,"&lt;"&amp;C1106,mdr_rate_cleaned!$F$2:$F$10,"&gt;="&amp;C1106)</f>
        <v>1</v>
      </c>
      <c r="G1106">
        <v>1.6E-2</v>
      </c>
      <c r="H1106">
        <v>100.75</v>
      </c>
      <c r="I1106" t="s">
        <v>15</v>
      </c>
      <c r="J1106" t="s">
        <v>15</v>
      </c>
      <c r="K1106">
        <v>18.14</v>
      </c>
      <c r="L1106">
        <v>0</v>
      </c>
    </row>
    <row r="1107" spans="1:12" x14ac:dyDescent="0.3">
      <c r="A1107" t="s">
        <v>1123</v>
      </c>
      <c r="B1107" t="s">
        <v>17</v>
      </c>
      <c r="C1107">
        <v>3397</v>
      </c>
      <c r="D1107">
        <v>54.35</v>
      </c>
      <c r="E1107">
        <v>9.7799999999999994</v>
      </c>
      <c r="F1107">
        <f>COUNTIFS(mdr_rate_cleaned!$A$2:$A$10,B1107,mdr_rate_cleaned!$B$2:$B$10,"&lt;"&amp;C1107,mdr_rate_cleaned!$F$2:$F$10,"&gt;="&amp;C1107)</f>
        <v>1</v>
      </c>
      <c r="G1107">
        <v>1.6E-2</v>
      </c>
      <c r="H1107">
        <v>54.35</v>
      </c>
      <c r="I1107" t="s">
        <v>15</v>
      </c>
      <c r="J1107" t="s">
        <v>15</v>
      </c>
      <c r="K1107">
        <v>9.7799999999999994</v>
      </c>
      <c r="L1107">
        <v>0</v>
      </c>
    </row>
    <row r="1108" spans="1:12" x14ac:dyDescent="0.3">
      <c r="A1108" t="s">
        <v>1124</v>
      </c>
      <c r="B1108" t="s">
        <v>21</v>
      </c>
      <c r="C1108">
        <v>3097</v>
      </c>
      <c r="D1108">
        <v>9.2899999999999991</v>
      </c>
      <c r="E1108">
        <v>1.67</v>
      </c>
      <c r="F1108">
        <f>COUNTIFS(mdr_rate_cleaned!$A$2:$A$10,B1108,mdr_rate_cleaned!$B$2:$B$10,"&lt;"&amp;C1108,mdr_rate_cleaned!$F$2:$F$10,"&gt;="&amp;C1108)</f>
        <v>1</v>
      </c>
      <c r="G1108">
        <v>3.0000000000000001E-3</v>
      </c>
      <c r="H1108">
        <v>9.2899999999999991</v>
      </c>
      <c r="I1108" t="s">
        <v>15</v>
      </c>
      <c r="J1108" t="s">
        <v>15</v>
      </c>
      <c r="K1108">
        <v>1.67</v>
      </c>
      <c r="L1108">
        <v>0</v>
      </c>
    </row>
    <row r="1109" spans="1:12" x14ac:dyDescent="0.3">
      <c r="A1109" t="s">
        <v>1125</v>
      </c>
      <c r="B1109" t="s">
        <v>21</v>
      </c>
      <c r="C1109">
        <v>799</v>
      </c>
      <c r="D1109">
        <v>0</v>
      </c>
      <c r="E1109">
        <v>0</v>
      </c>
      <c r="F1109">
        <f>COUNTIFS(mdr_rate_cleaned!$A$2:$A$10,B1109,mdr_rate_cleaned!$B$2:$B$10,"&lt;"&amp;C1109,mdr_rate_cleaned!$F$2:$F$10,"&gt;="&amp;C1109)</f>
        <v>1</v>
      </c>
      <c r="G1109">
        <v>0</v>
      </c>
      <c r="H1109">
        <v>0</v>
      </c>
      <c r="I1109" t="s">
        <v>15</v>
      </c>
      <c r="J1109" t="s">
        <v>15</v>
      </c>
      <c r="K1109">
        <v>0</v>
      </c>
      <c r="L1109">
        <v>0</v>
      </c>
    </row>
    <row r="1110" spans="1:12" x14ac:dyDescent="0.3">
      <c r="A1110" t="s">
        <v>1126</v>
      </c>
      <c r="B1110" t="s">
        <v>21</v>
      </c>
      <c r="C1110">
        <v>349</v>
      </c>
      <c r="D1110">
        <v>0</v>
      </c>
      <c r="E1110">
        <v>0</v>
      </c>
      <c r="F1110">
        <f>COUNTIFS(mdr_rate_cleaned!$A$2:$A$10,B1110,mdr_rate_cleaned!$B$2:$B$10,"&lt;"&amp;C1110,mdr_rate_cleaned!$F$2:$F$10,"&gt;="&amp;C1110)</f>
        <v>1</v>
      </c>
      <c r="G1110">
        <v>0</v>
      </c>
      <c r="H1110">
        <v>0</v>
      </c>
      <c r="I1110" t="s">
        <v>15</v>
      </c>
      <c r="J1110" t="s">
        <v>15</v>
      </c>
      <c r="K1110">
        <v>0</v>
      </c>
      <c r="L1110">
        <v>0</v>
      </c>
    </row>
    <row r="1111" spans="1:12" x14ac:dyDescent="0.3">
      <c r="A1111" t="s">
        <v>1127</v>
      </c>
      <c r="B1111" t="s">
        <v>13</v>
      </c>
      <c r="C1111">
        <v>599</v>
      </c>
      <c r="D1111">
        <v>11.38</v>
      </c>
      <c r="E1111">
        <v>2.0499999999999998</v>
      </c>
      <c r="F1111">
        <f>COUNTIFS(mdr_rate_cleaned!$A$2:$A$10,B1111,mdr_rate_cleaned!$B$2:$B$10,"&lt;"&amp;C1111,mdr_rate_cleaned!$F$2:$F$10,"&gt;="&amp;C1111)</f>
        <v>1</v>
      </c>
      <c r="G1111">
        <v>1.9E-2</v>
      </c>
      <c r="H1111">
        <v>11.38</v>
      </c>
      <c r="I1111" t="s">
        <v>15</v>
      </c>
      <c r="J1111" t="s">
        <v>15</v>
      </c>
      <c r="K1111">
        <v>2.0499999999999998</v>
      </c>
      <c r="L1111">
        <v>0</v>
      </c>
    </row>
    <row r="1112" spans="1:12" x14ac:dyDescent="0.3">
      <c r="A1112" t="s">
        <v>1128</v>
      </c>
      <c r="B1112" t="s">
        <v>21</v>
      </c>
      <c r="C1112">
        <v>5498</v>
      </c>
      <c r="D1112">
        <v>16.489999999999998</v>
      </c>
      <c r="E1112">
        <v>2.97</v>
      </c>
      <c r="F1112">
        <f>COUNTIFS(mdr_rate_cleaned!$A$2:$A$10,B1112,mdr_rate_cleaned!$B$2:$B$10,"&lt;"&amp;C1112,mdr_rate_cleaned!$F$2:$F$10,"&gt;="&amp;C1112)</f>
        <v>1</v>
      </c>
      <c r="G1112">
        <v>3.0000000000000001E-3</v>
      </c>
      <c r="H1112">
        <v>16.489999999999998</v>
      </c>
      <c r="I1112" t="s">
        <v>15</v>
      </c>
      <c r="J1112" t="s">
        <v>15</v>
      </c>
      <c r="K1112">
        <v>2.97</v>
      </c>
      <c r="L1112">
        <v>0</v>
      </c>
    </row>
    <row r="1113" spans="1:12" x14ac:dyDescent="0.3">
      <c r="A1113" t="s">
        <v>1129</v>
      </c>
      <c r="B1113" t="s">
        <v>39</v>
      </c>
      <c r="C1113">
        <v>4999</v>
      </c>
      <c r="D1113">
        <v>59.99</v>
      </c>
      <c r="E1113">
        <v>10.8</v>
      </c>
      <c r="F1113">
        <f>COUNTIFS(mdr_rate_cleaned!$A$2:$A$10,B1113,mdr_rate_cleaned!$B$2:$B$10,"&lt;"&amp;C1113,mdr_rate_cleaned!$F$2:$F$10,"&gt;="&amp;C1113)</f>
        <v>1</v>
      </c>
      <c r="G1113">
        <v>1.2E-2</v>
      </c>
      <c r="H1113">
        <v>59.99</v>
      </c>
      <c r="I1113" t="s">
        <v>15</v>
      </c>
      <c r="J1113" t="s">
        <v>15</v>
      </c>
      <c r="K1113">
        <v>10.8</v>
      </c>
      <c r="L1113">
        <v>0</v>
      </c>
    </row>
    <row r="1114" spans="1:12" x14ac:dyDescent="0.3">
      <c r="A1114" t="s">
        <v>1130</v>
      </c>
      <c r="B1114" t="s">
        <v>21</v>
      </c>
      <c r="C1114">
        <v>4999</v>
      </c>
      <c r="D1114">
        <v>15</v>
      </c>
      <c r="E1114">
        <v>2.7</v>
      </c>
      <c r="F1114">
        <f>COUNTIFS(mdr_rate_cleaned!$A$2:$A$10,B1114,mdr_rate_cleaned!$B$2:$B$10,"&lt;"&amp;C1114,mdr_rate_cleaned!$F$2:$F$10,"&gt;="&amp;C1114)</f>
        <v>1</v>
      </c>
      <c r="G1114">
        <v>3.0000000000000001E-3</v>
      </c>
      <c r="H1114">
        <v>15</v>
      </c>
      <c r="I1114" t="s">
        <v>15</v>
      </c>
      <c r="J1114" t="s">
        <v>15</v>
      </c>
      <c r="K1114">
        <v>2.7</v>
      </c>
      <c r="L1114">
        <v>0</v>
      </c>
    </row>
    <row r="1115" spans="1:12" x14ac:dyDescent="0.3">
      <c r="A1115" t="s">
        <v>1131</v>
      </c>
      <c r="B1115" t="s">
        <v>17</v>
      </c>
      <c r="C1115">
        <v>349</v>
      </c>
      <c r="D1115">
        <v>6.28</v>
      </c>
      <c r="E1115">
        <v>1.1299999999999999</v>
      </c>
      <c r="F1115">
        <f>COUNTIFS(mdr_rate_cleaned!$A$2:$A$10,B1115,mdr_rate_cleaned!$B$2:$B$10,"&lt;"&amp;C1115,mdr_rate_cleaned!$F$2:$F$10,"&gt;="&amp;C1115)</f>
        <v>1</v>
      </c>
      <c r="G1115">
        <v>1.7999999999999999E-2</v>
      </c>
      <c r="H1115">
        <v>6.28</v>
      </c>
      <c r="I1115" t="s">
        <v>15</v>
      </c>
      <c r="J1115" t="s">
        <v>15</v>
      </c>
      <c r="K1115">
        <v>1.1299999999999999</v>
      </c>
      <c r="L1115">
        <v>0</v>
      </c>
    </row>
    <row r="1116" spans="1:12" x14ac:dyDescent="0.3">
      <c r="A1116" t="s">
        <v>1132</v>
      </c>
      <c r="B1116" t="s">
        <v>21</v>
      </c>
      <c r="C1116">
        <v>4999</v>
      </c>
      <c r="D1116">
        <v>15</v>
      </c>
      <c r="E1116">
        <v>2.7</v>
      </c>
      <c r="F1116">
        <f>COUNTIFS(mdr_rate_cleaned!$A$2:$A$10,B1116,mdr_rate_cleaned!$B$2:$B$10,"&lt;"&amp;C1116,mdr_rate_cleaned!$F$2:$F$10,"&gt;="&amp;C1116)</f>
        <v>1</v>
      </c>
      <c r="G1116">
        <v>3.0000000000000001E-3</v>
      </c>
      <c r="H1116">
        <v>15</v>
      </c>
      <c r="I1116" t="s">
        <v>15</v>
      </c>
      <c r="J1116" t="s">
        <v>15</v>
      </c>
      <c r="K1116">
        <v>2.7</v>
      </c>
      <c r="L1116">
        <v>0</v>
      </c>
    </row>
    <row r="1117" spans="1:12" x14ac:dyDescent="0.3">
      <c r="A1117" t="s">
        <v>1133</v>
      </c>
      <c r="B1117" t="s">
        <v>17</v>
      </c>
      <c r="C1117">
        <v>799</v>
      </c>
      <c r="D1117">
        <v>14.38</v>
      </c>
      <c r="E1117">
        <v>2.59</v>
      </c>
      <c r="F1117">
        <f>COUNTIFS(mdr_rate_cleaned!$A$2:$A$10,B1117,mdr_rate_cleaned!$B$2:$B$10,"&lt;"&amp;C1117,mdr_rate_cleaned!$F$2:$F$10,"&gt;="&amp;C1117)</f>
        <v>1</v>
      </c>
      <c r="G1117">
        <v>1.7999999999999999E-2</v>
      </c>
      <c r="H1117">
        <v>14.38</v>
      </c>
      <c r="I1117" t="s">
        <v>15</v>
      </c>
      <c r="J1117" t="s">
        <v>15</v>
      </c>
      <c r="K1117">
        <v>2.59</v>
      </c>
      <c r="L1117">
        <v>0</v>
      </c>
    </row>
    <row r="1118" spans="1:12" x14ac:dyDescent="0.3">
      <c r="A1118" t="s">
        <v>1134</v>
      </c>
      <c r="B1118" t="s">
        <v>17</v>
      </c>
      <c r="C1118">
        <v>4798</v>
      </c>
      <c r="D1118">
        <v>76.77</v>
      </c>
      <c r="E1118">
        <v>13.82</v>
      </c>
      <c r="F1118">
        <f>COUNTIFS(mdr_rate_cleaned!$A$2:$A$10,B1118,mdr_rate_cleaned!$B$2:$B$10,"&lt;"&amp;C1118,mdr_rate_cleaned!$F$2:$F$10,"&gt;="&amp;C1118)</f>
        <v>1</v>
      </c>
      <c r="G1118">
        <v>1.6E-2</v>
      </c>
      <c r="H1118">
        <v>76.77</v>
      </c>
      <c r="I1118" t="s">
        <v>15</v>
      </c>
      <c r="J1118" t="s">
        <v>15</v>
      </c>
      <c r="K1118">
        <v>13.82</v>
      </c>
      <c r="L1118">
        <v>0</v>
      </c>
    </row>
    <row r="1119" spans="1:12" x14ac:dyDescent="0.3">
      <c r="A1119" t="s">
        <v>1135</v>
      </c>
      <c r="B1119" t="s">
        <v>21</v>
      </c>
      <c r="C1119">
        <v>599</v>
      </c>
      <c r="D1119">
        <v>0</v>
      </c>
      <c r="E1119">
        <v>0</v>
      </c>
      <c r="F1119">
        <f>COUNTIFS(mdr_rate_cleaned!$A$2:$A$10,B1119,mdr_rate_cleaned!$B$2:$B$10,"&lt;"&amp;C1119,mdr_rate_cleaned!$F$2:$F$10,"&gt;="&amp;C1119)</f>
        <v>1</v>
      </c>
      <c r="G1119">
        <v>0</v>
      </c>
      <c r="H1119">
        <v>0</v>
      </c>
      <c r="I1119" t="s">
        <v>15</v>
      </c>
      <c r="J1119" t="s">
        <v>15</v>
      </c>
      <c r="K1119">
        <v>0</v>
      </c>
      <c r="L1119">
        <v>0</v>
      </c>
    </row>
    <row r="1120" spans="1:12" x14ac:dyDescent="0.3">
      <c r="A1120" t="s">
        <v>1136</v>
      </c>
      <c r="B1120" t="s">
        <v>17</v>
      </c>
      <c r="C1120">
        <v>10997</v>
      </c>
      <c r="D1120">
        <v>175.95</v>
      </c>
      <c r="E1120">
        <v>31.67</v>
      </c>
      <c r="F1120">
        <f>COUNTIFS(mdr_rate_cleaned!$A$2:$A$10,B1120,mdr_rate_cleaned!$B$2:$B$10,"&lt;"&amp;C1120,mdr_rate_cleaned!$F$2:$F$10,"&gt;="&amp;C1120)</f>
        <v>1</v>
      </c>
      <c r="G1120">
        <v>1.6E-2</v>
      </c>
      <c r="H1120">
        <v>175.95</v>
      </c>
      <c r="I1120" t="s">
        <v>15</v>
      </c>
      <c r="J1120" t="s">
        <v>15</v>
      </c>
      <c r="K1120">
        <v>31.67</v>
      </c>
      <c r="L1120">
        <v>0</v>
      </c>
    </row>
    <row r="1121" spans="1:12" x14ac:dyDescent="0.3">
      <c r="A1121" t="s">
        <v>1137</v>
      </c>
      <c r="B1121" t="s">
        <v>39</v>
      </c>
      <c r="C1121">
        <v>499</v>
      </c>
      <c r="D1121">
        <v>7.49</v>
      </c>
      <c r="E1121">
        <v>1.35</v>
      </c>
      <c r="F1121">
        <f>COUNTIFS(mdr_rate_cleaned!$A$2:$A$10,B1121,mdr_rate_cleaned!$B$2:$B$10,"&lt;"&amp;C1121,mdr_rate_cleaned!$F$2:$F$10,"&gt;="&amp;C1121)</f>
        <v>1</v>
      </c>
      <c r="G1121">
        <v>1.4999999999999999E-2</v>
      </c>
      <c r="H1121">
        <v>7.49</v>
      </c>
      <c r="I1121" t="s">
        <v>15</v>
      </c>
      <c r="J1121" t="s">
        <v>15</v>
      </c>
      <c r="K1121">
        <v>1.35</v>
      </c>
      <c r="L1121">
        <v>0</v>
      </c>
    </row>
    <row r="1122" spans="1:12" x14ac:dyDescent="0.3">
      <c r="A1122" t="s">
        <v>1138</v>
      </c>
      <c r="B1122" t="s">
        <v>39</v>
      </c>
      <c r="C1122">
        <v>3798</v>
      </c>
      <c r="D1122">
        <v>45.58</v>
      </c>
      <c r="E1122">
        <v>8.1999999999999993</v>
      </c>
      <c r="F1122">
        <f>COUNTIFS(mdr_rate_cleaned!$A$2:$A$10,B1122,mdr_rate_cleaned!$B$2:$B$10,"&lt;"&amp;C1122,mdr_rate_cleaned!$F$2:$F$10,"&gt;="&amp;C1122)</f>
        <v>1</v>
      </c>
      <c r="G1122">
        <v>1.2E-2</v>
      </c>
      <c r="H1122">
        <v>45.58</v>
      </c>
      <c r="I1122" t="s">
        <v>15</v>
      </c>
      <c r="J1122" t="s">
        <v>15</v>
      </c>
      <c r="K1122">
        <v>8.1999999999999993</v>
      </c>
      <c r="L1122">
        <v>0</v>
      </c>
    </row>
    <row r="1123" spans="1:12" x14ac:dyDescent="0.3">
      <c r="A1123" t="s">
        <v>1139</v>
      </c>
      <c r="B1123" t="s">
        <v>21</v>
      </c>
      <c r="C1123">
        <v>2598</v>
      </c>
      <c r="D1123">
        <v>7.79</v>
      </c>
      <c r="E1123">
        <v>1.4</v>
      </c>
      <c r="F1123">
        <f>COUNTIFS(mdr_rate_cleaned!$A$2:$A$10,B1123,mdr_rate_cleaned!$B$2:$B$10,"&lt;"&amp;C1123,mdr_rate_cleaned!$F$2:$F$10,"&gt;="&amp;C1123)</f>
        <v>1</v>
      </c>
      <c r="G1123">
        <v>3.0000000000000001E-3</v>
      </c>
      <c r="H1123">
        <v>7.79</v>
      </c>
      <c r="I1123" t="s">
        <v>15</v>
      </c>
      <c r="J1123" t="s">
        <v>15</v>
      </c>
      <c r="K1123">
        <v>1.4</v>
      </c>
      <c r="L1123">
        <v>0</v>
      </c>
    </row>
    <row r="1124" spans="1:12" x14ac:dyDescent="0.3">
      <c r="A1124" t="s">
        <v>1140</v>
      </c>
      <c r="B1124" t="s">
        <v>17</v>
      </c>
      <c r="C1124">
        <v>7097</v>
      </c>
      <c r="D1124">
        <v>113.55</v>
      </c>
      <c r="E1124">
        <v>20.440000000000001</v>
      </c>
      <c r="F1124">
        <f>COUNTIFS(mdr_rate_cleaned!$A$2:$A$10,B1124,mdr_rate_cleaned!$B$2:$B$10,"&lt;"&amp;C1124,mdr_rate_cleaned!$F$2:$F$10,"&gt;="&amp;C1124)</f>
        <v>1</v>
      </c>
      <c r="G1124">
        <v>1.6E-2</v>
      </c>
      <c r="H1124">
        <v>113.55</v>
      </c>
      <c r="I1124" t="s">
        <v>15</v>
      </c>
      <c r="J1124" t="s">
        <v>15</v>
      </c>
      <c r="K1124">
        <v>20.440000000000001</v>
      </c>
      <c r="L1124">
        <v>0</v>
      </c>
    </row>
    <row r="1125" spans="1:12" x14ac:dyDescent="0.3">
      <c r="A1125" t="s">
        <v>1141</v>
      </c>
      <c r="B1125" t="s">
        <v>21</v>
      </c>
      <c r="C1125">
        <v>799</v>
      </c>
      <c r="D1125">
        <v>0</v>
      </c>
      <c r="E1125">
        <v>0</v>
      </c>
      <c r="F1125">
        <f>COUNTIFS(mdr_rate_cleaned!$A$2:$A$10,B1125,mdr_rate_cleaned!$B$2:$B$10,"&lt;"&amp;C1125,mdr_rate_cleaned!$F$2:$F$10,"&gt;="&amp;C1125)</f>
        <v>1</v>
      </c>
      <c r="G1125">
        <v>0</v>
      </c>
      <c r="H1125">
        <v>0</v>
      </c>
      <c r="I1125" t="s">
        <v>15</v>
      </c>
      <c r="J1125" t="s">
        <v>15</v>
      </c>
      <c r="K1125">
        <v>0</v>
      </c>
      <c r="L1125">
        <v>0</v>
      </c>
    </row>
    <row r="1126" spans="1:12" x14ac:dyDescent="0.3">
      <c r="A1126" t="s">
        <v>1142</v>
      </c>
      <c r="B1126" t="s">
        <v>21</v>
      </c>
      <c r="C1126">
        <v>299</v>
      </c>
      <c r="D1126">
        <v>0</v>
      </c>
      <c r="E1126">
        <v>0</v>
      </c>
      <c r="F1126">
        <f>COUNTIFS(mdr_rate_cleaned!$A$2:$A$10,B1126,mdr_rate_cleaned!$B$2:$B$10,"&lt;"&amp;C1126,mdr_rate_cleaned!$F$2:$F$10,"&gt;="&amp;C1126)</f>
        <v>1</v>
      </c>
      <c r="G1126">
        <v>0</v>
      </c>
      <c r="H1126">
        <v>0</v>
      </c>
      <c r="I1126" t="s">
        <v>15</v>
      </c>
      <c r="J1126" t="s">
        <v>15</v>
      </c>
      <c r="K1126">
        <v>0</v>
      </c>
      <c r="L1126">
        <v>0</v>
      </c>
    </row>
    <row r="1127" spans="1:12" x14ac:dyDescent="0.3">
      <c r="A1127" t="s">
        <v>1143</v>
      </c>
      <c r="B1127" t="s">
        <v>17</v>
      </c>
      <c r="C1127">
        <v>8498</v>
      </c>
      <c r="D1127">
        <v>135.97</v>
      </c>
      <c r="E1127">
        <v>24.47</v>
      </c>
      <c r="F1127">
        <f>COUNTIFS(mdr_rate_cleaned!$A$2:$A$10,B1127,mdr_rate_cleaned!$B$2:$B$10,"&lt;"&amp;C1127,mdr_rate_cleaned!$F$2:$F$10,"&gt;="&amp;C1127)</f>
        <v>1</v>
      </c>
      <c r="G1127">
        <v>1.6E-2</v>
      </c>
      <c r="H1127">
        <v>135.97</v>
      </c>
      <c r="I1127" t="s">
        <v>15</v>
      </c>
      <c r="J1127" t="s">
        <v>15</v>
      </c>
      <c r="K1127">
        <v>24.47</v>
      </c>
      <c r="L1127">
        <v>0</v>
      </c>
    </row>
    <row r="1128" spans="1:12" x14ac:dyDescent="0.3">
      <c r="A1128" t="s">
        <v>1144</v>
      </c>
      <c r="B1128" t="s">
        <v>17</v>
      </c>
      <c r="C1128">
        <v>3798</v>
      </c>
      <c r="D1128">
        <v>60.77</v>
      </c>
      <c r="E1128">
        <v>10.94</v>
      </c>
      <c r="F1128">
        <f>COUNTIFS(mdr_rate_cleaned!$A$2:$A$10,B1128,mdr_rate_cleaned!$B$2:$B$10,"&lt;"&amp;C1128,mdr_rate_cleaned!$F$2:$F$10,"&gt;="&amp;C1128)</f>
        <v>1</v>
      </c>
      <c r="G1128">
        <v>1.6E-2</v>
      </c>
      <c r="H1128">
        <v>60.77</v>
      </c>
      <c r="I1128" t="s">
        <v>15</v>
      </c>
      <c r="J1128" t="s">
        <v>15</v>
      </c>
      <c r="K1128">
        <v>10.94</v>
      </c>
      <c r="L1128">
        <v>0</v>
      </c>
    </row>
    <row r="1129" spans="1:12" x14ac:dyDescent="0.3">
      <c r="A1129" t="s">
        <v>1145</v>
      </c>
      <c r="B1129" t="s">
        <v>17</v>
      </c>
      <c r="C1129">
        <v>1449</v>
      </c>
      <c r="D1129">
        <v>26.08</v>
      </c>
      <c r="E1129">
        <v>4.6900000000000004</v>
      </c>
      <c r="F1129">
        <f>COUNTIFS(mdr_rate_cleaned!$A$2:$A$10,B1129,mdr_rate_cleaned!$B$2:$B$10,"&lt;"&amp;C1129,mdr_rate_cleaned!$F$2:$F$10,"&gt;="&amp;C1129)</f>
        <v>1</v>
      </c>
      <c r="G1129">
        <v>1.7999999999999999E-2</v>
      </c>
      <c r="H1129">
        <v>26.08</v>
      </c>
      <c r="I1129" t="s">
        <v>15</v>
      </c>
      <c r="J1129" t="s">
        <v>15</v>
      </c>
      <c r="K1129">
        <v>4.6900000000000004</v>
      </c>
      <c r="L1129">
        <v>0</v>
      </c>
    </row>
    <row r="1130" spans="1:12" x14ac:dyDescent="0.3">
      <c r="A1130" t="s">
        <v>1146</v>
      </c>
      <c r="B1130" t="s">
        <v>13</v>
      </c>
      <c r="C1130">
        <v>1499</v>
      </c>
      <c r="D1130">
        <v>28.48</v>
      </c>
      <c r="E1130">
        <v>5.13</v>
      </c>
      <c r="F1130">
        <f>COUNTIFS(mdr_rate_cleaned!$A$2:$A$10,B1130,mdr_rate_cleaned!$B$2:$B$10,"&lt;"&amp;C1130,mdr_rate_cleaned!$F$2:$F$10,"&gt;="&amp;C1130)</f>
        <v>1</v>
      </c>
      <c r="G1130">
        <v>1.9E-2</v>
      </c>
      <c r="H1130">
        <v>28.48</v>
      </c>
      <c r="I1130" t="s">
        <v>15</v>
      </c>
      <c r="J1130" t="s">
        <v>15</v>
      </c>
      <c r="K1130">
        <v>5.13</v>
      </c>
      <c r="L1130">
        <v>0</v>
      </c>
    </row>
    <row r="1131" spans="1:12" x14ac:dyDescent="0.3">
      <c r="A1131" t="s">
        <v>1147</v>
      </c>
      <c r="B1131" t="s">
        <v>21</v>
      </c>
      <c r="C1131">
        <v>349</v>
      </c>
      <c r="D1131">
        <v>0</v>
      </c>
      <c r="E1131">
        <v>0</v>
      </c>
      <c r="F1131">
        <f>COUNTIFS(mdr_rate_cleaned!$A$2:$A$10,B1131,mdr_rate_cleaned!$B$2:$B$10,"&lt;"&amp;C1131,mdr_rate_cleaned!$F$2:$F$10,"&gt;="&amp;C1131)</f>
        <v>1</v>
      </c>
      <c r="G1131">
        <v>0</v>
      </c>
      <c r="H1131">
        <v>0</v>
      </c>
      <c r="I1131" t="s">
        <v>15</v>
      </c>
      <c r="J1131" t="s">
        <v>15</v>
      </c>
      <c r="K1131">
        <v>0</v>
      </c>
      <c r="L1131">
        <v>0</v>
      </c>
    </row>
    <row r="1132" spans="1:12" x14ac:dyDescent="0.3">
      <c r="A1132" t="s">
        <v>1148</v>
      </c>
      <c r="B1132" t="s">
        <v>13</v>
      </c>
      <c r="C1132">
        <v>2247</v>
      </c>
      <c r="D1132">
        <v>53.93</v>
      </c>
      <c r="E1132">
        <v>9.7100000000000009</v>
      </c>
      <c r="F1132">
        <f>COUNTIFS(mdr_rate_cleaned!$A$2:$A$10,B1132,mdr_rate_cleaned!$B$2:$B$10,"&lt;"&amp;C1132,mdr_rate_cleaned!$F$2:$F$10,"&gt;="&amp;C1132)</f>
        <v>1</v>
      </c>
      <c r="G1132">
        <v>1.7000000000000001E-2</v>
      </c>
      <c r="H1132">
        <v>38.200000000000003</v>
      </c>
      <c r="I1132" t="s">
        <v>14</v>
      </c>
      <c r="J1132" t="s">
        <v>15</v>
      </c>
      <c r="K1132">
        <v>6.88</v>
      </c>
      <c r="L1132">
        <v>18.559999999999999</v>
      </c>
    </row>
    <row r="1133" spans="1:12" x14ac:dyDescent="0.3">
      <c r="A1133" t="s">
        <v>1149</v>
      </c>
      <c r="B1133" t="s">
        <v>21</v>
      </c>
      <c r="C1133">
        <v>1499</v>
      </c>
      <c r="D1133">
        <v>0</v>
      </c>
      <c r="E1133">
        <v>0</v>
      </c>
      <c r="F1133">
        <f>COUNTIFS(mdr_rate_cleaned!$A$2:$A$10,B1133,mdr_rate_cleaned!$B$2:$B$10,"&lt;"&amp;C1133,mdr_rate_cleaned!$F$2:$F$10,"&gt;="&amp;C1133)</f>
        <v>1</v>
      </c>
      <c r="G1133">
        <v>0</v>
      </c>
      <c r="H1133">
        <v>0</v>
      </c>
      <c r="I1133" t="s">
        <v>15</v>
      </c>
      <c r="J1133" t="s">
        <v>15</v>
      </c>
      <c r="K1133">
        <v>0</v>
      </c>
      <c r="L1133">
        <v>0</v>
      </c>
    </row>
    <row r="1134" spans="1:12" x14ac:dyDescent="0.3">
      <c r="A1134" t="s">
        <v>1150</v>
      </c>
      <c r="B1134" t="s">
        <v>21</v>
      </c>
      <c r="C1134">
        <v>11297</v>
      </c>
      <c r="D1134">
        <v>33.89</v>
      </c>
      <c r="E1134">
        <v>6.1</v>
      </c>
      <c r="F1134">
        <f>COUNTIFS(mdr_rate_cleaned!$A$2:$A$10,B1134,mdr_rate_cleaned!$B$2:$B$10,"&lt;"&amp;C1134,mdr_rate_cleaned!$F$2:$F$10,"&gt;="&amp;C1134)</f>
        <v>1</v>
      </c>
      <c r="G1134">
        <v>3.0000000000000001E-3</v>
      </c>
      <c r="H1134">
        <v>33.89</v>
      </c>
      <c r="I1134" t="s">
        <v>15</v>
      </c>
      <c r="J1134" t="s">
        <v>15</v>
      </c>
      <c r="K1134">
        <v>6.1</v>
      </c>
      <c r="L1134">
        <v>0</v>
      </c>
    </row>
    <row r="1135" spans="1:12" x14ac:dyDescent="0.3">
      <c r="A1135" t="s">
        <v>1151</v>
      </c>
      <c r="B1135" t="s">
        <v>21</v>
      </c>
      <c r="C1135">
        <v>10998</v>
      </c>
      <c r="D1135">
        <v>32.99</v>
      </c>
      <c r="E1135">
        <v>5.94</v>
      </c>
      <c r="F1135">
        <f>COUNTIFS(mdr_rate_cleaned!$A$2:$A$10,B1135,mdr_rate_cleaned!$B$2:$B$10,"&lt;"&amp;C1135,mdr_rate_cleaned!$F$2:$F$10,"&gt;="&amp;C1135)</f>
        <v>1</v>
      </c>
      <c r="G1135">
        <v>3.0000000000000001E-3</v>
      </c>
      <c r="H1135">
        <v>32.99</v>
      </c>
      <c r="I1135" t="s">
        <v>15</v>
      </c>
      <c r="J1135" t="s">
        <v>15</v>
      </c>
      <c r="K1135">
        <v>5.94</v>
      </c>
      <c r="L1135">
        <v>0</v>
      </c>
    </row>
    <row r="1136" spans="1:12" x14ac:dyDescent="0.3">
      <c r="A1136" t="s">
        <v>1152</v>
      </c>
      <c r="B1136" t="s">
        <v>21</v>
      </c>
      <c r="C1136">
        <v>1799</v>
      </c>
      <c r="D1136">
        <v>0</v>
      </c>
      <c r="E1136">
        <v>0</v>
      </c>
      <c r="F1136">
        <f>COUNTIFS(mdr_rate_cleaned!$A$2:$A$10,B1136,mdr_rate_cleaned!$B$2:$B$10,"&lt;"&amp;C1136,mdr_rate_cleaned!$F$2:$F$10,"&gt;="&amp;C1136)</f>
        <v>1</v>
      </c>
      <c r="G1136">
        <v>0</v>
      </c>
      <c r="H1136">
        <v>0</v>
      </c>
      <c r="I1136" t="s">
        <v>15</v>
      </c>
      <c r="J1136" t="s">
        <v>15</v>
      </c>
      <c r="K1136">
        <v>0</v>
      </c>
      <c r="L1136">
        <v>0</v>
      </c>
    </row>
    <row r="1137" spans="1:12" x14ac:dyDescent="0.3">
      <c r="A1137" t="s">
        <v>1153</v>
      </c>
      <c r="B1137" t="s">
        <v>21</v>
      </c>
      <c r="C1137">
        <v>8798</v>
      </c>
      <c r="D1137">
        <v>26.39</v>
      </c>
      <c r="E1137">
        <v>4.75</v>
      </c>
      <c r="F1137">
        <f>COUNTIFS(mdr_rate_cleaned!$A$2:$A$10,B1137,mdr_rate_cleaned!$B$2:$B$10,"&lt;"&amp;C1137,mdr_rate_cleaned!$F$2:$F$10,"&gt;="&amp;C1137)</f>
        <v>1</v>
      </c>
      <c r="G1137">
        <v>3.0000000000000001E-3</v>
      </c>
      <c r="H1137">
        <v>26.39</v>
      </c>
      <c r="I1137" t="s">
        <v>15</v>
      </c>
      <c r="J1137" t="s">
        <v>15</v>
      </c>
      <c r="K1137">
        <v>4.75</v>
      </c>
      <c r="L1137">
        <v>0</v>
      </c>
    </row>
    <row r="1138" spans="1:12" x14ac:dyDescent="0.3">
      <c r="A1138" t="s">
        <v>1154</v>
      </c>
      <c r="B1138" t="s">
        <v>21</v>
      </c>
      <c r="C1138">
        <v>3098</v>
      </c>
      <c r="D1138">
        <v>9.2899999999999991</v>
      </c>
      <c r="E1138">
        <v>1.67</v>
      </c>
      <c r="F1138">
        <f>COUNTIFS(mdr_rate_cleaned!$A$2:$A$10,B1138,mdr_rate_cleaned!$B$2:$B$10,"&lt;"&amp;C1138,mdr_rate_cleaned!$F$2:$F$10,"&gt;="&amp;C1138)</f>
        <v>1</v>
      </c>
      <c r="G1138">
        <v>3.0000000000000001E-3</v>
      </c>
      <c r="H1138">
        <v>9.2899999999999991</v>
      </c>
      <c r="I1138" t="s">
        <v>15</v>
      </c>
      <c r="J1138" t="s">
        <v>15</v>
      </c>
      <c r="K1138">
        <v>1.67</v>
      </c>
      <c r="L1138">
        <v>0</v>
      </c>
    </row>
    <row r="1139" spans="1:12" x14ac:dyDescent="0.3">
      <c r="A1139" t="s">
        <v>1155</v>
      </c>
      <c r="B1139" t="s">
        <v>21</v>
      </c>
      <c r="C1139">
        <v>2499</v>
      </c>
      <c r="D1139">
        <v>7.5</v>
      </c>
      <c r="E1139">
        <v>1.35</v>
      </c>
      <c r="F1139">
        <f>COUNTIFS(mdr_rate_cleaned!$A$2:$A$10,B1139,mdr_rate_cleaned!$B$2:$B$10,"&lt;"&amp;C1139,mdr_rate_cleaned!$F$2:$F$10,"&gt;="&amp;C1139)</f>
        <v>1</v>
      </c>
      <c r="G1139">
        <v>3.0000000000000001E-3</v>
      </c>
      <c r="H1139">
        <v>7.5</v>
      </c>
      <c r="I1139" t="s">
        <v>15</v>
      </c>
      <c r="J1139" t="s">
        <v>15</v>
      </c>
      <c r="K1139">
        <v>1.35</v>
      </c>
      <c r="L1139">
        <v>0</v>
      </c>
    </row>
    <row r="1140" spans="1:12" x14ac:dyDescent="0.3">
      <c r="A1140" t="s">
        <v>1156</v>
      </c>
      <c r="B1140" t="s">
        <v>21</v>
      </c>
      <c r="C1140">
        <v>2298</v>
      </c>
      <c r="D1140">
        <v>6.89</v>
      </c>
      <c r="E1140">
        <v>1.24</v>
      </c>
      <c r="F1140">
        <f>COUNTIFS(mdr_rate_cleaned!$A$2:$A$10,B1140,mdr_rate_cleaned!$B$2:$B$10,"&lt;"&amp;C1140,mdr_rate_cleaned!$F$2:$F$10,"&gt;="&amp;C1140)</f>
        <v>1</v>
      </c>
      <c r="G1140">
        <v>3.0000000000000001E-3</v>
      </c>
      <c r="H1140">
        <v>6.89</v>
      </c>
      <c r="I1140" t="s">
        <v>15</v>
      </c>
      <c r="J1140" t="s">
        <v>15</v>
      </c>
      <c r="K1140">
        <v>1.24</v>
      </c>
      <c r="L1140">
        <v>0</v>
      </c>
    </row>
    <row r="1141" spans="1:12" x14ac:dyDescent="0.3">
      <c r="A1141" t="s">
        <v>1157</v>
      </c>
      <c r="B1141" t="s">
        <v>21</v>
      </c>
      <c r="C1141">
        <v>999</v>
      </c>
      <c r="D1141">
        <v>0</v>
      </c>
      <c r="E1141">
        <v>0</v>
      </c>
      <c r="F1141">
        <f>COUNTIFS(mdr_rate_cleaned!$A$2:$A$10,B1141,mdr_rate_cleaned!$B$2:$B$10,"&lt;"&amp;C1141,mdr_rate_cleaned!$F$2:$F$10,"&gt;="&amp;C1141)</f>
        <v>1</v>
      </c>
      <c r="G1141">
        <v>0</v>
      </c>
      <c r="H1141">
        <v>0</v>
      </c>
      <c r="I1141" t="s">
        <v>15</v>
      </c>
      <c r="J1141" t="s">
        <v>15</v>
      </c>
      <c r="K1141">
        <v>0</v>
      </c>
      <c r="L1141">
        <v>0</v>
      </c>
    </row>
    <row r="1142" spans="1:12" x14ac:dyDescent="0.3">
      <c r="A1142" t="s">
        <v>1158</v>
      </c>
      <c r="B1142" t="s">
        <v>21</v>
      </c>
      <c r="C1142">
        <v>1348</v>
      </c>
      <c r="D1142">
        <v>0</v>
      </c>
      <c r="E1142">
        <v>0</v>
      </c>
      <c r="F1142">
        <f>COUNTIFS(mdr_rate_cleaned!$A$2:$A$10,B1142,mdr_rate_cleaned!$B$2:$B$10,"&lt;"&amp;C1142,mdr_rate_cleaned!$F$2:$F$10,"&gt;="&amp;C1142)</f>
        <v>1</v>
      </c>
      <c r="G1142">
        <v>0</v>
      </c>
      <c r="H1142">
        <v>0</v>
      </c>
      <c r="I1142" t="s">
        <v>15</v>
      </c>
      <c r="J1142" t="s">
        <v>15</v>
      </c>
      <c r="K1142">
        <v>0</v>
      </c>
      <c r="L1142">
        <v>0</v>
      </c>
    </row>
    <row r="1143" spans="1:12" x14ac:dyDescent="0.3">
      <c r="A1143" t="s">
        <v>1159</v>
      </c>
      <c r="B1143" t="s">
        <v>21</v>
      </c>
      <c r="C1143">
        <v>1499</v>
      </c>
      <c r="D1143">
        <v>0</v>
      </c>
      <c r="E1143">
        <v>0</v>
      </c>
      <c r="F1143">
        <f>COUNTIFS(mdr_rate_cleaned!$A$2:$A$10,B1143,mdr_rate_cleaned!$B$2:$B$10,"&lt;"&amp;C1143,mdr_rate_cleaned!$F$2:$F$10,"&gt;="&amp;C1143)</f>
        <v>1</v>
      </c>
      <c r="G1143">
        <v>0</v>
      </c>
      <c r="H1143">
        <v>0</v>
      </c>
      <c r="I1143" t="s">
        <v>15</v>
      </c>
      <c r="J1143" t="s">
        <v>15</v>
      </c>
      <c r="K1143">
        <v>0</v>
      </c>
      <c r="L1143">
        <v>0</v>
      </c>
    </row>
    <row r="1144" spans="1:12" x14ac:dyDescent="0.3">
      <c r="A1144" t="s">
        <v>1160</v>
      </c>
      <c r="B1144" t="s">
        <v>21</v>
      </c>
      <c r="C1144">
        <v>798</v>
      </c>
      <c r="D1144">
        <v>0</v>
      </c>
      <c r="E1144">
        <v>0</v>
      </c>
      <c r="F1144">
        <f>COUNTIFS(mdr_rate_cleaned!$A$2:$A$10,B1144,mdr_rate_cleaned!$B$2:$B$10,"&lt;"&amp;C1144,mdr_rate_cleaned!$F$2:$F$10,"&gt;="&amp;C1144)</f>
        <v>1</v>
      </c>
      <c r="G1144">
        <v>0</v>
      </c>
      <c r="H1144">
        <v>0</v>
      </c>
      <c r="I1144" t="s">
        <v>15</v>
      </c>
      <c r="J1144" t="s">
        <v>15</v>
      </c>
      <c r="K1144">
        <v>0</v>
      </c>
      <c r="L1144">
        <v>0</v>
      </c>
    </row>
    <row r="1145" spans="1:12" x14ac:dyDescent="0.3">
      <c r="A1145" t="s">
        <v>1161</v>
      </c>
      <c r="B1145" t="s">
        <v>17</v>
      </c>
      <c r="C1145">
        <v>2598</v>
      </c>
      <c r="D1145">
        <v>41.57</v>
      </c>
      <c r="E1145">
        <v>7.48</v>
      </c>
      <c r="F1145">
        <f>COUNTIFS(mdr_rate_cleaned!$A$2:$A$10,B1145,mdr_rate_cleaned!$B$2:$B$10,"&lt;"&amp;C1145,mdr_rate_cleaned!$F$2:$F$10,"&gt;="&amp;C1145)</f>
        <v>1</v>
      </c>
      <c r="G1145">
        <v>1.6E-2</v>
      </c>
      <c r="H1145">
        <v>41.57</v>
      </c>
      <c r="I1145" t="s">
        <v>15</v>
      </c>
      <c r="J1145" t="s">
        <v>15</v>
      </c>
      <c r="K1145">
        <v>7.48</v>
      </c>
      <c r="L1145">
        <v>0</v>
      </c>
    </row>
    <row r="1146" spans="1:12" x14ac:dyDescent="0.3">
      <c r="A1146" t="s">
        <v>1162</v>
      </c>
      <c r="B1146" t="s">
        <v>21</v>
      </c>
      <c r="C1146">
        <v>1299</v>
      </c>
      <c r="D1146">
        <v>0</v>
      </c>
      <c r="E1146">
        <v>0</v>
      </c>
      <c r="F1146">
        <f>COUNTIFS(mdr_rate_cleaned!$A$2:$A$10,B1146,mdr_rate_cleaned!$B$2:$B$10,"&lt;"&amp;C1146,mdr_rate_cleaned!$F$2:$F$10,"&gt;="&amp;C1146)</f>
        <v>1</v>
      </c>
      <c r="G1146">
        <v>0</v>
      </c>
      <c r="H1146">
        <v>0</v>
      </c>
      <c r="I1146" t="s">
        <v>15</v>
      </c>
      <c r="J1146" t="s">
        <v>15</v>
      </c>
      <c r="K1146">
        <v>0</v>
      </c>
      <c r="L1146">
        <v>0</v>
      </c>
    </row>
    <row r="1147" spans="1:12" x14ac:dyDescent="0.3">
      <c r="A1147" t="s">
        <v>1163</v>
      </c>
      <c r="B1147" t="s">
        <v>13</v>
      </c>
      <c r="C1147">
        <v>349</v>
      </c>
      <c r="D1147">
        <v>6.63</v>
      </c>
      <c r="E1147">
        <v>1.19</v>
      </c>
      <c r="F1147">
        <f>COUNTIFS(mdr_rate_cleaned!$A$2:$A$10,B1147,mdr_rate_cleaned!$B$2:$B$10,"&lt;"&amp;C1147,mdr_rate_cleaned!$F$2:$F$10,"&gt;="&amp;C1147)</f>
        <v>1</v>
      </c>
      <c r="G1147">
        <v>1.9E-2</v>
      </c>
      <c r="H1147">
        <v>6.63</v>
      </c>
      <c r="I1147" t="s">
        <v>15</v>
      </c>
      <c r="J1147" t="s">
        <v>15</v>
      </c>
      <c r="K1147">
        <v>1.19</v>
      </c>
      <c r="L1147">
        <v>0</v>
      </c>
    </row>
    <row r="1148" spans="1:12" x14ac:dyDescent="0.3">
      <c r="A1148" t="s">
        <v>1164</v>
      </c>
      <c r="B1148" t="s">
        <v>13</v>
      </c>
      <c r="C1148">
        <v>5498</v>
      </c>
      <c r="D1148">
        <v>93.47</v>
      </c>
      <c r="E1148">
        <v>16.82</v>
      </c>
      <c r="F1148">
        <f>COUNTIFS(mdr_rate_cleaned!$A$2:$A$10,B1148,mdr_rate_cleaned!$B$2:$B$10,"&lt;"&amp;C1148,mdr_rate_cleaned!$F$2:$F$10,"&gt;="&amp;C1148)</f>
        <v>1</v>
      </c>
      <c r="G1148">
        <v>1.7000000000000001E-2</v>
      </c>
      <c r="H1148">
        <v>93.47</v>
      </c>
      <c r="I1148" t="s">
        <v>15</v>
      </c>
      <c r="J1148" t="s">
        <v>15</v>
      </c>
      <c r="K1148">
        <v>16.82</v>
      </c>
      <c r="L1148">
        <v>0</v>
      </c>
    </row>
    <row r="1149" spans="1:12" x14ac:dyDescent="0.3">
      <c r="A1149" t="s">
        <v>1165</v>
      </c>
      <c r="B1149" t="s">
        <v>39</v>
      </c>
      <c r="C1149">
        <v>349</v>
      </c>
      <c r="D1149">
        <v>5.24</v>
      </c>
      <c r="E1149">
        <v>0.94</v>
      </c>
      <c r="F1149">
        <f>COUNTIFS(mdr_rate_cleaned!$A$2:$A$10,B1149,mdr_rate_cleaned!$B$2:$B$10,"&lt;"&amp;C1149,mdr_rate_cleaned!$F$2:$F$10,"&gt;="&amp;C1149)</f>
        <v>1</v>
      </c>
      <c r="G1149">
        <v>1.4999999999999999E-2</v>
      </c>
      <c r="H1149">
        <v>5.24</v>
      </c>
      <c r="I1149" t="s">
        <v>15</v>
      </c>
      <c r="J1149" t="s">
        <v>15</v>
      </c>
      <c r="K1149">
        <v>0.94</v>
      </c>
      <c r="L1149">
        <v>0</v>
      </c>
    </row>
    <row r="1150" spans="1:12" x14ac:dyDescent="0.3">
      <c r="A1150" t="s">
        <v>1166</v>
      </c>
      <c r="B1150" t="s">
        <v>39</v>
      </c>
      <c r="C1150">
        <v>4798</v>
      </c>
      <c r="D1150">
        <v>57.58</v>
      </c>
      <c r="E1150">
        <v>10.36</v>
      </c>
      <c r="F1150">
        <f>COUNTIFS(mdr_rate_cleaned!$A$2:$A$10,B1150,mdr_rate_cleaned!$B$2:$B$10,"&lt;"&amp;C1150,mdr_rate_cleaned!$F$2:$F$10,"&gt;="&amp;C1150)</f>
        <v>1</v>
      </c>
      <c r="G1150">
        <v>1.2E-2</v>
      </c>
      <c r="H1150">
        <v>57.58</v>
      </c>
      <c r="I1150" t="s">
        <v>15</v>
      </c>
      <c r="J1150" t="s">
        <v>15</v>
      </c>
      <c r="K1150">
        <v>10.36</v>
      </c>
      <c r="L1150">
        <v>0</v>
      </c>
    </row>
    <row r="1151" spans="1:12" x14ac:dyDescent="0.3">
      <c r="A1151" t="s">
        <v>1167</v>
      </c>
      <c r="B1151" t="s">
        <v>17</v>
      </c>
      <c r="C1151">
        <v>4298</v>
      </c>
      <c r="D1151">
        <v>68.77</v>
      </c>
      <c r="E1151">
        <v>12.38</v>
      </c>
      <c r="F1151">
        <f>COUNTIFS(mdr_rate_cleaned!$A$2:$A$10,B1151,mdr_rate_cleaned!$B$2:$B$10,"&lt;"&amp;C1151,mdr_rate_cleaned!$F$2:$F$10,"&gt;="&amp;C1151)</f>
        <v>1</v>
      </c>
      <c r="G1151">
        <v>1.6E-2</v>
      </c>
      <c r="H1151">
        <v>68.77</v>
      </c>
      <c r="I1151" t="s">
        <v>15</v>
      </c>
      <c r="J1151" t="s">
        <v>15</v>
      </c>
      <c r="K1151">
        <v>12.38</v>
      </c>
      <c r="L1151">
        <v>0</v>
      </c>
    </row>
    <row r="1152" spans="1:12" x14ac:dyDescent="0.3">
      <c r="A1152" t="s">
        <v>1168</v>
      </c>
      <c r="B1152" t="s">
        <v>21</v>
      </c>
      <c r="C1152">
        <v>349</v>
      </c>
      <c r="D1152">
        <v>0</v>
      </c>
      <c r="E1152">
        <v>0</v>
      </c>
      <c r="F1152">
        <f>COUNTIFS(mdr_rate_cleaned!$A$2:$A$10,B1152,mdr_rate_cleaned!$B$2:$B$10,"&lt;"&amp;C1152,mdr_rate_cleaned!$F$2:$F$10,"&gt;="&amp;C1152)</f>
        <v>1</v>
      </c>
      <c r="G1152">
        <v>0</v>
      </c>
      <c r="H1152">
        <v>0</v>
      </c>
      <c r="I1152" t="s">
        <v>15</v>
      </c>
      <c r="J1152" t="s">
        <v>15</v>
      </c>
      <c r="K1152">
        <v>0</v>
      </c>
      <c r="L1152">
        <v>0</v>
      </c>
    </row>
    <row r="1153" spans="1:12" x14ac:dyDescent="0.3">
      <c r="A1153" t="s">
        <v>1169</v>
      </c>
      <c r="B1153" t="s">
        <v>17</v>
      </c>
      <c r="C1153">
        <v>3947</v>
      </c>
      <c r="D1153">
        <v>63.15</v>
      </c>
      <c r="E1153">
        <v>11.37</v>
      </c>
      <c r="F1153">
        <f>COUNTIFS(mdr_rate_cleaned!$A$2:$A$10,B1153,mdr_rate_cleaned!$B$2:$B$10,"&lt;"&amp;C1153,mdr_rate_cleaned!$F$2:$F$10,"&gt;="&amp;C1153)</f>
        <v>1</v>
      </c>
      <c r="G1153">
        <v>1.6E-2</v>
      </c>
      <c r="H1153">
        <v>63.15</v>
      </c>
      <c r="I1153" t="s">
        <v>15</v>
      </c>
      <c r="J1153" t="s">
        <v>15</v>
      </c>
      <c r="K1153">
        <v>11.37</v>
      </c>
      <c r="L1153">
        <v>0</v>
      </c>
    </row>
    <row r="1154" spans="1:12" x14ac:dyDescent="0.3">
      <c r="A1154" t="s">
        <v>1170</v>
      </c>
      <c r="B1154" t="s">
        <v>21</v>
      </c>
      <c r="C1154">
        <v>3097</v>
      </c>
      <c r="D1154">
        <v>9.2899999999999991</v>
      </c>
      <c r="E1154">
        <v>1.67</v>
      </c>
      <c r="F1154">
        <f>COUNTIFS(mdr_rate_cleaned!$A$2:$A$10,B1154,mdr_rate_cleaned!$B$2:$B$10,"&lt;"&amp;C1154,mdr_rate_cleaned!$F$2:$F$10,"&gt;="&amp;C1154)</f>
        <v>1</v>
      </c>
      <c r="G1154">
        <v>3.0000000000000001E-3</v>
      </c>
      <c r="H1154">
        <v>9.2899999999999991</v>
      </c>
      <c r="I1154" t="s">
        <v>15</v>
      </c>
      <c r="J1154" t="s">
        <v>15</v>
      </c>
      <c r="K1154">
        <v>1.67</v>
      </c>
      <c r="L1154">
        <v>0</v>
      </c>
    </row>
    <row r="1155" spans="1:12" x14ac:dyDescent="0.3">
      <c r="A1155" t="s">
        <v>1171</v>
      </c>
      <c r="B1155" t="s">
        <v>39</v>
      </c>
      <c r="C1155">
        <v>999</v>
      </c>
      <c r="D1155">
        <v>14.99</v>
      </c>
      <c r="E1155">
        <v>2.7</v>
      </c>
      <c r="F1155">
        <f>COUNTIFS(mdr_rate_cleaned!$A$2:$A$10,B1155,mdr_rate_cleaned!$B$2:$B$10,"&lt;"&amp;C1155,mdr_rate_cleaned!$F$2:$F$10,"&gt;="&amp;C1155)</f>
        <v>1</v>
      </c>
      <c r="G1155">
        <v>1.4999999999999999E-2</v>
      </c>
      <c r="H1155">
        <v>14.99</v>
      </c>
      <c r="I1155" t="s">
        <v>15</v>
      </c>
      <c r="J1155" t="s">
        <v>15</v>
      </c>
      <c r="K1155">
        <v>2.7</v>
      </c>
      <c r="L1155">
        <v>0</v>
      </c>
    </row>
    <row r="1156" spans="1:12" x14ac:dyDescent="0.3">
      <c r="A1156" t="s">
        <v>1172</v>
      </c>
      <c r="B1156" t="s">
        <v>39</v>
      </c>
      <c r="C1156">
        <v>1598</v>
      </c>
      <c r="D1156">
        <v>23.97</v>
      </c>
      <c r="E1156">
        <v>4.3099999999999996</v>
      </c>
      <c r="F1156">
        <f>COUNTIFS(mdr_rate_cleaned!$A$2:$A$10,B1156,mdr_rate_cleaned!$B$2:$B$10,"&lt;"&amp;C1156,mdr_rate_cleaned!$F$2:$F$10,"&gt;="&amp;C1156)</f>
        <v>1</v>
      </c>
      <c r="G1156">
        <v>1.4999999999999999E-2</v>
      </c>
      <c r="H1156">
        <v>23.97</v>
      </c>
      <c r="I1156" t="s">
        <v>15</v>
      </c>
      <c r="J1156" t="s">
        <v>15</v>
      </c>
      <c r="K1156">
        <v>4.3099999999999996</v>
      </c>
      <c r="L1156">
        <v>0</v>
      </c>
    </row>
    <row r="1157" spans="1:12" x14ac:dyDescent="0.3">
      <c r="A1157" t="s">
        <v>1173</v>
      </c>
      <c r="B1157" t="s">
        <v>21</v>
      </c>
      <c r="C1157">
        <v>16797</v>
      </c>
      <c r="D1157">
        <v>50.39</v>
      </c>
      <c r="E1157">
        <v>9.07</v>
      </c>
      <c r="F1157">
        <f>COUNTIFS(mdr_rate_cleaned!$A$2:$A$10,B1157,mdr_rate_cleaned!$B$2:$B$10,"&lt;"&amp;C1157,mdr_rate_cleaned!$F$2:$F$10,"&gt;="&amp;C1157)</f>
        <v>1</v>
      </c>
      <c r="G1157">
        <v>3.0000000000000001E-3</v>
      </c>
      <c r="H1157">
        <v>50.39</v>
      </c>
      <c r="I1157" t="s">
        <v>15</v>
      </c>
      <c r="J1157" t="s">
        <v>15</v>
      </c>
      <c r="K1157">
        <v>9.07</v>
      </c>
      <c r="L1157">
        <v>0</v>
      </c>
    </row>
    <row r="1158" spans="1:12" x14ac:dyDescent="0.3">
      <c r="A1158" t="s">
        <v>1174</v>
      </c>
      <c r="B1158" t="s">
        <v>17</v>
      </c>
      <c r="C1158">
        <v>12297</v>
      </c>
      <c r="D1158">
        <v>196.75</v>
      </c>
      <c r="E1158">
        <v>35.42</v>
      </c>
      <c r="F1158">
        <f>COUNTIFS(mdr_rate_cleaned!$A$2:$A$10,B1158,mdr_rate_cleaned!$B$2:$B$10,"&lt;"&amp;C1158,mdr_rate_cleaned!$F$2:$F$10,"&gt;="&amp;C1158)</f>
        <v>1</v>
      </c>
      <c r="G1158">
        <v>1.6E-2</v>
      </c>
      <c r="H1158">
        <v>196.75</v>
      </c>
      <c r="I1158" t="s">
        <v>15</v>
      </c>
      <c r="J1158" t="s">
        <v>15</v>
      </c>
      <c r="K1158">
        <v>35.42</v>
      </c>
      <c r="L1158">
        <v>0</v>
      </c>
    </row>
    <row r="1159" spans="1:12" x14ac:dyDescent="0.3">
      <c r="A1159" t="s">
        <v>1175</v>
      </c>
      <c r="B1159" t="s">
        <v>17</v>
      </c>
      <c r="C1159">
        <v>1799</v>
      </c>
      <c r="D1159">
        <v>32.380000000000003</v>
      </c>
      <c r="E1159">
        <v>5.83</v>
      </c>
      <c r="F1159">
        <f>COUNTIFS(mdr_rate_cleaned!$A$2:$A$10,B1159,mdr_rate_cleaned!$B$2:$B$10,"&lt;"&amp;C1159,mdr_rate_cleaned!$F$2:$F$10,"&gt;="&amp;C1159)</f>
        <v>1</v>
      </c>
      <c r="G1159">
        <v>1.7999999999999999E-2</v>
      </c>
      <c r="H1159">
        <v>32.380000000000003</v>
      </c>
      <c r="I1159" t="s">
        <v>15</v>
      </c>
      <c r="J1159" t="s">
        <v>15</v>
      </c>
      <c r="K1159">
        <v>5.83</v>
      </c>
      <c r="L1159">
        <v>0</v>
      </c>
    </row>
    <row r="1160" spans="1:12" x14ac:dyDescent="0.3">
      <c r="A1160" t="s">
        <v>1176</v>
      </c>
      <c r="B1160" t="s">
        <v>21</v>
      </c>
      <c r="C1160">
        <v>4999</v>
      </c>
      <c r="D1160">
        <v>15</v>
      </c>
      <c r="E1160">
        <v>2.7</v>
      </c>
      <c r="F1160">
        <f>COUNTIFS(mdr_rate_cleaned!$A$2:$A$10,B1160,mdr_rate_cleaned!$B$2:$B$10,"&lt;"&amp;C1160,mdr_rate_cleaned!$F$2:$F$10,"&gt;="&amp;C1160)</f>
        <v>1</v>
      </c>
      <c r="G1160">
        <v>3.0000000000000001E-3</v>
      </c>
      <c r="H1160">
        <v>15</v>
      </c>
      <c r="I1160" t="s">
        <v>15</v>
      </c>
      <c r="J1160" t="s">
        <v>15</v>
      </c>
      <c r="K1160">
        <v>2.7</v>
      </c>
      <c r="L1160">
        <v>0</v>
      </c>
    </row>
    <row r="1161" spans="1:12" x14ac:dyDescent="0.3">
      <c r="A1161" t="s">
        <v>1177</v>
      </c>
      <c r="B1161" t="s">
        <v>39</v>
      </c>
      <c r="C1161">
        <v>349</v>
      </c>
      <c r="D1161">
        <v>5.24</v>
      </c>
      <c r="E1161">
        <v>0.94</v>
      </c>
      <c r="F1161">
        <f>COUNTIFS(mdr_rate_cleaned!$A$2:$A$10,B1161,mdr_rate_cleaned!$B$2:$B$10,"&lt;"&amp;C1161,mdr_rate_cleaned!$F$2:$F$10,"&gt;="&amp;C1161)</f>
        <v>1</v>
      </c>
      <c r="G1161">
        <v>1.4999999999999999E-2</v>
      </c>
      <c r="H1161">
        <v>5.24</v>
      </c>
      <c r="I1161" t="s">
        <v>15</v>
      </c>
      <c r="J1161" t="s">
        <v>15</v>
      </c>
      <c r="K1161">
        <v>0.94</v>
      </c>
      <c r="L1161">
        <v>0</v>
      </c>
    </row>
    <row r="1162" spans="1:12" x14ac:dyDescent="0.3">
      <c r="A1162" t="s">
        <v>1178</v>
      </c>
      <c r="B1162" t="s">
        <v>17</v>
      </c>
      <c r="C1162">
        <v>1799</v>
      </c>
      <c r="D1162">
        <v>32.380000000000003</v>
      </c>
      <c r="E1162">
        <v>5.83</v>
      </c>
      <c r="F1162">
        <f>COUNTIFS(mdr_rate_cleaned!$A$2:$A$10,B1162,mdr_rate_cleaned!$B$2:$B$10,"&lt;"&amp;C1162,mdr_rate_cleaned!$F$2:$F$10,"&gt;="&amp;C1162)</f>
        <v>1</v>
      </c>
      <c r="G1162">
        <v>1.7999999999999999E-2</v>
      </c>
      <c r="H1162">
        <v>32.380000000000003</v>
      </c>
      <c r="I1162" t="s">
        <v>15</v>
      </c>
      <c r="J1162" t="s">
        <v>15</v>
      </c>
      <c r="K1162">
        <v>5.83</v>
      </c>
      <c r="L1162">
        <v>0</v>
      </c>
    </row>
    <row r="1163" spans="1:12" x14ac:dyDescent="0.3">
      <c r="A1163" t="s">
        <v>1179</v>
      </c>
      <c r="B1163" t="s">
        <v>13</v>
      </c>
      <c r="C1163">
        <v>349</v>
      </c>
      <c r="D1163">
        <v>6.63</v>
      </c>
      <c r="E1163">
        <v>1.19</v>
      </c>
      <c r="F1163">
        <f>COUNTIFS(mdr_rate_cleaned!$A$2:$A$10,B1163,mdr_rate_cleaned!$B$2:$B$10,"&lt;"&amp;C1163,mdr_rate_cleaned!$F$2:$F$10,"&gt;="&amp;C1163)</f>
        <v>1</v>
      </c>
      <c r="G1163">
        <v>1.9E-2</v>
      </c>
      <c r="H1163">
        <v>6.63</v>
      </c>
      <c r="I1163" t="s">
        <v>15</v>
      </c>
      <c r="J1163" t="s">
        <v>15</v>
      </c>
      <c r="K1163">
        <v>1.19</v>
      </c>
      <c r="L1163">
        <v>0</v>
      </c>
    </row>
    <row r="1164" spans="1:12" x14ac:dyDescent="0.3">
      <c r="A1164" t="s">
        <v>1180</v>
      </c>
      <c r="B1164" t="s">
        <v>21</v>
      </c>
      <c r="C1164">
        <v>2098</v>
      </c>
      <c r="D1164">
        <v>6.29</v>
      </c>
      <c r="E1164">
        <v>1.1299999999999999</v>
      </c>
      <c r="F1164">
        <f>COUNTIFS(mdr_rate_cleaned!$A$2:$A$10,B1164,mdr_rate_cleaned!$B$2:$B$10,"&lt;"&amp;C1164,mdr_rate_cleaned!$F$2:$F$10,"&gt;="&amp;C1164)</f>
        <v>1</v>
      </c>
      <c r="G1164">
        <v>3.0000000000000001E-3</v>
      </c>
      <c r="H1164">
        <v>6.29</v>
      </c>
      <c r="I1164" t="s">
        <v>15</v>
      </c>
      <c r="J1164" t="s">
        <v>15</v>
      </c>
      <c r="K1164">
        <v>1.1299999999999999</v>
      </c>
      <c r="L1164">
        <v>0</v>
      </c>
    </row>
    <row r="1165" spans="1:12" x14ac:dyDescent="0.3">
      <c r="A1165" t="s">
        <v>1181</v>
      </c>
      <c r="B1165" t="s">
        <v>17</v>
      </c>
      <c r="C1165">
        <v>2999</v>
      </c>
      <c r="D1165">
        <v>47.98</v>
      </c>
      <c r="E1165">
        <v>8.64</v>
      </c>
      <c r="F1165">
        <f>COUNTIFS(mdr_rate_cleaned!$A$2:$A$10,B1165,mdr_rate_cleaned!$B$2:$B$10,"&lt;"&amp;C1165,mdr_rate_cleaned!$F$2:$F$10,"&gt;="&amp;C1165)</f>
        <v>1</v>
      </c>
      <c r="G1165">
        <v>1.6E-2</v>
      </c>
      <c r="H1165">
        <v>47.98</v>
      </c>
      <c r="I1165" t="s">
        <v>15</v>
      </c>
      <c r="J1165" t="s">
        <v>15</v>
      </c>
      <c r="K1165">
        <v>8.64</v>
      </c>
      <c r="L1165">
        <v>0</v>
      </c>
    </row>
    <row r="1166" spans="1:12" x14ac:dyDescent="0.3">
      <c r="A1166" t="s">
        <v>1182</v>
      </c>
      <c r="B1166" t="s">
        <v>13</v>
      </c>
      <c r="C1166">
        <v>799</v>
      </c>
      <c r="D1166">
        <v>15.18</v>
      </c>
      <c r="E1166">
        <v>2.73</v>
      </c>
      <c r="F1166">
        <f>COUNTIFS(mdr_rate_cleaned!$A$2:$A$10,B1166,mdr_rate_cleaned!$B$2:$B$10,"&lt;"&amp;C1166,mdr_rate_cleaned!$F$2:$F$10,"&gt;="&amp;C1166)</f>
        <v>1</v>
      </c>
      <c r="G1166">
        <v>1.9E-2</v>
      </c>
      <c r="H1166">
        <v>15.18</v>
      </c>
      <c r="I1166" t="s">
        <v>15</v>
      </c>
      <c r="J1166" t="s">
        <v>15</v>
      </c>
      <c r="K1166">
        <v>2.73</v>
      </c>
      <c r="L1166">
        <v>0</v>
      </c>
    </row>
    <row r="1167" spans="1:12" x14ac:dyDescent="0.3">
      <c r="A1167" t="s">
        <v>1183</v>
      </c>
      <c r="B1167" t="s">
        <v>17</v>
      </c>
      <c r="C1167">
        <v>5348</v>
      </c>
      <c r="D1167">
        <v>85.57</v>
      </c>
      <c r="E1167">
        <v>15.4</v>
      </c>
      <c r="F1167">
        <f>COUNTIFS(mdr_rate_cleaned!$A$2:$A$10,B1167,mdr_rate_cleaned!$B$2:$B$10,"&lt;"&amp;C1167,mdr_rate_cleaned!$F$2:$F$10,"&gt;="&amp;C1167)</f>
        <v>1</v>
      </c>
      <c r="G1167">
        <v>1.6E-2</v>
      </c>
      <c r="H1167">
        <v>85.57</v>
      </c>
      <c r="I1167" t="s">
        <v>15</v>
      </c>
      <c r="J1167" t="s">
        <v>15</v>
      </c>
      <c r="K1167">
        <v>15.4</v>
      </c>
      <c r="L1167">
        <v>0</v>
      </c>
    </row>
    <row r="1168" spans="1:12" x14ac:dyDescent="0.3">
      <c r="A1168" t="s">
        <v>1184</v>
      </c>
      <c r="B1168" t="s">
        <v>21</v>
      </c>
      <c r="C1168">
        <v>1498</v>
      </c>
      <c r="D1168">
        <v>0</v>
      </c>
      <c r="E1168">
        <v>0</v>
      </c>
      <c r="F1168">
        <f>COUNTIFS(mdr_rate_cleaned!$A$2:$A$10,B1168,mdr_rate_cleaned!$B$2:$B$10,"&lt;"&amp;C1168,mdr_rate_cleaned!$F$2:$F$10,"&gt;="&amp;C1168)</f>
        <v>1</v>
      </c>
      <c r="G1168">
        <v>0</v>
      </c>
      <c r="H1168">
        <v>0</v>
      </c>
      <c r="I1168" t="s">
        <v>15</v>
      </c>
      <c r="J1168" t="s">
        <v>15</v>
      </c>
      <c r="K1168">
        <v>0</v>
      </c>
      <c r="L1168">
        <v>0</v>
      </c>
    </row>
    <row r="1169" spans="1:12" x14ac:dyDescent="0.3">
      <c r="A1169" t="s">
        <v>1185</v>
      </c>
      <c r="B1169" t="s">
        <v>13</v>
      </c>
      <c r="C1169">
        <v>4999</v>
      </c>
      <c r="D1169">
        <v>84.98</v>
      </c>
      <c r="E1169">
        <v>15.3</v>
      </c>
      <c r="F1169">
        <f>COUNTIFS(mdr_rate_cleaned!$A$2:$A$10,B1169,mdr_rate_cleaned!$B$2:$B$10,"&lt;"&amp;C1169,mdr_rate_cleaned!$F$2:$F$10,"&gt;="&amp;C1169)</f>
        <v>1</v>
      </c>
      <c r="G1169">
        <v>1.7000000000000001E-2</v>
      </c>
      <c r="H1169">
        <v>84.98</v>
      </c>
      <c r="I1169" t="s">
        <v>15</v>
      </c>
      <c r="J1169" t="s">
        <v>15</v>
      </c>
      <c r="K1169">
        <v>15.3</v>
      </c>
      <c r="L1169">
        <v>0</v>
      </c>
    </row>
    <row r="1170" spans="1:12" x14ac:dyDescent="0.3">
      <c r="A1170" t="s">
        <v>1186</v>
      </c>
      <c r="B1170" t="s">
        <v>21</v>
      </c>
      <c r="C1170">
        <v>8297</v>
      </c>
      <c r="D1170">
        <v>24.89</v>
      </c>
      <c r="E1170">
        <v>4.4800000000000004</v>
      </c>
      <c r="F1170">
        <f>COUNTIFS(mdr_rate_cleaned!$A$2:$A$10,B1170,mdr_rate_cleaned!$B$2:$B$10,"&lt;"&amp;C1170,mdr_rate_cleaned!$F$2:$F$10,"&gt;="&amp;C1170)</f>
        <v>1</v>
      </c>
      <c r="G1170">
        <v>3.0000000000000001E-3</v>
      </c>
      <c r="H1170">
        <v>24.89</v>
      </c>
      <c r="I1170" t="s">
        <v>15</v>
      </c>
      <c r="J1170" t="s">
        <v>15</v>
      </c>
      <c r="K1170">
        <v>4.4800000000000004</v>
      </c>
      <c r="L1170">
        <v>0</v>
      </c>
    </row>
    <row r="1171" spans="1:12" x14ac:dyDescent="0.3">
      <c r="A1171" t="s">
        <v>1187</v>
      </c>
      <c r="B1171" t="s">
        <v>17</v>
      </c>
      <c r="C1171">
        <v>599</v>
      </c>
      <c r="D1171">
        <v>10.78</v>
      </c>
      <c r="E1171">
        <v>1.94</v>
      </c>
      <c r="F1171">
        <f>COUNTIFS(mdr_rate_cleaned!$A$2:$A$10,B1171,mdr_rate_cleaned!$B$2:$B$10,"&lt;"&amp;C1171,mdr_rate_cleaned!$F$2:$F$10,"&gt;="&amp;C1171)</f>
        <v>1</v>
      </c>
      <c r="G1171">
        <v>1.7999999999999999E-2</v>
      </c>
      <c r="H1171">
        <v>10.78</v>
      </c>
      <c r="I1171" t="s">
        <v>15</v>
      </c>
      <c r="J1171" t="s">
        <v>15</v>
      </c>
      <c r="K1171">
        <v>1.94</v>
      </c>
      <c r="L1171">
        <v>0</v>
      </c>
    </row>
    <row r="1172" spans="1:12" x14ac:dyDescent="0.3">
      <c r="A1172" t="s">
        <v>1188</v>
      </c>
      <c r="B1172" t="s">
        <v>21</v>
      </c>
      <c r="C1172">
        <v>599</v>
      </c>
      <c r="D1172">
        <v>0</v>
      </c>
      <c r="E1172">
        <v>0</v>
      </c>
      <c r="F1172">
        <f>COUNTIFS(mdr_rate_cleaned!$A$2:$A$10,B1172,mdr_rate_cleaned!$B$2:$B$10,"&lt;"&amp;C1172,mdr_rate_cleaned!$F$2:$F$10,"&gt;="&amp;C1172)</f>
        <v>1</v>
      </c>
      <c r="G1172">
        <v>0</v>
      </c>
      <c r="H1172">
        <v>0</v>
      </c>
      <c r="I1172" t="s">
        <v>15</v>
      </c>
      <c r="J1172" t="s">
        <v>15</v>
      </c>
      <c r="K1172">
        <v>0</v>
      </c>
      <c r="L1172">
        <v>0</v>
      </c>
    </row>
    <row r="1173" spans="1:12" x14ac:dyDescent="0.3">
      <c r="A1173" t="s">
        <v>1189</v>
      </c>
      <c r="B1173" t="s">
        <v>17</v>
      </c>
      <c r="C1173">
        <v>1799</v>
      </c>
      <c r="D1173">
        <v>32.380000000000003</v>
      </c>
      <c r="E1173">
        <v>5.83</v>
      </c>
      <c r="F1173">
        <f>COUNTIFS(mdr_rate_cleaned!$A$2:$A$10,B1173,mdr_rate_cleaned!$B$2:$B$10,"&lt;"&amp;C1173,mdr_rate_cleaned!$F$2:$F$10,"&gt;="&amp;C1173)</f>
        <v>1</v>
      </c>
      <c r="G1173">
        <v>1.7999999999999999E-2</v>
      </c>
      <c r="H1173">
        <v>32.380000000000003</v>
      </c>
      <c r="I1173" t="s">
        <v>15</v>
      </c>
      <c r="J1173" t="s">
        <v>15</v>
      </c>
      <c r="K1173">
        <v>5.83</v>
      </c>
      <c r="L1173">
        <v>0</v>
      </c>
    </row>
    <row r="1174" spans="1:12" x14ac:dyDescent="0.3">
      <c r="A1174" t="s">
        <v>1190</v>
      </c>
      <c r="B1174" t="s">
        <v>21</v>
      </c>
      <c r="C1174">
        <v>599</v>
      </c>
      <c r="D1174">
        <v>0</v>
      </c>
      <c r="E1174">
        <v>0</v>
      </c>
      <c r="F1174">
        <f>COUNTIFS(mdr_rate_cleaned!$A$2:$A$10,B1174,mdr_rate_cleaned!$B$2:$B$10,"&lt;"&amp;C1174,mdr_rate_cleaned!$F$2:$F$10,"&gt;="&amp;C1174)</f>
        <v>1</v>
      </c>
      <c r="G1174">
        <v>0</v>
      </c>
      <c r="H1174">
        <v>0</v>
      </c>
      <c r="I1174" t="s">
        <v>15</v>
      </c>
      <c r="J1174" t="s">
        <v>15</v>
      </c>
      <c r="K1174">
        <v>0</v>
      </c>
      <c r="L1174">
        <v>0</v>
      </c>
    </row>
    <row r="1175" spans="1:12" x14ac:dyDescent="0.3">
      <c r="A1175" t="s">
        <v>1191</v>
      </c>
      <c r="B1175" t="s">
        <v>13</v>
      </c>
      <c r="C1175">
        <v>4298</v>
      </c>
      <c r="D1175">
        <v>73.069999999999993</v>
      </c>
      <c r="E1175">
        <v>13.15</v>
      </c>
      <c r="F1175">
        <f>COUNTIFS(mdr_rate_cleaned!$A$2:$A$10,B1175,mdr_rate_cleaned!$B$2:$B$10,"&lt;"&amp;C1175,mdr_rate_cleaned!$F$2:$F$10,"&gt;="&amp;C1175)</f>
        <v>1</v>
      </c>
      <c r="G1175">
        <v>1.7000000000000001E-2</v>
      </c>
      <c r="H1175">
        <v>73.069999999999993</v>
      </c>
      <c r="I1175" t="s">
        <v>15</v>
      </c>
      <c r="J1175" t="s">
        <v>15</v>
      </c>
      <c r="K1175">
        <v>13.15</v>
      </c>
      <c r="L1175">
        <v>0</v>
      </c>
    </row>
    <row r="1176" spans="1:12" x14ac:dyDescent="0.3">
      <c r="A1176" t="s">
        <v>1192</v>
      </c>
      <c r="B1176" t="s">
        <v>17</v>
      </c>
      <c r="C1176">
        <v>2999</v>
      </c>
      <c r="D1176">
        <v>47.98</v>
      </c>
      <c r="E1176">
        <v>8.64</v>
      </c>
      <c r="F1176">
        <f>COUNTIFS(mdr_rate_cleaned!$A$2:$A$10,B1176,mdr_rate_cleaned!$B$2:$B$10,"&lt;"&amp;C1176,mdr_rate_cleaned!$F$2:$F$10,"&gt;="&amp;C1176)</f>
        <v>1</v>
      </c>
      <c r="G1176">
        <v>1.6E-2</v>
      </c>
      <c r="H1176">
        <v>47.98</v>
      </c>
      <c r="I1176" t="s">
        <v>15</v>
      </c>
      <c r="J1176" t="s">
        <v>15</v>
      </c>
      <c r="K1176">
        <v>8.64</v>
      </c>
      <c r="L1176">
        <v>0</v>
      </c>
    </row>
    <row r="1177" spans="1:12" x14ac:dyDescent="0.3">
      <c r="A1177" t="s">
        <v>1193</v>
      </c>
      <c r="B1177" t="s">
        <v>21</v>
      </c>
      <c r="C1177">
        <v>7999</v>
      </c>
      <c r="D1177">
        <v>24</v>
      </c>
      <c r="E1177">
        <v>4.32</v>
      </c>
      <c r="F1177">
        <f>COUNTIFS(mdr_rate_cleaned!$A$2:$A$10,B1177,mdr_rate_cleaned!$B$2:$B$10,"&lt;"&amp;C1177,mdr_rate_cleaned!$F$2:$F$10,"&gt;="&amp;C1177)</f>
        <v>1</v>
      </c>
      <c r="G1177">
        <v>3.0000000000000001E-3</v>
      </c>
      <c r="H1177">
        <v>24</v>
      </c>
      <c r="I1177" t="s">
        <v>15</v>
      </c>
      <c r="J1177" t="s">
        <v>15</v>
      </c>
      <c r="K1177">
        <v>4.32</v>
      </c>
      <c r="L1177">
        <v>0</v>
      </c>
    </row>
    <row r="1178" spans="1:12" x14ac:dyDescent="0.3">
      <c r="A1178" t="s">
        <v>1194</v>
      </c>
      <c r="B1178" t="s">
        <v>17</v>
      </c>
      <c r="C1178">
        <v>2999</v>
      </c>
      <c r="D1178">
        <v>47.98</v>
      </c>
      <c r="E1178">
        <v>8.64</v>
      </c>
      <c r="F1178">
        <f>COUNTIFS(mdr_rate_cleaned!$A$2:$A$10,B1178,mdr_rate_cleaned!$B$2:$B$10,"&lt;"&amp;C1178,mdr_rate_cleaned!$F$2:$F$10,"&gt;="&amp;C1178)</f>
        <v>1</v>
      </c>
      <c r="G1178">
        <v>1.6E-2</v>
      </c>
      <c r="H1178">
        <v>47.98</v>
      </c>
      <c r="I1178" t="s">
        <v>15</v>
      </c>
      <c r="J1178" t="s">
        <v>15</v>
      </c>
      <c r="K1178">
        <v>8.64</v>
      </c>
      <c r="L1178">
        <v>0</v>
      </c>
    </row>
    <row r="1179" spans="1:12" x14ac:dyDescent="0.3">
      <c r="A1179" t="s">
        <v>1195</v>
      </c>
      <c r="B1179" t="s">
        <v>21</v>
      </c>
      <c r="C1179">
        <v>3397</v>
      </c>
      <c r="D1179">
        <v>10.19</v>
      </c>
      <c r="E1179">
        <v>1.83</v>
      </c>
      <c r="F1179">
        <f>COUNTIFS(mdr_rate_cleaned!$A$2:$A$10,B1179,mdr_rate_cleaned!$B$2:$B$10,"&lt;"&amp;C1179,mdr_rate_cleaned!$F$2:$F$10,"&gt;="&amp;C1179)</f>
        <v>1</v>
      </c>
      <c r="G1179">
        <v>3.0000000000000001E-3</v>
      </c>
      <c r="H1179">
        <v>10.19</v>
      </c>
      <c r="I1179" t="s">
        <v>15</v>
      </c>
      <c r="J1179" t="s">
        <v>15</v>
      </c>
      <c r="K1179">
        <v>1.83</v>
      </c>
      <c r="L1179">
        <v>0</v>
      </c>
    </row>
    <row r="1180" spans="1:12" x14ac:dyDescent="0.3">
      <c r="A1180" t="s">
        <v>1196</v>
      </c>
      <c r="B1180" t="s">
        <v>21</v>
      </c>
      <c r="C1180">
        <v>6298</v>
      </c>
      <c r="D1180">
        <v>18.89</v>
      </c>
      <c r="E1180">
        <v>3.4</v>
      </c>
      <c r="F1180">
        <f>COUNTIFS(mdr_rate_cleaned!$A$2:$A$10,B1180,mdr_rate_cleaned!$B$2:$B$10,"&lt;"&amp;C1180,mdr_rate_cleaned!$F$2:$F$10,"&gt;="&amp;C1180)</f>
        <v>1</v>
      </c>
      <c r="G1180">
        <v>3.0000000000000001E-3</v>
      </c>
      <c r="H1180">
        <v>18.89</v>
      </c>
      <c r="I1180" t="s">
        <v>15</v>
      </c>
      <c r="J1180" t="s">
        <v>15</v>
      </c>
      <c r="K1180">
        <v>3.4</v>
      </c>
      <c r="L1180">
        <v>0</v>
      </c>
    </row>
    <row r="1181" spans="1:12" x14ac:dyDescent="0.3">
      <c r="A1181" t="s">
        <v>1197</v>
      </c>
      <c r="B1181" t="s">
        <v>17</v>
      </c>
      <c r="C1181">
        <v>599</v>
      </c>
      <c r="D1181">
        <v>10.78</v>
      </c>
      <c r="E1181">
        <v>1.94</v>
      </c>
      <c r="F1181">
        <f>COUNTIFS(mdr_rate_cleaned!$A$2:$A$10,B1181,mdr_rate_cleaned!$B$2:$B$10,"&lt;"&amp;C1181,mdr_rate_cleaned!$F$2:$F$10,"&gt;="&amp;C1181)</f>
        <v>1</v>
      </c>
      <c r="G1181">
        <v>1.7999999999999999E-2</v>
      </c>
      <c r="H1181">
        <v>10.78</v>
      </c>
      <c r="I1181" t="s">
        <v>15</v>
      </c>
      <c r="J1181" t="s">
        <v>15</v>
      </c>
      <c r="K1181">
        <v>1.94</v>
      </c>
      <c r="L1181">
        <v>0</v>
      </c>
    </row>
    <row r="1182" spans="1:12" x14ac:dyDescent="0.3">
      <c r="A1182" t="s">
        <v>1198</v>
      </c>
      <c r="B1182" t="s">
        <v>21</v>
      </c>
      <c r="C1182">
        <v>599</v>
      </c>
      <c r="D1182">
        <v>0</v>
      </c>
      <c r="E1182">
        <v>0</v>
      </c>
      <c r="F1182">
        <f>COUNTIFS(mdr_rate_cleaned!$A$2:$A$10,B1182,mdr_rate_cleaned!$B$2:$B$10,"&lt;"&amp;C1182,mdr_rate_cleaned!$F$2:$F$10,"&gt;="&amp;C1182)</f>
        <v>1</v>
      </c>
      <c r="G1182">
        <v>0</v>
      </c>
      <c r="H1182">
        <v>0</v>
      </c>
      <c r="I1182" t="s">
        <v>15</v>
      </c>
      <c r="J1182" t="s">
        <v>15</v>
      </c>
      <c r="K1182">
        <v>0</v>
      </c>
      <c r="L1182">
        <v>0</v>
      </c>
    </row>
    <row r="1183" spans="1:12" x14ac:dyDescent="0.3">
      <c r="A1183" t="s">
        <v>1199</v>
      </c>
      <c r="B1183" t="s">
        <v>21</v>
      </c>
      <c r="C1183">
        <v>1598</v>
      </c>
      <c r="D1183">
        <v>0</v>
      </c>
      <c r="E1183">
        <v>0</v>
      </c>
      <c r="F1183">
        <f>COUNTIFS(mdr_rate_cleaned!$A$2:$A$10,B1183,mdr_rate_cleaned!$B$2:$B$10,"&lt;"&amp;C1183,mdr_rate_cleaned!$F$2:$F$10,"&gt;="&amp;C1183)</f>
        <v>1</v>
      </c>
      <c r="G1183">
        <v>0</v>
      </c>
      <c r="H1183">
        <v>0</v>
      </c>
      <c r="I1183" t="s">
        <v>15</v>
      </c>
      <c r="J1183" t="s">
        <v>15</v>
      </c>
      <c r="K1183">
        <v>0</v>
      </c>
      <c r="L1183">
        <v>0</v>
      </c>
    </row>
    <row r="1184" spans="1:12" x14ac:dyDescent="0.3">
      <c r="A1184" t="s">
        <v>1200</v>
      </c>
      <c r="B1184" t="s">
        <v>21</v>
      </c>
      <c r="C1184">
        <v>8998</v>
      </c>
      <c r="D1184">
        <v>26.99</v>
      </c>
      <c r="E1184">
        <v>4.8600000000000003</v>
      </c>
      <c r="F1184">
        <f>COUNTIFS(mdr_rate_cleaned!$A$2:$A$10,B1184,mdr_rate_cleaned!$B$2:$B$10,"&lt;"&amp;C1184,mdr_rate_cleaned!$F$2:$F$10,"&gt;="&amp;C1184)</f>
        <v>1</v>
      </c>
      <c r="G1184">
        <v>3.0000000000000001E-3</v>
      </c>
      <c r="H1184">
        <v>26.99</v>
      </c>
      <c r="I1184" t="s">
        <v>15</v>
      </c>
      <c r="J1184" t="s">
        <v>15</v>
      </c>
      <c r="K1184">
        <v>4.8600000000000003</v>
      </c>
      <c r="L1184">
        <v>0</v>
      </c>
    </row>
    <row r="1185" spans="1:12" x14ac:dyDescent="0.3">
      <c r="A1185" t="s">
        <v>1201</v>
      </c>
      <c r="B1185" t="s">
        <v>21</v>
      </c>
      <c r="C1185">
        <v>4798</v>
      </c>
      <c r="D1185">
        <v>14.39</v>
      </c>
      <c r="E1185">
        <v>2.59</v>
      </c>
      <c r="F1185">
        <f>COUNTIFS(mdr_rate_cleaned!$A$2:$A$10,B1185,mdr_rate_cleaned!$B$2:$B$10,"&lt;"&amp;C1185,mdr_rate_cleaned!$F$2:$F$10,"&gt;="&amp;C1185)</f>
        <v>1</v>
      </c>
      <c r="G1185">
        <v>3.0000000000000001E-3</v>
      </c>
      <c r="H1185">
        <v>14.39</v>
      </c>
      <c r="I1185" t="s">
        <v>15</v>
      </c>
      <c r="J1185" t="s">
        <v>15</v>
      </c>
      <c r="K1185">
        <v>2.59</v>
      </c>
      <c r="L1185">
        <v>0</v>
      </c>
    </row>
    <row r="1186" spans="1:12" x14ac:dyDescent="0.3">
      <c r="A1186" t="s">
        <v>1202</v>
      </c>
      <c r="B1186" t="s">
        <v>17</v>
      </c>
      <c r="C1186">
        <v>1798</v>
      </c>
      <c r="D1186">
        <v>32.36</v>
      </c>
      <c r="E1186">
        <v>5.82</v>
      </c>
      <c r="F1186">
        <f>COUNTIFS(mdr_rate_cleaned!$A$2:$A$10,B1186,mdr_rate_cleaned!$B$2:$B$10,"&lt;"&amp;C1186,mdr_rate_cleaned!$F$2:$F$10,"&gt;="&amp;C1186)</f>
        <v>1</v>
      </c>
      <c r="G1186">
        <v>1.7999999999999999E-2</v>
      </c>
      <c r="H1186">
        <v>32.36</v>
      </c>
      <c r="I1186" t="s">
        <v>15</v>
      </c>
      <c r="J1186" t="s">
        <v>15</v>
      </c>
      <c r="K1186">
        <v>5.82</v>
      </c>
      <c r="L1186">
        <v>0</v>
      </c>
    </row>
    <row r="1187" spans="1:12" x14ac:dyDescent="0.3">
      <c r="A1187" t="s">
        <v>1203</v>
      </c>
      <c r="B1187" t="s">
        <v>17</v>
      </c>
      <c r="C1187">
        <v>4999</v>
      </c>
      <c r="D1187">
        <v>79.98</v>
      </c>
      <c r="E1187">
        <v>14.4</v>
      </c>
      <c r="F1187">
        <f>COUNTIFS(mdr_rate_cleaned!$A$2:$A$10,B1187,mdr_rate_cleaned!$B$2:$B$10,"&lt;"&amp;C1187,mdr_rate_cleaned!$F$2:$F$10,"&gt;="&amp;C1187)</f>
        <v>1</v>
      </c>
      <c r="G1187">
        <v>1.6E-2</v>
      </c>
      <c r="H1187">
        <v>79.98</v>
      </c>
      <c r="I1187" t="s">
        <v>15</v>
      </c>
      <c r="J1187" t="s">
        <v>15</v>
      </c>
      <c r="K1187">
        <v>14.4</v>
      </c>
      <c r="L1187">
        <v>0</v>
      </c>
    </row>
    <row r="1188" spans="1:12" x14ac:dyDescent="0.3">
      <c r="A1188" t="s">
        <v>1204</v>
      </c>
      <c r="B1188" t="s">
        <v>21</v>
      </c>
      <c r="C1188">
        <v>4999</v>
      </c>
      <c r="D1188">
        <v>15</v>
      </c>
      <c r="E1188">
        <v>2.7</v>
      </c>
      <c r="F1188">
        <f>COUNTIFS(mdr_rate_cleaned!$A$2:$A$10,B1188,mdr_rate_cleaned!$B$2:$B$10,"&lt;"&amp;C1188,mdr_rate_cleaned!$F$2:$F$10,"&gt;="&amp;C1188)</f>
        <v>1</v>
      </c>
      <c r="G1188">
        <v>3.0000000000000001E-3</v>
      </c>
      <c r="H1188">
        <v>15</v>
      </c>
      <c r="I1188" t="s">
        <v>15</v>
      </c>
      <c r="J1188" t="s">
        <v>15</v>
      </c>
      <c r="K1188">
        <v>2.7</v>
      </c>
      <c r="L1188">
        <v>0</v>
      </c>
    </row>
    <row r="1189" spans="1:12" x14ac:dyDescent="0.3">
      <c r="A1189" t="s">
        <v>1205</v>
      </c>
      <c r="B1189" t="s">
        <v>21</v>
      </c>
      <c r="C1189">
        <v>349</v>
      </c>
      <c r="D1189">
        <v>0</v>
      </c>
      <c r="E1189">
        <v>0</v>
      </c>
      <c r="F1189">
        <f>COUNTIFS(mdr_rate_cleaned!$A$2:$A$10,B1189,mdr_rate_cleaned!$B$2:$B$10,"&lt;"&amp;C1189,mdr_rate_cleaned!$F$2:$F$10,"&gt;="&amp;C1189)</f>
        <v>1</v>
      </c>
      <c r="G1189">
        <v>0</v>
      </c>
      <c r="H1189">
        <v>0</v>
      </c>
      <c r="I1189" t="s">
        <v>15</v>
      </c>
      <c r="J1189" t="s">
        <v>15</v>
      </c>
      <c r="K1189">
        <v>0</v>
      </c>
      <c r="L1189">
        <v>0</v>
      </c>
    </row>
    <row r="1190" spans="1:12" x14ac:dyDescent="0.3">
      <c r="A1190" t="s">
        <v>1206</v>
      </c>
      <c r="B1190" t="s">
        <v>17</v>
      </c>
      <c r="C1190">
        <v>3499</v>
      </c>
      <c r="D1190">
        <v>55.98</v>
      </c>
      <c r="E1190">
        <v>10.08</v>
      </c>
      <c r="F1190">
        <f>COUNTIFS(mdr_rate_cleaned!$A$2:$A$10,B1190,mdr_rate_cleaned!$B$2:$B$10,"&lt;"&amp;C1190,mdr_rate_cleaned!$F$2:$F$10,"&gt;="&amp;C1190)</f>
        <v>1</v>
      </c>
      <c r="G1190">
        <v>1.6E-2</v>
      </c>
      <c r="H1190">
        <v>55.98</v>
      </c>
      <c r="I1190" t="s">
        <v>15</v>
      </c>
      <c r="J1190" t="s">
        <v>15</v>
      </c>
      <c r="K1190">
        <v>10.08</v>
      </c>
      <c r="L1190">
        <v>0</v>
      </c>
    </row>
    <row r="1191" spans="1:12" x14ac:dyDescent="0.3">
      <c r="A1191" t="s">
        <v>1207</v>
      </c>
      <c r="B1191" t="s">
        <v>13</v>
      </c>
      <c r="C1191">
        <v>3098</v>
      </c>
      <c r="D1191">
        <v>52.67</v>
      </c>
      <c r="E1191">
        <v>9.48</v>
      </c>
      <c r="F1191">
        <f>COUNTIFS(mdr_rate_cleaned!$A$2:$A$10,B1191,mdr_rate_cleaned!$B$2:$B$10,"&lt;"&amp;C1191,mdr_rate_cleaned!$F$2:$F$10,"&gt;="&amp;C1191)</f>
        <v>1</v>
      </c>
      <c r="G1191">
        <v>1.7000000000000001E-2</v>
      </c>
      <c r="H1191">
        <v>52.67</v>
      </c>
      <c r="I1191" t="s">
        <v>15</v>
      </c>
      <c r="J1191" t="s">
        <v>15</v>
      </c>
      <c r="K1191">
        <v>9.48</v>
      </c>
      <c r="L1191">
        <v>0</v>
      </c>
    </row>
    <row r="1192" spans="1:12" x14ac:dyDescent="0.3">
      <c r="A1192" t="s">
        <v>1208</v>
      </c>
      <c r="B1192" t="s">
        <v>21</v>
      </c>
      <c r="C1192">
        <v>3499</v>
      </c>
      <c r="D1192">
        <v>10.5</v>
      </c>
      <c r="E1192">
        <v>1.89</v>
      </c>
      <c r="F1192">
        <f>COUNTIFS(mdr_rate_cleaned!$A$2:$A$10,B1192,mdr_rate_cleaned!$B$2:$B$10,"&lt;"&amp;C1192,mdr_rate_cleaned!$F$2:$F$10,"&gt;="&amp;C1192)</f>
        <v>1</v>
      </c>
      <c r="G1192">
        <v>3.0000000000000001E-3</v>
      </c>
      <c r="H1192">
        <v>10.5</v>
      </c>
      <c r="I1192" t="s">
        <v>15</v>
      </c>
      <c r="J1192" t="s">
        <v>15</v>
      </c>
      <c r="K1192">
        <v>1.89</v>
      </c>
      <c r="L1192">
        <v>0</v>
      </c>
    </row>
    <row r="1193" spans="1:12" x14ac:dyDescent="0.3">
      <c r="A1193" t="s">
        <v>1209</v>
      </c>
      <c r="B1193" t="s">
        <v>13</v>
      </c>
      <c r="C1193">
        <v>2499</v>
      </c>
      <c r="D1193">
        <v>42.48</v>
      </c>
      <c r="E1193">
        <v>7.65</v>
      </c>
      <c r="F1193">
        <f>COUNTIFS(mdr_rate_cleaned!$A$2:$A$10,B1193,mdr_rate_cleaned!$B$2:$B$10,"&lt;"&amp;C1193,mdr_rate_cleaned!$F$2:$F$10,"&gt;="&amp;C1193)</f>
        <v>1</v>
      </c>
      <c r="G1193">
        <v>1.7000000000000001E-2</v>
      </c>
      <c r="H1193">
        <v>42.48</v>
      </c>
      <c r="I1193" t="s">
        <v>15</v>
      </c>
      <c r="J1193" t="s">
        <v>15</v>
      </c>
      <c r="K1193">
        <v>7.65</v>
      </c>
      <c r="L1193">
        <v>0</v>
      </c>
    </row>
    <row r="1194" spans="1:12" x14ac:dyDescent="0.3">
      <c r="A1194" t="s">
        <v>1210</v>
      </c>
      <c r="B1194" t="s">
        <v>17</v>
      </c>
      <c r="C1194">
        <v>4999</v>
      </c>
      <c r="D1194">
        <v>79.98</v>
      </c>
      <c r="E1194">
        <v>14.4</v>
      </c>
      <c r="F1194">
        <f>COUNTIFS(mdr_rate_cleaned!$A$2:$A$10,B1194,mdr_rate_cleaned!$B$2:$B$10,"&lt;"&amp;C1194,mdr_rate_cleaned!$F$2:$F$10,"&gt;="&amp;C1194)</f>
        <v>1</v>
      </c>
      <c r="G1194">
        <v>1.6E-2</v>
      </c>
      <c r="H1194">
        <v>79.98</v>
      </c>
      <c r="I1194" t="s">
        <v>15</v>
      </c>
      <c r="J1194" t="s">
        <v>15</v>
      </c>
      <c r="K1194">
        <v>14.4</v>
      </c>
      <c r="L1194">
        <v>0</v>
      </c>
    </row>
    <row r="1195" spans="1:12" x14ac:dyDescent="0.3">
      <c r="A1195" t="s">
        <v>1211</v>
      </c>
      <c r="B1195" t="s">
        <v>17</v>
      </c>
      <c r="C1195">
        <v>2897</v>
      </c>
      <c r="D1195">
        <v>46.35</v>
      </c>
      <c r="E1195">
        <v>8.34</v>
      </c>
      <c r="F1195">
        <f>COUNTIFS(mdr_rate_cleaned!$A$2:$A$10,B1195,mdr_rate_cleaned!$B$2:$B$10,"&lt;"&amp;C1195,mdr_rate_cleaned!$F$2:$F$10,"&gt;="&amp;C1195)</f>
        <v>1</v>
      </c>
      <c r="G1195">
        <v>1.6E-2</v>
      </c>
      <c r="H1195">
        <v>46.35</v>
      </c>
      <c r="I1195" t="s">
        <v>15</v>
      </c>
      <c r="J1195" t="s">
        <v>15</v>
      </c>
      <c r="K1195">
        <v>8.34</v>
      </c>
      <c r="L1195">
        <v>0</v>
      </c>
    </row>
    <row r="1196" spans="1:12" x14ac:dyDescent="0.3">
      <c r="A1196" t="s">
        <v>1212</v>
      </c>
      <c r="B1196" t="s">
        <v>21</v>
      </c>
      <c r="C1196">
        <v>9798</v>
      </c>
      <c r="D1196">
        <v>29.39</v>
      </c>
      <c r="E1196">
        <v>5.29</v>
      </c>
      <c r="F1196">
        <f>COUNTIFS(mdr_rate_cleaned!$A$2:$A$10,B1196,mdr_rate_cleaned!$B$2:$B$10,"&lt;"&amp;C1196,mdr_rate_cleaned!$F$2:$F$10,"&gt;="&amp;C1196)</f>
        <v>1</v>
      </c>
      <c r="G1196">
        <v>3.0000000000000001E-3</v>
      </c>
      <c r="H1196">
        <v>29.39</v>
      </c>
      <c r="I1196" t="s">
        <v>15</v>
      </c>
      <c r="J1196" t="s">
        <v>15</v>
      </c>
      <c r="K1196">
        <v>5.29</v>
      </c>
      <c r="L1196">
        <v>0</v>
      </c>
    </row>
    <row r="1197" spans="1:12" x14ac:dyDescent="0.3">
      <c r="A1197" t="s">
        <v>1213</v>
      </c>
      <c r="B1197" t="s">
        <v>17</v>
      </c>
      <c r="C1197">
        <v>499</v>
      </c>
      <c r="D1197">
        <v>8.98</v>
      </c>
      <c r="E1197">
        <v>1.62</v>
      </c>
      <c r="F1197">
        <f>COUNTIFS(mdr_rate_cleaned!$A$2:$A$10,B1197,mdr_rate_cleaned!$B$2:$B$10,"&lt;"&amp;C1197,mdr_rate_cleaned!$F$2:$F$10,"&gt;="&amp;C1197)</f>
        <v>1</v>
      </c>
      <c r="G1197">
        <v>1.7999999999999999E-2</v>
      </c>
      <c r="H1197">
        <v>8.98</v>
      </c>
      <c r="I1197" t="s">
        <v>15</v>
      </c>
      <c r="J1197" t="s">
        <v>15</v>
      </c>
      <c r="K1197">
        <v>1.62</v>
      </c>
      <c r="L1197">
        <v>0</v>
      </c>
    </row>
    <row r="1198" spans="1:12" x14ac:dyDescent="0.3">
      <c r="A1198" t="s">
        <v>1214</v>
      </c>
      <c r="B1198" t="s">
        <v>21</v>
      </c>
      <c r="C1198">
        <v>7999</v>
      </c>
      <c r="D1198">
        <v>24</v>
      </c>
      <c r="E1198">
        <v>4.32</v>
      </c>
      <c r="F1198">
        <f>COUNTIFS(mdr_rate_cleaned!$A$2:$A$10,B1198,mdr_rate_cleaned!$B$2:$B$10,"&lt;"&amp;C1198,mdr_rate_cleaned!$F$2:$F$10,"&gt;="&amp;C1198)</f>
        <v>1</v>
      </c>
      <c r="G1198">
        <v>3.0000000000000001E-3</v>
      </c>
      <c r="H1198">
        <v>24</v>
      </c>
      <c r="I1198" t="s">
        <v>15</v>
      </c>
      <c r="J1198" t="s">
        <v>15</v>
      </c>
      <c r="K1198">
        <v>4.32</v>
      </c>
      <c r="L1198">
        <v>0</v>
      </c>
    </row>
    <row r="1199" spans="1:12" x14ac:dyDescent="0.3">
      <c r="A1199" t="s">
        <v>1215</v>
      </c>
      <c r="B1199" t="s">
        <v>21</v>
      </c>
      <c r="C1199">
        <v>6497</v>
      </c>
      <c r="D1199">
        <v>19.489999999999998</v>
      </c>
      <c r="E1199">
        <v>3.51</v>
      </c>
      <c r="F1199">
        <f>COUNTIFS(mdr_rate_cleaned!$A$2:$A$10,B1199,mdr_rate_cleaned!$B$2:$B$10,"&lt;"&amp;C1199,mdr_rate_cleaned!$F$2:$F$10,"&gt;="&amp;C1199)</f>
        <v>1</v>
      </c>
      <c r="G1199">
        <v>3.0000000000000001E-3</v>
      </c>
      <c r="H1199">
        <v>19.489999999999998</v>
      </c>
      <c r="I1199" t="s">
        <v>15</v>
      </c>
      <c r="J1199" t="s">
        <v>15</v>
      </c>
      <c r="K1199">
        <v>3.51</v>
      </c>
      <c r="L1199">
        <v>0</v>
      </c>
    </row>
    <row r="1200" spans="1:12" x14ac:dyDescent="0.3">
      <c r="A1200" t="s">
        <v>1216</v>
      </c>
      <c r="B1200" t="s">
        <v>13</v>
      </c>
      <c r="C1200">
        <v>4999</v>
      </c>
      <c r="D1200">
        <v>84.98</v>
      </c>
      <c r="E1200">
        <v>15.3</v>
      </c>
      <c r="F1200">
        <f>COUNTIFS(mdr_rate_cleaned!$A$2:$A$10,B1200,mdr_rate_cleaned!$B$2:$B$10,"&lt;"&amp;C1200,mdr_rate_cleaned!$F$2:$F$10,"&gt;="&amp;C1200)</f>
        <v>1</v>
      </c>
      <c r="G1200">
        <v>1.7000000000000001E-2</v>
      </c>
      <c r="H1200">
        <v>84.98</v>
      </c>
      <c r="I1200" t="s">
        <v>15</v>
      </c>
      <c r="J1200" t="s">
        <v>15</v>
      </c>
      <c r="K1200">
        <v>15.3</v>
      </c>
      <c r="L1200">
        <v>0</v>
      </c>
    </row>
    <row r="1201" spans="1:12" x14ac:dyDescent="0.3">
      <c r="A1201" t="s">
        <v>1217</v>
      </c>
      <c r="B1201" t="s">
        <v>21</v>
      </c>
      <c r="C1201">
        <v>349</v>
      </c>
      <c r="D1201">
        <v>0</v>
      </c>
      <c r="E1201">
        <v>0</v>
      </c>
      <c r="F1201">
        <f>COUNTIFS(mdr_rate_cleaned!$A$2:$A$10,B1201,mdr_rate_cleaned!$B$2:$B$10,"&lt;"&amp;C1201,mdr_rate_cleaned!$F$2:$F$10,"&gt;="&amp;C1201)</f>
        <v>1</v>
      </c>
      <c r="G1201">
        <v>0</v>
      </c>
      <c r="H1201">
        <v>0</v>
      </c>
      <c r="I1201" t="s">
        <v>15</v>
      </c>
      <c r="J1201" t="s">
        <v>15</v>
      </c>
      <c r="K1201">
        <v>0</v>
      </c>
      <c r="L1201">
        <v>0</v>
      </c>
    </row>
    <row r="1202" spans="1:12" x14ac:dyDescent="0.3">
      <c r="A1202" t="s">
        <v>1218</v>
      </c>
      <c r="B1202" t="s">
        <v>21</v>
      </c>
      <c r="C1202">
        <v>2999</v>
      </c>
      <c r="D1202">
        <v>9</v>
      </c>
      <c r="E1202">
        <v>1.62</v>
      </c>
      <c r="F1202">
        <f>COUNTIFS(mdr_rate_cleaned!$A$2:$A$10,B1202,mdr_rate_cleaned!$B$2:$B$10,"&lt;"&amp;C1202,mdr_rate_cleaned!$F$2:$F$10,"&gt;="&amp;C1202)</f>
        <v>1</v>
      </c>
      <c r="G1202">
        <v>3.0000000000000001E-3</v>
      </c>
      <c r="H1202">
        <v>9</v>
      </c>
      <c r="I1202" t="s">
        <v>15</v>
      </c>
      <c r="J1202" t="s">
        <v>15</v>
      </c>
      <c r="K1202">
        <v>1.62</v>
      </c>
      <c r="L1202">
        <v>0</v>
      </c>
    </row>
    <row r="1203" spans="1:12" x14ac:dyDescent="0.3">
      <c r="A1203" t="s">
        <v>1219</v>
      </c>
      <c r="B1203" t="s">
        <v>39</v>
      </c>
      <c r="C1203">
        <v>11797</v>
      </c>
      <c r="D1203">
        <v>106.17</v>
      </c>
      <c r="E1203">
        <v>19.11</v>
      </c>
      <c r="F1203">
        <f>COUNTIFS(mdr_rate_cleaned!$A$2:$A$10,B1203,mdr_rate_cleaned!$B$2:$B$10,"&lt;"&amp;C1203,mdr_rate_cleaned!$F$2:$F$10,"&gt;="&amp;C1203)</f>
        <v>1</v>
      </c>
      <c r="G1203">
        <v>8.9999999999999993E-3</v>
      </c>
      <c r="H1203">
        <v>106.17</v>
      </c>
      <c r="I1203" t="s">
        <v>15</v>
      </c>
      <c r="J1203" t="s">
        <v>15</v>
      </c>
      <c r="K1203">
        <v>19.11</v>
      </c>
      <c r="L1203">
        <v>0</v>
      </c>
    </row>
    <row r="1204" spans="1:12" x14ac:dyDescent="0.3">
      <c r="A1204" t="s">
        <v>1220</v>
      </c>
      <c r="B1204" t="s">
        <v>13</v>
      </c>
      <c r="C1204">
        <v>3499</v>
      </c>
      <c r="D1204">
        <v>59.48</v>
      </c>
      <c r="E1204">
        <v>10.71</v>
      </c>
      <c r="F1204">
        <f>COUNTIFS(mdr_rate_cleaned!$A$2:$A$10,B1204,mdr_rate_cleaned!$B$2:$B$10,"&lt;"&amp;C1204,mdr_rate_cleaned!$F$2:$F$10,"&gt;="&amp;C1204)</f>
        <v>1</v>
      </c>
      <c r="G1204">
        <v>1.7000000000000001E-2</v>
      </c>
      <c r="H1204">
        <v>59.48</v>
      </c>
      <c r="I1204" t="s">
        <v>15</v>
      </c>
      <c r="J1204" t="s">
        <v>15</v>
      </c>
      <c r="K1204">
        <v>10.71</v>
      </c>
      <c r="L1204">
        <v>0</v>
      </c>
    </row>
    <row r="1205" spans="1:12" x14ac:dyDescent="0.3">
      <c r="A1205" t="s">
        <v>1221</v>
      </c>
      <c r="B1205" t="s">
        <v>21</v>
      </c>
      <c r="C1205">
        <v>1499</v>
      </c>
      <c r="D1205">
        <v>0</v>
      </c>
      <c r="E1205">
        <v>0</v>
      </c>
      <c r="F1205">
        <f>COUNTIFS(mdr_rate_cleaned!$A$2:$A$10,B1205,mdr_rate_cleaned!$B$2:$B$10,"&lt;"&amp;C1205,mdr_rate_cleaned!$F$2:$F$10,"&gt;="&amp;C1205)</f>
        <v>1</v>
      </c>
      <c r="G1205">
        <v>0</v>
      </c>
      <c r="H1205">
        <v>0</v>
      </c>
      <c r="I1205" t="s">
        <v>15</v>
      </c>
      <c r="J1205" t="s">
        <v>15</v>
      </c>
      <c r="K1205">
        <v>0</v>
      </c>
      <c r="L1205">
        <v>0</v>
      </c>
    </row>
    <row r="1206" spans="1:12" x14ac:dyDescent="0.3">
      <c r="A1206" t="s">
        <v>1222</v>
      </c>
      <c r="B1206" t="s">
        <v>21</v>
      </c>
      <c r="C1206">
        <v>2499</v>
      </c>
      <c r="D1206">
        <v>7.5</v>
      </c>
      <c r="E1206">
        <v>1.35</v>
      </c>
      <c r="F1206">
        <f>COUNTIFS(mdr_rate_cleaned!$A$2:$A$10,B1206,mdr_rate_cleaned!$B$2:$B$10,"&lt;"&amp;C1206,mdr_rate_cleaned!$F$2:$F$10,"&gt;="&amp;C1206)</f>
        <v>1</v>
      </c>
      <c r="G1206">
        <v>3.0000000000000001E-3</v>
      </c>
      <c r="H1206">
        <v>7.5</v>
      </c>
      <c r="I1206" t="s">
        <v>15</v>
      </c>
      <c r="J1206" t="s">
        <v>15</v>
      </c>
      <c r="K1206">
        <v>1.35</v>
      </c>
      <c r="L1206">
        <v>0</v>
      </c>
    </row>
    <row r="1207" spans="1:12" x14ac:dyDescent="0.3">
      <c r="A1207" t="s">
        <v>1223</v>
      </c>
      <c r="B1207" t="s">
        <v>21</v>
      </c>
      <c r="C1207">
        <v>4999</v>
      </c>
      <c r="D1207">
        <v>15</v>
      </c>
      <c r="E1207">
        <v>2.7</v>
      </c>
      <c r="F1207">
        <f>COUNTIFS(mdr_rate_cleaned!$A$2:$A$10,B1207,mdr_rate_cleaned!$B$2:$B$10,"&lt;"&amp;C1207,mdr_rate_cleaned!$F$2:$F$10,"&gt;="&amp;C1207)</f>
        <v>1</v>
      </c>
      <c r="G1207">
        <v>3.0000000000000001E-3</v>
      </c>
      <c r="H1207">
        <v>15</v>
      </c>
      <c r="I1207" t="s">
        <v>15</v>
      </c>
      <c r="J1207" t="s">
        <v>15</v>
      </c>
      <c r="K1207">
        <v>2.7</v>
      </c>
      <c r="L1207">
        <v>0</v>
      </c>
    </row>
    <row r="1208" spans="1:12" x14ac:dyDescent="0.3">
      <c r="A1208" t="s">
        <v>1224</v>
      </c>
      <c r="B1208" t="s">
        <v>17</v>
      </c>
      <c r="C1208">
        <v>3499</v>
      </c>
      <c r="D1208">
        <v>55.98</v>
      </c>
      <c r="E1208">
        <v>10.08</v>
      </c>
      <c r="F1208">
        <f>COUNTIFS(mdr_rate_cleaned!$A$2:$A$10,B1208,mdr_rate_cleaned!$B$2:$B$10,"&lt;"&amp;C1208,mdr_rate_cleaned!$F$2:$F$10,"&gt;="&amp;C1208)</f>
        <v>1</v>
      </c>
      <c r="G1208">
        <v>1.6E-2</v>
      </c>
      <c r="H1208">
        <v>55.98</v>
      </c>
      <c r="I1208" t="s">
        <v>15</v>
      </c>
      <c r="J1208" t="s">
        <v>15</v>
      </c>
      <c r="K1208">
        <v>10.08</v>
      </c>
      <c r="L1208">
        <v>0</v>
      </c>
    </row>
    <row r="1209" spans="1:12" x14ac:dyDescent="0.3">
      <c r="A1209" t="s">
        <v>1225</v>
      </c>
      <c r="B1209" t="s">
        <v>21</v>
      </c>
      <c r="C1209">
        <v>1798</v>
      </c>
      <c r="D1209">
        <v>0</v>
      </c>
      <c r="E1209">
        <v>0</v>
      </c>
      <c r="F1209">
        <f>COUNTIFS(mdr_rate_cleaned!$A$2:$A$10,B1209,mdr_rate_cleaned!$B$2:$B$10,"&lt;"&amp;C1209,mdr_rate_cleaned!$F$2:$F$10,"&gt;="&amp;C1209)</f>
        <v>1</v>
      </c>
      <c r="G1209">
        <v>0</v>
      </c>
      <c r="H1209">
        <v>0</v>
      </c>
      <c r="I1209" t="s">
        <v>15</v>
      </c>
      <c r="J1209" t="s">
        <v>15</v>
      </c>
      <c r="K1209">
        <v>0</v>
      </c>
      <c r="L1209">
        <v>0</v>
      </c>
    </row>
    <row r="1210" spans="1:12" x14ac:dyDescent="0.3">
      <c r="A1210" t="s">
        <v>1226</v>
      </c>
      <c r="B1210" t="s">
        <v>17</v>
      </c>
      <c r="C1210">
        <v>11497</v>
      </c>
      <c r="D1210">
        <v>183.95</v>
      </c>
      <c r="E1210">
        <v>33.11</v>
      </c>
      <c r="F1210">
        <f>COUNTIFS(mdr_rate_cleaned!$A$2:$A$10,B1210,mdr_rate_cleaned!$B$2:$B$10,"&lt;"&amp;C1210,mdr_rate_cleaned!$F$2:$F$10,"&gt;="&amp;C1210)</f>
        <v>1</v>
      </c>
      <c r="G1210">
        <v>1.6E-2</v>
      </c>
      <c r="H1210">
        <v>183.95</v>
      </c>
      <c r="I1210" t="s">
        <v>15</v>
      </c>
      <c r="J1210" t="s">
        <v>15</v>
      </c>
      <c r="K1210">
        <v>33.11</v>
      </c>
      <c r="L1210">
        <v>0</v>
      </c>
    </row>
    <row r="1211" spans="1:12" x14ac:dyDescent="0.3">
      <c r="A1211" t="s">
        <v>1227</v>
      </c>
      <c r="B1211" t="s">
        <v>13</v>
      </c>
      <c r="C1211">
        <v>6597</v>
      </c>
      <c r="D1211">
        <v>112.15</v>
      </c>
      <c r="E1211">
        <v>20.190000000000001</v>
      </c>
      <c r="F1211">
        <f>COUNTIFS(mdr_rate_cleaned!$A$2:$A$10,B1211,mdr_rate_cleaned!$B$2:$B$10,"&lt;"&amp;C1211,mdr_rate_cleaned!$F$2:$F$10,"&gt;="&amp;C1211)</f>
        <v>1</v>
      </c>
      <c r="G1211">
        <v>1.7000000000000001E-2</v>
      </c>
      <c r="H1211">
        <v>112.15</v>
      </c>
      <c r="I1211" t="s">
        <v>15</v>
      </c>
      <c r="J1211" t="s">
        <v>15</v>
      </c>
      <c r="K1211">
        <v>20.190000000000001</v>
      </c>
      <c r="L1211">
        <v>0</v>
      </c>
    </row>
    <row r="1212" spans="1:12" x14ac:dyDescent="0.3">
      <c r="A1212" t="s">
        <v>1228</v>
      </c>
      <c r="B1212" t="s">
        <v>21</v>
      </c>
      <c r="C1212">
        <v>5298</v>
      </c>
      <c r="D1212">
        <v>15.89</v>
      </c>
      <c r="E1212">
        <v>2.86</v>
      </c>
      <c r="F1212">
        <f>COUNTIFS(mdr_rate_cleaned!$A$2:$A$10,B1212,mdr_rate_cleaned!$B$2:$B$10,"&lt;"&amp;C1212,mdr_rate_cleaned!$F$2:$F$10,"&gt;="&amp;C1212)</f>
        <v>1</v>
      </c>
      <c r="G1212">
        <v>3.0000000000000001E-3</v>
      </c>
      <c r="H1212">
        <v>15.89</v>
      </c>
      <c r="I1212" t="s">
        <v>15</v>
      </c>
      <c r="J1212" t="s">
        <v>15</v>
      </c>
      <c r="K1212">
        <v>2.86</v>
      </c>
      <c r="L1212">
        <v>0</v>
      </c>
    </row>
    <row r="1213" spans="1:12" x14ac:dyDescent="0.3">
      <c r="A1213" t="s">
        <v>1229</v>
      </c>
      <c r="B1213" t="s">
        <v>21</v>
      </c>
      <c r="C1213">
        <v>599</v>
      </c>
      <c r="D1213">
        <v>0</v>
      </c>
      <c r="E1213">
        <v>0</v>
      </c>
      <c r="F1213">
        <f>COUNTIFS(mdr_rate_cleaned!$A$2:$A$10,B1213,mdr_rate_cleaned!$B$2:$B$10,"&lt;"&amp;C1213,mdr_rate_cleaned!$F$2:$F$10,"&gt;="&amp;C1213)</f>
        <v>1</v>
      </c>
      <c r="G1213">
        <v>0</v>
      </c>
      <c r="H1213">
        <v>0</v>
      </c>
      <c r="I1213" t="s">
        <v>15</v>
      </c>
      <c r="J1213" t="s">
        <v>15</v>
      </c>
      <c r="K1213">
        <v>0</v>
      </c>
      <c r="L1213">
        <v>0</v>
      </c>
    </row>
    <row r="1214" spans="1:12" x14ac:dyDescent="0.3">
      <c r="A1214" t="s">
        <v>1230</v>
      </c>
      <c r="B1214" t="s">
        <v>21</v>
      </c>
      <c r="C1214">
        <v>1998</v>
      </c>
      <c r="D1214">
        <v>0</v>
      </c>
      <c r="E1214">
        <v>0</v>
      </c>
      <c r="F1214">
        <f>COUNTIFS(mdr_rate_cleaned!$A$2:$A$10,B1214,mdr_rate_cleaned!$B$2:$B$10,"&lt;"&amp;C1214,mdr_rate_cleaned!$F$2:$F$10,"&gt;="&amp;C1214)</f>
        <v>1</v>
      </c>
      <c r="G1214">
        <v>0</v>
      </c>
      <c r="H1214">
        <v>0</v>
      </c>
      <c r="I1214" t="s">
        <v>15</v>
      </c>
      <c r="J1214" t="s">
        <v>15</v>
      </c>
      <c r="K1214">
        <v>0</v>
      </c>
      <c r="L1214">
        <v>0</v>
      </c>
    </row>
    <row r="1215" spans="1:12" x14ac:dyDescent="0.3">
      <c r="A1215" t="s">
        <v>1231</v>
      </c>
      <c r="B1215" t="s">
        <v>17</v>
      </c>
      <c r="C1215">
        <v>5798</v>
      </c>
      <c r="D1215">
        <v>92.77</v>
      </c>
      <c r="E1215">
        <v>16.7</v>
      </c>
      <c r="F1215">
        <f>COUNTIFS(mdr_rate_cleaned!$A$2:$A$10,B1215,mdr_rate_cleaned!$B$2:$B$10,"&lt;"&amp;C1215,mdr_rate_cleaned!$F$2:$F$10,"&gt;="&amp;C1215)</f>
        <v>1</v>
      </c>
      <c r="G1215">
        <v>1.6E-2</v>
      </c>
      <c r="H1215">
        <v>92.77</v>
      </c>
      <c r="I1215" t="s">
        <v>15</v>
      </c>
      <c r="J1215" t="s">
        <v>15</v>
      </c>
      <c r="K1215">
        <v>16.7</v>
      </c>
      <c r="L1215">
        <v>0</v>
      </c>
    </row>
    <row r="1216" spans="1:12" x14ac:dyDescent="0.3">
      <c r="A1216" t="s">
        <v>1232</v>
      </c>
      <c r="B1216" t="s">
        <v>21</v>
      </c>
      <c r="C1216">
        <v>6097</v>
      </c>
      <c r="D1216">
        <v>18.29</v>
      </c>
      <c r="E1216">
        <v>3.29</v>
      </c>
      <c r="F1216">
        <f>COUNTIFS(mdr_rate_cleaned!$A$2:$A$10,B1216,mdr_rate_cleaned!$B$2:$B$10,"&lt;"&amp;C1216,mdr_rate_cleaned!$F$2:$F$10,"&gt;="&amp;C1216)</f>
        <v>1</v>
      </c>
      <c r="G1216">
        <v>3.0000000000000001E-3</v>
      </c>
      <c r="H1216">
        <v>18.29</v>
      </c>
      <c r="I1216" t="s">
        <v>15</v>
      </c>
      <c r="J1216" t="s">
        <v>15</v>
      </c>
      <c r="K1216">
        <v>3.29</v>
      </c>
      <c r="L1216">
        <v>0</v>
      </c>
    </row>
    <row r="1217" spans="1:12" x14ac:dyDescent="0.3">
      <c r="A1217" t="s">
        <v>1233</v>
      </c>
      <c r="B1217" t="s">
        <v>21</v>
      </c>
      <c r="C1217">
        <v>3499</v>
      </c>
      <c r="D1217">
        <v>10.5</v>
      </c>
      <c r="E1217">
        <v>1.89</v>
      </c>
      <c r="F1217">
        <f>COUNTIFS(mdr_rate_cleaned!$A$2:$A$10,B1217,mdr_rate_cleaned!$B$2:$B$10,"&lt;"&amp;C1217,mdr_rate_cleaned!$F$2:$F$10,"&gt;="&amp;C1217)</f>
        <v>1</v>
      </c>
      <c r="G1217">
        <v>3.0000000000000001E-3</v>
      </c>
      <c r="H1217">
        <v>10.5</v>
      </c>
      <c r="I1217" t="s">
        <v>15</v>
      </c>
      <c r="J1217" t="s">
        <v>15</v>
      </c>
      <c r="K1217">
        <v>1.89</v>
      </c>
      <c r="L1217">
        <v>0</v>
      </c>
    </row>
    <row r="1218" spans="1:12" x14ac:dyDescent="0.3">
      <c r="A1218" t="s">
        <v>1234</v>
      </c>
      <c r="B1218" t="s">
        <v>21</v>
      </c>
      <c r="C1218">
        <v>499</v>
      </c>
      <c r="D1218">
        <v>0</v>
      </c>
      <c r="E1218">
        <v>0</v>
      </c>
      <c r="F1218">
        <f>COUNTIFS(mdr_rate_cleaned!$A$2:$A$10,B1218,mdr_rate_cleaned!$B$2:$B$10,"&lt;"&amp;C1218,mdr_rate_cleaned!$F$2:$F$10,"&gt;="&amp;C1218)</f>
        <v>1</v>
      </c>
      <c r="G1218">
        <v>0</v>
      </c>
      <c r="H1218">
        <v>0</v>
      </c>
      <c r="I1218" t="s">
        <v>15</v>
      </c>
      <c r="J1218" t="s">
        <v>15</v>
      </c>
      <c r="K1218">
        <v>0</v>
      </c>
      <c r="L1218">
        <v>0</v>
      </c>
    </row>
    <row r="1219" spans="1:12" x14ac:dyDescent="0.3">
      <c r="A1219" t="s">
        <v>1235</v>
      </c>
      <c r="B1219" t="s">
        <v>21</v>
      </c>
      <c r="C1219">
        <v>1799</v>
      </c>
      <c r="D1219">
        <v>0</v>
      </c>
      <c r="E1219">
        <v>0</v>
      </c>
      <c r="F1219">
        <f>COUNTIFS(mdr_rate_cleaned!$A$2:$A$10,B1219,mdr_rate_cleaned!$B$2:$B$10,"&lt;"&amp;C1219,mdr_rate_cleaned!$F$2:$F$10,"&gt;="&amp;C1219)</f>
        <v>1</v>
      </c>
      <c r="G1219">
        <v>0</v>
      </c>
      <c r="H1219">
        <v>0</v>
      </c>
      <c r="I1219" t="s">
        <v>15</v>
      </c>
      <c r="J1219" t="s">
        <v>15</v>
      </c>
      <c r="K1219">
        <v>0</v>
      </c>
      <c r="L1219">
        <v>0</v>
      </c>
    </row>
    <row r="1220" spans="1:12" x14ac:dyDescent="0.3">
      <c r="A1220" t="s">
        <v>1236</v>
      </c>
      <c r="B1220" t="s">
        <v>39</v>
      </c>
      <c r="C1220">
        <v>3798</v>
      </c>
      <c r="D1220">
        <v>45.58</v>
      </c>
      <c r="E1220">
        <v>8.1999999999999993</v>
      </c>
      <c r="F1220">
        <f>COUNTIFS(mdr_rate_cleaned!$A$2:$A$10,B1220,mdr_rate_cleaned!$B$2:$B$10,"&lt;"&amp;C1220,mdr_rate_cleaned!$F$2:$F$10,"&gt;="&amp;C1220)</f>
        <v>1</v>
      </c>
      <c r="G1220">
        <v>1.2E-2</v>
      </c>
      <c r="H1220">
        <v>45.58</v>
      </c>
      <c r="I1220" t="s">
        <v>15</v>
      </c>
      <c r="J1220" t="s">
        <v>15</v>
      </c>
      <c r="K1220">
        <v>8.1999999999999993</v>
      </c>
      <c r="L1220">
        <v>0</v>
      </c>
    </row>
    <row r="1221" spans="1:12" x14ac:dyDescent="0.3">
      <c r="A1221" t="s">
        <v>1237</v>
      </c>
      <c r="B1221" t="s">
        <v>21</v>
      </c>
      <c r="C1221">
        <v>4999</v>
      </c>
      <c r="D1221">
        <v>15</v>
      </c>
      <c r="E1221">
        <v>2.7</v>
      </c>
      <c r="F1221">
        <f>COUNTIFS(mdr_rate_cleaned!$A$2:$A$10,B1221,mdr_rate_cleaned!$B$2:$B$10,"&lt;"&amp;C1221,mdr_rate_cleaned!$F$2:$F$10,"&gt;="&amp;C1221)</f>
        <v>1</v>
      </c>
      <c r="G1221">
        <v>3.0000000000000001E-3</v>
      </c>
      <c r="H1221">
        <v>15</v>
      </c>
      <c r="I1221" t="s">
        <v>15</v>
      </c>
      <c r="J1221" t="s">
        <v>15</v>
      </c>
      <c r="K1221">
        <v>2.7</v>
      </c>
      <c r="L1221">
        <v>0</v>
      </c>
    </row>
    <row r="1222" spans="1:12" x14ac:dyDescent="0.3">
      <c r="A1222" t="s">
        <v>1238</v>
      </c>
      <c r="B1222" t="s">
        <v>21</v>
      </c>
      <c r="C1222">
        <v>3098</v>
      </c>
      <c r="D1222">
        <v>9.2899999999999991</v>
      </c>
      <c r="E1222">
        <v>1.67</v>
      </c>
      <c r="F1222">
        <f>COUNTIFS(mdr_rate_cleaned!$A$2:$A$10,B1222,mdr_rate_cleaned!$B$2:$B$10,"&lt;"&amp;C1222,mdr_rate_cleaned!$F$2:$F$10,"&gt;="&amp;C1222)</f>
        <v>1</v>
      </c>
      <c r="G1222">
        <v>3.0000000000000001E-3</v>
      </c>
      <c r="H1222">
        <v>9.2899999999999991</v>
      </c>
      <c r="I1222" t="s">
        <v>15</v>
      </c>
      <c r="J1222" t="s">
        <v>15</v>
      </c>
      <c r="K1222">
        <v>1.67</v>
      </c>
      <c r="L1222">
        <v>0</v>
      </c>
    </row>
    <row r="1223" spans="1:12" x14ac:dyDescent="0.3">
      <c r="A1223" t="s">
        <v>1239</v>
      </c>
      <c r="B1223" t="s">
        <v>13</v>
      </c>
      <c r="C1223">
        <v>7998</v>
      </c>
      <c r="D1223">
        <v>135.97</v>
      </c>
      <c r="E1223">
        <v>24.47</v>
      </c>
      <c r="F1223">
        <f>COUNTIFS(mdr_rate_cleaned!$A$2:$A$10,B1223,mdr_rate_cleaned!$B$2:$B$10,"&lt;"&amp;C1223,mdr_rate_cleaned!$F$2:$F$10,"&gt;="&amp;C1223)</f>
        <v>1</v>
      </c>
      <c r="G1223">
        <v>1.7000000000000001E-2</v>
      </c>
      <c r="H1223">
        <v>135.97</v>
      </c>
      <c r="I1223" t="s">
        <v>15</v>
      </c>
      <c r="J1223" t="s">
        <v>15</v>
      </c>
      <c r="K1223">
        <v>24.47</v>
      </c>
      <c r="L1223">
        <v>0</v>
      </c>
    </row>
    <row r="1224" spans="1:12" x14ac:dyDescent="0.3">
      <c r="A1224" t="s">
        <v>1240</v>
      </c>
      <c r="B1224" t="s">
        <v>21</v>
      </c>
      <c r="C1224">
        <v>1499</v>
      </c>
      <c r="D1224">
        <v>0</v>
      </c>
      <c r="E1224">
        <v>0</v>
      </c>
      <c r="F1224">
        <f>COUNTIFS(mdr_rate_cleaned!$A$2:$A$10,B1224,mdr_rate_cleaned!$B$2:$B$10,"&lt;"&amp;C1224,mdr_rate_cleaned!$F$2:$F$10,"&gt;="&amp;C1224)</f>
        <v>1</v>
      </c>
      <c r="G1224">
        <v>0</v>
      </c>
      <c r="H1224">
        <v>0</v>
      </c>
      <c r="I1224" t="s">
        <v>15</v>
      </c>
      <c r="J1224" t="s">
        <v>15</v>
      </c>
      <c r="K1224">
        <v>0</v>
      </c>
      <c r="L1224">
        <v>0</v>
      </c>
    </row>
    <row r="1225" spans="1:12" x14ac:dyDescent="0.3">
      <c r="A1225" t="s">
        <v>1241</v>
      </c>
      <c r="B1225" t="s">
        <v>17</v>
      </c>
      <c r="C1225">
        <v>5597</v>
      </c>
      <c r="D1225">
        <v>89.55</v>
      </c>
      <c r="E1225">
        <v>16.12</v>
      </c>
      <c r="F1225">
        <f>COUNTIFS(mdr_rate_cleaned!$A$2:$A$10,B1225,mdr_rate_cleaned!$B$2:$B$10,"&lt;"&amp;C1225,mdr_rate_cleaned!$F$2:$F$10,"&gt;="&amp;C1225)</f>
        <v>1</v>
      </c>
      <c r="G1225">
        <v>1.6E-2</v>
      </c>
      <c r="H1225">
        <v>89.55</v>
      </c>
      <c r="I1225" t="s">
        <v>15</v>
      </c>
      <c r="J1225" t="s">
        <v>15</v>
      </c>
      <c r="K1225">
        <v>16.12</v>
      </c>
      <c r="L1225">
        <v>0</v>
      </c>
    </row>
    <row r="1226" spans="1:12" x14ac:dyDescent="0.3">
      <c r="A1226" t="s">
        <v>1242</v>
      </c>
      <c r="B1226" t="s">
        <v>13</v>
      </c>
      <c r="C1226">
        <v>1648</v>
      </c>
      <c r="D1226">
        <v>31.31</v>
      </c>
      <c r="E1226">
        <v>5.64</v>
      </c>
      <c r="F1226">
        <f>COUNTIFS(mdr_rate_cleaned!$A$2:$A$10,B1226,mdr_rate_cleaned!$B$2:$B$10,"&lt;"&amp;C1226,mdr_rate_cleaned!$F$2:$F$10,"&gt;="&amp;C1226)</f>
        <v>1</v>
      </c>
      <c r="G1226">
        <v>1.9E-2</v>
      </c>
      <c r="H1226">
        <v>31.31</v>
      </c>
      <c r="I1226" t="s">
        <v>15</v>
      </c>
      <c r="J1226" t="s">
        <v>15</v>
      </c>
      <c r="K1226">
        <v>5.64</v>
      </c>
      <c r="L1226">
        <v>0</v>
      </c>
    </row>
    <row r="1227" spans="1:12" x14ac:dyDescent="0.3">
      <c r="A1227" t="s">
        <v>1243</v>
      </c>
      <c r="B1227" t="s">
        <v>21</v>
      </c>
      <c r="C1227">
        <v>349</v>
      </c>
      <c r="D1227">
        <v>0</v>
      </c>
      <c r="E1227">
        <v>0</v>
      </c>
      <c r="F1227">
        <f>COUNTIFS(mdr_rate_cleaned!$A$2:$A$10,B1227,mdr_rate_cleaned!$B$2:$B$10,"&lt;"&amp;C1227,mdr_rate_cleaned!$F$2:$F$10,"&gt;="&amp;C1227)</f>
        <v>1</v>
      </c>
      <c r="G1227">
        <v>0</v>
      </c>
      <c r="H1227">
        <v>0</v>
      </c>
      <c r="I1227" t="s">
        <v>15</v>
      </c>
      <c r="J1227" t="s">
        <v>15</v>
      </c>
      <c r="K1227">
        <v>0</v>
      </c>
      <c r="L1227">
        <v>0</v>
      </c>
    </row>
    <row r="1228" spans="1:12" x14ac:dyDescent="0.3">
      <c r="A1228" t="s">
        <v>1244</v>
      </c>
      <c r="B1228" t="s">
        <v>17</v>
      </c>
      <c r="C1228">
        <v>7999</v>
      </c>
      <c r="D1228">
        <v>127.98</v>
      </c>
      <c r="E1228">
        <v>23.04</v>
      </c>
      <c r="F1228">
        <f>COUNTIFS(mdr_rate_cleaned!$A$2:$A$10,B1228,mdr_rate_cleaned!$B$2:$B$10,"&lt;"&amp;C1228,mdr_rate_cleaned!$F$2:$F$10,"&gt;="&amp;C1228)</f>
        <v>1</v>
      </c>
      <c r="G1228">
        <v>1.6E-2</v>
      </c>
      <c r="H1228">
        <v>127.98</v>
      </c>
      <c r="I1228" t="s">
        <v>15</v>
      </c>
      <c r="J1228" t="s">
        <v>15</v>
      </c>
      <c r="K1228">
        <v>23.04</v>
      </c>
      <c r="L1228">
        <v>0</v>
      </c>
    </row>
    <row r="1229" spans="1:12" x14ac:dyDescent="0.3">
      <c r="A1229" t="s">
        <v>1245</v>
      </c>
      <c r="B1229" t="s">
        <v>17</v>
      </c>
      <c r="C1229">
        <v>499</v>
      </c>
      <c r="D1229">
        <v>8.98</v>
      </c>
      <c r="E1229">
        <v>1.62</v>
      </c>
      <c r="F1229">
        <f>COUNTIFS(mdr_rate_cleaned!$A$2:$A$10,B1229,mdr_rate_cleaned!$B$2:$B$10,"&lt;"&amp;C1229,mdr_rate_cleaned!$F$2:$F$10,"&gt;="&amp;C1229)</f>
        <v>1</v>
      </c>
      <c r="G1229">
        <v>1.7999999999999999E-2</v>
      </c>
      <c r="H1229">
        <v>8.98</v>
      </c>
      <c r="I1229" t="s">
        <v>15</v>
      </c>
      <c r="J1229" t="s">
        <v>15</v>
      </c>
      <c r="K1229">
        <v>1.62</v>
      </c>
      <c r="L1229">
        <v>0</v>
      </c>
    </row>
    <row r="1230" spans="1:12" x14ac:dyDescent="0.3">
      <c r="A1230" t="s">
        <v>1246</v>
      </c>
      <c r="B1230" t="s">
        <v>21</v>
      </c>
      <c r="C1230">
        <v>599</v>
      </c>
      <c r="D1230">
        <v>0</v>
      </c>
      <c r="E1230">
        <v>0</v>
      </c>
      <c r="F1230">
        <f>COUNTIFS(mdr_rate_cleaned!$A$2:$A$10,B1230,mdr_rate_cleaned!$B$2:$B$10,"&lt;"&amp;C1230,mdr_rate_cleaned!$F$2:$F$10,"&gt;="&amp;C1230)</f>
        <v>1</v>
      </c>
      <c r="G1230">
        <v>0</v>
      </c>
      <c r="H1230">
        <v>0</v>
      </c>
      <c r="I1230" t="s">
        <v>15</v>
      </c>
      <c r="J1230" t="s">
        <v>15</v>
      </c>
      <c r="K1230">
        <v>0</v>
      </c>
      <c r="L1230">
        <v>0</v>
      </c>
    </row>
    <row r="1231" spans="1:12" x14ac:dyDescent="0.3">
      <c r="A1231" t="s">
        <v>1247</v>
      </c>
      <c r="B1231" t="s">
        <v>13</v>
      </c>
      <c r="C1231">
        <v>6597</v>
      </c>
      <c r="D1231">
        <v>112.15</v>
      </c>
      <c r="E1231">
        <v>20.190000000000001</v>
      </c>
      <c r="F1231">
        <f>COUNTIFS(mdr_rate_cleaned!$A$2:$A$10,B1231,mdr_rate_cleaned!$B$2:$B$10,"&lt;"&amp;C1231,mdr_rate_cleaned!$F$2:$F$10,"&gt;="&amp;C1231)</f>
        <v>1</v>
      </c>
      <c r="G1231">
        <v>1.7000000000000001E-2</v>
      </c>
      <c r="H1231">
        <v>112.15</v>
      </c>
      <c r="I1231" t="s">
        <v>15</v>
      </c>
      <c r="J1231" t="s">
        <v>15</v>
      </c>
      <c r="K1231">
        <v>20.190000000000001</v>
      </c>
      <c r="L1231">
        <v>0</v>
      </c>
    </row>
    <row r="1232" spans="1:12" x14ac:dyDescent="0.3">
      <c r="A1232" t="s">
        <v>1248</v>
      </c>
      <c r="B1232" t="s">
        <v>21</v>
      </c>
      <c r="C1232">
        <v>1799</v>
      </c>
      <c r="D1232">
        <v>0</v>
      </c>
      <c r="E1232">
        <v>0</v>
      </c>
      <c r="F1232">
        <f>COUNTIFS(mdr_rate_cleaned!$A$2:$A$10,B1232,mdr_rate_cleaned!$B$2:$B$10,"&lt;"&amp;C1232,mdr_rate_cleaned!$F$2:$F$10,"&gt;="&amp;C1232)</f>
        <v>1</v>
      </c>
      <c r="G1232">
        <v>0</v>
      </c>
      <c r="H1232">
        <v>0</v>
      </c>
      <c r="I1232" t="s">
        <v>15</v>
      </c>
      <c r="J1232" t="s">
        <v>15</v>
      </c>
      <c r="K1232">
        <v>0</v>
      </c>
      <c r="L1232">
        <v>0</v>
      </c>
    </row>
    <row r="1233" spans="1:12" x14ac:dyDescent="0.3">
      <c r="A1233" t="s">
        <v>1249</v>
      </c>
      <c r="B1233" t="s">
        <v>13</v>
      </c>
      <c r="C1233">
        <v>349</v>
      </c>
      <c r="D1233">
        <v>6.63</v>
      </c>
      <c r="E1233">
        <v>1.19</v>
      </c>
      <c r="F1233">
        <f>COUNTIFS(mdr_rate_cleaned!$A$2:$A$10,B1233,mdr_rate_cleaned!$B$2:$B$10,"&lt;"&amp;C1233,mdr_rate_cleaned!$F$2:$F$10,"&gt;="&amp;C1233)</f>
        <v>1</v>
      </c>
      <c r="G1233">
        <v>1.9E-2</v>
      </c>
      <c r="H1233">
        <v>6.63</v>
      </c>
      <c r="I1233" t="s">
        <v>15</v>
      </c>
      <c r="J1233" t="s">
        <v>15</v>
      </c>
      <c r="K1233">
        <v>1.19</v>
      </c>
      <c r="L1233">
        <v>0</v>
      </c>
    </row>
    <row r="1234" spans="1:12" x14ac:dyDescent="0.3">
      <c r="A1234" t="s">
        <v>1250</v>
      </c>
      <c r="B1234" t="s">
        <v>21</v>
      </c>
      <c r="C1234">
        <v>1398</v>
      </c>
      <c r="D1234">
        <v>0</v>
      </c>
      <c r="E1234">
        <v>0</v>
      </c>
      <c r="F1234">
        <f>COUNTIFS(mdr_rate_cleaned!$A$2:$A$10,B1234,mdr_rate_cleaned!$B$2:$B$10,"&lt;"&amp;C1234,mdr_rate_cleaned!$F$2:$F$10,"&gt;="&amp;C1234)</f>
        <v>1</v>
      </c>
      <c r="G1234">
        <v>0</v>
      </c>
      <c r="H1234">
        <v>0</v>
      </c>
      <c r="I1234" t="s">
        <v>15</v>
      </c>
      <c r="J1234" t="s">
        <v>15</v>
      </c>
      <c r="K1234">
        <v>0</v>
      </c>
      <c r="L1234">
        <v>0</v>
      </c>
    </row>
    <row r="1235" spans="1:12" x14ac:dyDescent="0.3">
      <c r="A1235" t="s">
        <v>1251</v>
      </c>
      <c r="B1235" t="s">
        <v>21</v>
      </c>
      <c r="C1235">
        <v>4999</v>
      </c>
      <c r="D1235">
        <v>15</v>
      </c>
      <c r="E1235">
        <v>2.7</v>
      </c>
      <c r="F1235">
        <f>COUNTIFS(mdr_rate_cleaned!$A$2:$A$10,B1235,mdr_rate_cleaned!$B$2:$B$10,"&lt;"&amp;C1235,mdr_rate_cleaned!$F$2:$F$10,"&gt;="&amp;C1235)</f>
        <v>1</v>
      </c>
      <c r="G1235">
        <v>3.0000000000000001E-3</v>
      </c>
      <c r="H1235">
        <v>15</v>
      </c>
      <c r="I1235" t="s">
        <v>15</v>
      </c>
      <c r="J1235" t="s">
        <v>15</v>
      </c>
      <c r="K1235">
        <v>2.7</v>
      </c>
      <c r="L1235">
        <v>0</v>
      </c>
    </row>
    <row r="1236" spans="1:12" x14ac:dyDescent="0.3">
      <c r="A1236" t="s">
        <v>1252</v>
      </c>
      <c r="B1236" t="s">
        <v>21</v>
      </c>
      <c r="C1236">
        <v>8997</v>
      </c>
      <c r="D1236">
        <v>26.99</v>
      </c>
      <c r="E1236">
        <v>4.8600000000000003</v>
      </c>
      <c r="F1236">
        <f>COUNTIFS(mdr_rate_cleaned!$A$2:$A$10,B1236,mdr_rate_cleaned!$B$2:$B$10,"&lt;"&amp;C1236,mdr_rate_cleaned!$F$2:$F$10,"&gt;="&amp;C1236)</f>
        <v>1</v>
      </c>
      <c r="G1236">
        <v>3.0000000000000001E-3</v>
      </c>
      <c r="H1236">
        <v>26.99</v>
      </c>
      <c r="I1236" t="s">
        <v>15</v>
      </c>
      <c r="J1236" t="s">
        <v>15</v>
      </c>
      <c r="K1236">
        <v>4.8600000000000003</v>
      </c>
      <c r="L1236">
        <v>0</v>
      </c>
    </row>
    <row r="1237" spans="1:12" x14ac:dyDescent="0.3">
      <c r="A1237" t="s">
        <v>1253</v>
      </c>
      <c r="B1237" t="s">
        <v>17</v>
      </c>
      <c r="C1237">
        <v>1299</v>
      </c>
      <c r="D1237">
        <v>23.38</v>
      </c>
      <c r="E1237">
        <v>4.21</v>
      </c>
      <c r="F1237">
        <f>COUNTIFS(mdr_rate_cleaned!$A$2:$A$10,B1237,mdr_rate_cleaned!$B$2:$B$10,"&lt;"&amp;C1237,mdr_rate_cleaned!$F$2:$F$10,"&gt;="&amp;C1237)</f>
        <v>1</v>
      </c>
      <c r="G1237">
        <v>1.7999999999999999E-2</v>
      </c>
      <c r="H1237">
        <v>23.38</v>
      </c>
      <c r="I1237" t="s">
        <v>15</v>
      </c>
      <c r="J1237" t="s">
        <v>15</v>
      </c>
      <c r="K1237">
        <v>4.21</v>
      </c>
      <c r="L1237">
        <v>0</v>
      </c>
    </row>
    <row r="1238" spans="1:12" x14ac:dyDescent="0.3">
      <c r="A1238" t="s">
        <v>1254</v>
      </c>
      <c r="B1238" t="s">
        <v>21</v>
      </c>
      <c r="C1238">
        <v>3998</v>
      </c>
      <c r="D1238">
        <v>11.99</v>
      </c>
      <c r="E1238">
        <v>2.16</v>
      </c>
      <c r="F1238">
        <f>COUNTIFS(mdr_rate_cleaned!$A$2:$A$10,B1238,mdr_rate_cleaned!$B$2:$B$10,"&lt;"&amp;C1238,mdr_rate_cleaned!$F$2:$F$10,"&gt;="&amp;C1238)</f>
        <v>1</v>
      </c>
      <c r="G1238">
        <v>3.0000000000000001E-3</v>
      </c>
      <c r="H1238">
        <v>11.99</v>
      </c>
      <c r="I1238" t="s">
        <v>15</v>
      </c>
      <c r="J1238" t="s">
        <v>15</v>
      </c>
      <c r="K1238">
        <v>2.16</v>
      </c>
      <c r="L1238">
        <v>0</v>
      </c>
    </row>
    <row r="1239" spans="1:12" x14ac:dyDescent="0.3">
      <c r="A1239" t="s">
        <v>1255</v>
      </c>
      <c r="B1239" t="s">
        <v>17</v>
      </c>
      <c r="C1239">
        <v>4999</v>
      </c>
      <c r="D1239">
        <v>79.98</v>
      </c>
      <c r="E1239">
        <v>14.4</v>
      </c>
      <c r="F1239">
        <f>COUNTIFS(mdr_rate_cleaned!$A$2:$A$10,B1239,mdr_rate_cleaned!$B$2:$B$10,"&lt;"&amp;C1239,mdr_rate_cleaned!$F$2:$F$10,"&gt;="&amp;C1239)</f>
        <v>1</v>
      </c>
      <c r="G1239">
        <v>1.6E-2</v>
      </c>
      <c r="H1239">
        <v>79.98</v>
      </c>
      <c r="I1239" t="s">
        <v>15</v>
      </c>
      <c r="J1239" t="s">
        <v>15</v>
      </c>
      <c r="K1239">
        <v>14.4</v>
      </c>
      <c r="L1239">
        <v>0</v>
      </c>
    </row>
    <row r="1240" spans="1:12" x14ac:dyDescent="0.3">
      <c r="A1240" t="s">
        <v>1256</v>
      </c>
      <c r="B1240" t="s">
        <v>13</v>
      </c>
      <c r="C1240">
        <v>1499</v>
      </c>
      <c r="D1240">
        <v>28.48</v>
      </c>
      <c r="E1240">
        <v>5.13</v>
      </c>
      <c r="F1240">
        <f>COUNTIFS(mdr_rate_cleaned!$A$2:$A$10,B1240,mdr_rate_cleaned!$B$2:$B$10,"&lt;"&amp;C1240,mdr_rate_cleaned!$F$2:$F$10,"&gt;="&amp;C1240)</f>
        <v>1</v>
      </c>
      <c r="G1240">
        <v>1.9E-2</v>
      </c>
      <c r="H1240">
        <v>28.48</v>
      </c>
      <c r="I1240" t="s">
        <v>15</v>
      </c>
      <c r="J1240" t="s">
        <v>15</v>
      </c>
      <c r="K1240">
        <v>5.13</v>
      </c>
      <c r="L1240">
        <v>0</v>
      </c>
    </row>
    <row r="1241" spans="1:12" x14ac:dyDescent="0.3">
      <c r="A1241" t="s">
        <v>1257</v>
      </c>
      <c r="B1241" t="s">
        <v>39</v>
      </c>
      <c r="C1241">
        <v>10497</v>
      </c>
      <c r="D1241">
        <v>94.47</v>
      </c>
      <c r="E1241">
        <v>17</v>
      </c>
      <c r="F1241">
        <f>COUNTIFS(mdr_rate_cleaned!$A$2:$A$10,B1241,mdr_rate_cleaned!$B$2:$B$10,"&lt;"&amp;C1241,mdr_rate_cleaned!$F$2:$F$10,"&gt;="&amp;C1241)</f>
        <v>1</v>
      </c>
      <c r="G1241">
        <v>8.9999999999999993E-3</v>
      </c>
      <c r="H1241">
        <v>94.47</v>
      </c>
      <c r="I1241" t="s">
        <v>15</v>
      </c>
      <c r="J1241" t="s">
        <v>15</v>
      </c>
      <c r="K1241">
        <v>17</v>
      </c>
      <c r="L1241">
        <v>0</v>
      </c>
    </row>
    <row r="1242" spans="1:12" x14ac:dyDescent="0.3">
      <c r="A1242" t="s">
        <v>1258</v>
      </c>
      <c r="B1242" t="s">
        <v>17</v>
      </c>
      <c r="C1242">
        <v>1499</v>
      </c>
      <c r="D1242">
        <v>26.98</v>
      </c>
      <c r="E1242">
        <v>4.8600000000000003</v>
      </c>
      <c r="F1242">
        <f>COUNTIFS(mdr_rate_cleaned!$A$2:$A$10,B1242,mdr_rate_cleaned!$B$2:$B$10,"&lt;"&amp;C1242,mdr_rate_cleaned!$F$2:$F$10,"&gt;="&amp;C1242)</f>
        <v>1</v>
      </c>
      <c r="G1242">
        <v>1.7999999999999999E-2</v>
      </c>
      <c r="H1242">
        <v>26.98</v>
      </c>
      <c r="I1242" t="s">
        <v>15</v>
      </c>
      <c r="J1242" t="s">
        <v>15</v>
      </c>
      <c r="K1242">
        <v>4.8600000000000003</v>
      </c>
      <c r="L1242">
        <v>0</v>
      </c>
    </row>
    <row r="1243" spans="1:12" x14ac:dyDescent="0.3">
      <c r="A1243" t="s">
        <v>1259</v>
      </c>
      <c r="B1243" t="s">
        <v>17</v>
      </c>
      <c r="C1243">
        <v>7999</v>
      </c>
      <c r="D1243">
        <v>127.98</v>
      </c>
      <c r="E1243">
        <v>23.04</v>
      </c>
      <c r="F1243">
        <f>COUNTIFS(mdr_rate_cleaned!$A$2:$A$10,B1243,mdr_rate_cleaned!$B$2:$B$10,"&lt;"&amp;C1243,mdr_rate_cleaned!$F$2:$F$10,"&gt;="&amp;C1243)</f>
        <v>1</v>
      </c>
      <c r="G1243">
        <v>1.6E-2</v>
      </c>
      <c r="H1243">
        <v>127.98</v>
      </c>
      <c r="I1243" t="s">
        <v>15</v>
      </c>
      <c r="J1243" t="s">
        <v>15</v>
      </c>
      <c r="K1243">
        <v>23.04</v>
      </c>
      <c r="L1243">
        <v>0</v>
      </c>
    </row>
    <row r="1244" spans="1:12" x14ac:dyDescent="0.3">
      <c r="A1244" t="s">
        <v>1260</v>
      </c>
      <c r="B1244" t="s">
        <v>21</v>
      </c>
      <c r="C1244">
        <v>1799</v>
      </c>
      <c r="D1244">
        <v>0</v>
      </c>
      <c r="E1244">
        <v>0</v>
      </c>
      <c r="F1244">
        <f>COUNTIFS(mdr_rate_cleaned!$A$2:$A$10,B1244,mdr_rate_cleaned!$B$2:$B$10,"&lt;"&amp;C1244,mdr_rate_cleaned!$F$2:$F$10,"&gt;="&amp;C1244)</f>
        <v>1</v>
      </c>
      <c r="G1244">
        <v>0</v>
      </c>
      <c r="H1244">
        <v>0</v>
      </c>
      <c r="I1244" t="s">
        <v>15</v>
      </c>
      <c r="J1244" t="s">
        <v>15</v>
      </c>
      <c r="K1244">
        <v>0</v>
      </c>
      <c r="L1244">
        <v>0</v>
      </c>
    </row>
    <row r="1245" spans="1:12" x14ac:dyDescent="0.3">
      <c r="A1245" t="s">
        <v>1261</v>
      </c>
      <c r="B1245" t="s">
        <v>39</v>
      </c>
      <c r="C1245">
        <v>3499</v>
      </c>
      <c r="D1245">
        <v>41.99</v>
      </c>
      <c r="E1245">
        <v>7.56</v>
      </c>
      <c r="F1245">
        <f>COUNTIFS(mdr_rate_cleaned!$A$2:$A$10,B1245,mdr_rate_cleaned!$B$2:$B$10,"&lt;"&amp;C1245,mdr_rate_cleaned!$F$2:$F$10,"&gt;="&amp;C1245)</f>
        <v>1</v>
      </c>
      <c r="G1245">
        <v>1.2E-2</v>
      </c>
      <c r="H1245">
        <v>41.99</v>
      </c>
      <c r="I1245" t="s">
        <v>15</v>
      </c>
      <c r="J1245" t="s">
        <v>15</v>
      </c>
      <c r="K1245">
        <v>7.56</v>
      </c>
      <c r="L1245">
        <v>0</v>
      </c>
    </row>
    <row r="1246" spans="1:12" x14ac:dyDescent="0.3">
      <c r="A1246" t="s">
        <v>1262</v>
      </c>
      <c r="B1246" t="s">
        <v>17</v>
      </c>
      <c r="C1246">
        <v>599</v>
      </c>
      <c r="D1246">
        <v>10.78</v>
      </c>
      <c r="E1246">
        <v>1.94</v>
      </c>
      <c r="F1246">
        <f>COUNTIFS(mdr_rate_cleaned!$A$2:$A$10,B1246,mdr_rate_cleaned!$B$2:$B$10,"&lt;"&amp;C1246,mdr_rate_cleaned!$F$2:$F$10,"&gt;="&amp;C1246)</f>
        <v>1</v>
      </c>
      <c r="G1246">
        <v>1.7999999999999999E-2</v>
      </c>
      <c r="H1246">
        <v>10.78</v>
      </c>
      <c r="I1246" t="s">
        <v>15</v>
      </c>
      <c r="J1246" t="s">
        <v>15</v>
      </c>
      <c r="K1246">
        <v>1.94</v>
      </c>
      <c r="L1246">
        <v>0</v>
      </c>
    </row>
    <row r="1247" spans="1:12" x14ac:dyDescent="0.3">
      <c r="A1247" t="s">
        <v>1263</v>
      </c>
      <c r="B1247" t="s">
        <v>17</v>
      </c>
      <c r="C1247">
        <v>11498</v>
      </c>
      <c r="D1247">
        <v>183.97</v>
      </c>
      <c r="E1247">
        <v>33.11</v>
      </c>
      <c r="F1247">
        <f>COUNTIFS(mdr_rate_cleaned!$A$2:$A$10,B1247,mdr_rate_cleaned!$B$2:$B$10,"&lt;"&amp;C1247,mdr_rate_cleaned!$F$2:$F$10,"&gt;="&amp;C1247)</f>
        <v>1</v>
      </c>
      <c r="G1247">
        <v>1.6E-2</v>
      </c>
      <c r="H1247">
        <v>183.97</v>
      </c>
      <c r="I1247" t="s">
        <v>15</v>
      </c>
      <c r="J1247" t="s">
        <v>15</v>
      </c>
      <c r="K1247">
        <v>33.11</v>
      </c>
      <c r="L1247">
        <v>0</v>
      </c>
    </row>
    <row r="1248" spans="1:12" x14ac:dyDescent="0.3">
      <c r="A1248" t="s">
        <v>1264</v>
      </c>
      <c r="B1248" t="s">
        <v>39</v>
      </c>
      <c r="C1248">
        <v>349</v>
      </c>
      <c r="D1248">
        <v>5.24</v>
      </c>
      <c r="E1248">
        <v>0.94</v>
      </c>
      <c r="F1248">
        <f>COUNTIFS(mdr_rate_cleaned!$A$2:$A$10,B1248,mdr_rate_cleaned!$B$2:$B$10,"&lt;"&amp;C1248,mdr_rate_cleaned!$F$2:$F$10,"&gt;="&amp;C1248)</f>
        <v>1</v>
      </c>
      <c r="G1248">
        <v>1.4999999999999999E-2</v>
      </c>
      <c r="H1248">
        <v>5.24</v>
      </c>
      <c r="I1248" t="s">
        <v>15</v>
      </c>
      <c r="J1248" t="s">
        <v>15</v>
      </c>
      <c r="K1248">
        <v>0.94</v>
      </c>
      <c r="L1248">
        <v>0</v>
      </c>
    </row>
    <row r="1249" spans="1:12" x14ac:dyDescent="0.3">
      <c r="A1249" t="s">
        <v>1265</v>
      </c>
      <c r="B1249" t="s">
        <v>21</v>
      </c>
      <c r="C1249">
        <v>10147</v>
      </c>
      <c r="D1249">
        <v>30.44</v>
      </c>
      <c r="E1249">
        <v>5.48</v>
      </c>
      <c r="F1249">
        <f>COUNTIFS(mdr_rate_cleaned!$A$2:$A$10,B1249,mdr_rate_cleaned!$B$2:$B$10,"&lt;"&amp;C1249,mdr_rate_cleaned!$F$2:$F$10,"&gt;="&amp;C1249)</f>
        <v>1</v>
      </c>
      <c r="G1249">
        <v>3.0000000000000001E-3</v>
      </c>
      <c r="H1249">
        <v>30.44</v>
      </c>
      <c r="I1249" t="s">
        <v>15</v>
      </c>
      <c r="J1249" t="s">
        <v>15</v>
      </c>
      <c r="K1249">
        <v>5.48</v>
      </c>
      <c r="L1249">
        <v>0</v>
      </c>
    </row>
    <row r="1250" spans="1:12" x14ac:dyDescent="0.3">
      <c r="A1250" t="s">
        <v>1266</v>
      </c>
      <c r="B1250" t="s">
        <v>21</v>
      </c>
      <c r="C1250">
        <v>349</v>
      </c>
      <c r="D1250">
        <v>0</v>
      </c>
      <c r="E1250">
        <v>0</v>
      </c>
      <c r="F1250">
        <f>COUNTIFS(mdr_rate_cleaned!$A$2:$A$10,B1250,mdr_rate_cleaned!$B$2:$B$10,"&lt;"&amp;C1250,mdr_rate_cleaned!$F$2:$F$10,"&gt;="&amp;C1250)</f>
        <v>1</v>
      </c>
      <c r="G1250">
        <v>0</v>
      </c>
      <c r="H1250">
        <v>0</v>
      </c>
      <c r="I1250" t="s">
        <v>15</v>
      </c>
      <c r="J1250" t="s">
        <v>15</v>
      </c>
      <c r="K1250">
        <v>0</v>
      </c>
      <c r="L1250">
        <v>0</v>
      </c>
    </row>
    <row r="1251" spans="1:12" x14ac:dyDescent="0.3">
      <c r="A1251" t="s">
        <v>1267</v>
      </c>
      <c r="B1251" t="s">
        <v>21</v>
      </c>
      <c r="C1251">
        <v>1799</v>
      </c>
      <c r="D1251">
        <v>0</v>
      </c>
      <c r="E1251">
        <v>0</v>
      </c>
      <c r="F1251">
        <f>COUNTIFS(mdr_rate_cleaned!$A$2:$A$10,B1251,mdr_rate_cleaned!$B$2:$B$10,"&lt;"&amp;C1251,mdr_rate_cleaned!$F$2:$F$10,"&gt;="&amp;C1251)</f>
        <v>1</v>
      </c>
      <c r="G1251">
        <v>0</v>
      </c>
      <c r="H1251">
        <v>0</v>
      </c>
      <c r="I1251" t="s">
        <v>15</v>
      </c>
      <c r="J1251" t="s">
        <v>15</v>
      </c>
      <c r="K1251">
        <v>0</v>
      </c>
      <c r="L1251">
        <v>0</v>
      </c>
    </row>
    <row r="1252" spans="1:12" x14ac:dyDescent="0.3">
      <c r="A1252" t="s">
        <v>1268</v>
      </c>
      <c r="B1252" t="s">
        <v>21</v>
      </c>
      <c r="C1252">
        <v>1799</v>
      </c>
      <c r="D1252">
        <v>0</v>
      </c>
      <c r="E1252">
        <v>0</v>
      </c>
      <c r="F1252">
        <f>COUNTIFS(mdr_rate_cleaned!$A$2:$A$10,B1252,mdr_rate_cleaned!$B$2:$B$10,"&lt;"&amp;C1252,mdr_rate_cleaned!$F$2:$F$10,"&gt;="&amp;C1252)</f>
        <v>1</v>
      </c>
      <c r="G1252">
        <v>0</v>
      </c>
      <c r="H1252">
        <v>0</v>
      </c>
      <c r="I1252" t="s">
        <v>15</v>
      </c>
      <c r="J1252" t="s">
        <v>15</v>
      </c>
      <c r="K1252">
        <v>0</v>
      </c>
      <c r="L1252">
        <v>0</v>
      </c>
    </row>
    <row r="1253" spans="1:12" x14ac:dyDescent="0.3">
      <c r="A1253" t="s">
        <v>1269</v>
      </c>
      <c r="B1253" t="s">
        <v>13</v>
      </c>
      <c r="C1253">
        <v>1799</v>
      </c>
      <c r="D1253">
        <v>34.18</v>
      </c>
      <c r="E1253">
        <v>6.15</v>
      </c>
      <c r="F1253">
        <f>COUNTIFS(mdr_rate_cleaned!$A$2:$A$10,B1253,mdr_rate_cleaned!$B$2:$B$10,"&lt;"&amp;C1253,mdr_rate_cleaned!$F$2:$F$10,"&gt;="&amp;C1253)</f>
        <v>1</v>
      </c>
      <c r="G1253">
        <v>1.9E-2</v>
      </c>
      <c r="H1253">
        <v>34.18</v>
      </c>
      <c r="I1253" t="s">
        <v>15</v>
      </c>
      <c r="J1253" t="s">
        <v>15</v>
      </c>
      <c r="K1253">
        <v>6.15</v>
      </c>
      <c r="L1253">
        <v>0</v>
      </c>
    </row>
    <row r="1254" spans="1:12" x14ac:dyDescent="0.3">
      <c r="A1254" t="s">
        <v>1270</v>
      </c>
      <c r="B1254" t="s">
        <v>17</v>
      </c>
      <c r="C1254">
        <v>3998</v>
      </c>
      <c r="D1254">
        <v>63.97</v>
      </c>
      <c r="E1254">
        <v>11.51</v>
      </c>
      <c r="F1254">
        <f>COUNTIFS(mdr_rate_cleaned!$A$2:$A$10,B1254,mdr_rate_cleaned!$B$2:$B$10,"&lt;"&amp;C1254,mdr_rate_cleaned!$F$2:$F$10,"&gt;="&amp;C1254)</f>
        <v>1</v>
      </c>
      <c r="G1254">
        <v>1.6E-2</v>
      </c>
      <c r="H1254">
        <v>63.97</v>
      </c>
      <c r="I1254" t="s">
        <v>15</v>
      </c>
      <c r="J1254" t="s">
        <v>15</v>
      </c>
      <c r="K1254">
        <v>11.51</v>
      </c>
      <c r="L1254">
        <v>0</v>
      </c>
    </row>
    <row r="1255" spans="1:12" x14ac:dyDescent="0.3">
      <c r="A1255" t="s">
        <v>1271</v>
      </c>
      <c r="B1255" t="s">
        <v>21</v>
      </c>
      <c r="C1255">
        <v>5998</v>
      </c>
      <c r="D1255">
        <v>17.989999999999998</v>
      </c>
      <c r="E1255">
        <v>3.24</v>
      </c>
      <c r="F1255">
        <f>COUNTIFS(mdr_rate_cleaned!$A$2:$A$10,B1255,mdr_rate_cleaned!$B$2:$B$10,"&lt;"&amp;C1255,mdr_rate_cleaned!$F$2:$F$10,"&gt;="&amp;C1255)</f>
        <v>1</v>
      </c>
      <c r="G1255">
        <v>3.0000000000000001E-3</v>
      </c>
      <c r="H1255">
        <v>17.989999999999998</v>
      </c>
      <c r="I1255" t="s">
        <v>15</v>
      </c>
      <c r="J1255" t="s">
        <v>15</v>
      </c>
      <c r="K1255">
        <v>3.24</v>
      </c>
      <c r="L1255">
        <v>0</v>
      </c>
    </row>
    <row r="1256" spans="1:12" x14ac:dyDescent="0.3">
      <c r="A1256" t="s">
        <v>1272</v>
      </c>
      <c r="B1256" t="s">
        <v>21</v>
      </c>
      <c r="C1256">
        <v>6498</v>
      </c>
      <c r="D1256">
        <v>19.489999999999998</v>
      </c>
      <c r="E1256">
        <v>3.51</v>
      </c>
      <c r="F1256">
        <f>COUNTIFS(mdr_rate_cleaned!$A$2:$A$10,B1256,mdr_rate_cleaned!$B$2:$B$10,"&lt;"&amp;C1256,mdr_rate_cleaned!$F$2:$F$10,"&gt;="&amp;C1256)</f>
        <v>1</v>
      </c>
      <c r="G1256">
        <v>3.0000000000000001E-3</v>
      </c>
      <c r="H1256">
        <v>19.489999999999998</v>
      </c>
      <c r="I1256" t="s">
        <v>15</v>
      </c>
      <c r="J1256" t="s">
        <v>15</v>
      </c>
      <c r="K1256">
        <v>3.51</v>
      </c>
      <c r="L1256">
        <v>0</v>
      </c>
    </row>
    <row r="1257" spans="1:12" x14ac:dyDescent="0.3">
      <c r="A1257" t="s">
        <v>1273</v>
      </c>
      <c r="B1257" t="s">
        <v>17</v>
      </c>
      <c r="C1257">
        <v>499</v>
      </c>
      <c r="D1257">
        <v>8.98</v>
      </c>
      <c r="E1257">
        <v>1.62</v>
      </c>
      <c r="F1257">
        <f>COUNTIFS(mdr_rate_cleaned!$A$2:$A$10,B1257,mdr_rate_cleaned!$B$2:$B$10,"&lt;"&amp;C1257,mdr_rate_cleaned!$F$2:$F$10,"&gt;="&amp;C1257)</f>
        <v>1</v>
      </c>
      <c r="G1257">
        <v>1.7999999999999999E-2</v>
      </c>
      <c r="H1257">
        <v>8.98</v>
      </c>
      <c r="I1257" t="s">
        <v>15</v>
      </c>
      <c r="J1257" t="s">
        <v>15</v>
      </c>
      <c r="K1257">
        <v>1.62</v>
      </c>
      <c r="L1257">
        <v>0</v>
      </c>
    </row>
    <row r="1258" spans="1:12" x14ac:dyDescent="0.3">
      <c r="A1258" t="s">
        <v>1274</v>
      </c>
      <c r="B1258" t="s">
        <v>21</v>
      </c>
      <c r="C1258">
        <v>2499</v>
      </c>
      <c r="D1258">
        <v>7.5</v>
      </c>
      <c r="E1258">
        <v>1.35</v>
      </c>
      <c r="F1258">
        <f>COUNTIFS(mdr_rate_cleaned!$A$2:$A$10,B1258,mdr_rate_cleaned!$B$2:$B$10,"&lt;"&amp;C1258,mdr_rate_cleaned!$F$2:$F$10,"&gt;="&amp;C1258)</f>
        <v>1</v>
      </c>
      <c r="G1258">
        <v>3.0000000000000001E-3</v>
      </c>
      <c r="H1258">
        <v>7.5</v>
      </c>
      <c r="I1258" t="s">
        <v>15</v>
      </c>
      <c r="J1258" t="s">
        <v>15</v>
      </c>
      <c r="K1258">
        <v>1.35</v>
      </c>
      <c r="L1258">
        <v>0</v>
      </c>
    </row>
    <row r="1259" spans="1:12" x14ac:dyDescent="0.3">
      <c r="A1259" t="s">
        <v>1275</v>
      </c>
      <c r="B1259" t="s">
        <v>21</v>
      </c>
      <c r="C1259">
        <v>9297</v>
      </c>
      <c r="D1259">
        <v>27.89</v>
      </c>
      <c r="E1259">
        <v>5.0199999999999996</v>
      </c>
      <c r="F1259">
        <f>COUNTIFS(mdr_rate_cleaned!$A$2:$A$10,B1259,mdr_rate_cleaned!$B$2:$B$10,"&lt;"&amp;C1259,mdr_rate_cleaned!$F$2:$F$10,"&gt;="&amp;C1259)</f>
        <v>1</v>
      </c>
      <c r="G1259">
        <v>3.0000000000000001E-3</v>
      </c>
      <c r="H1259">
        <v>27.89</v>
      </c>
      <c r="I1259" t="s">
        <v>15</v>
      </c>
      <c r="J1259" t="s">
        <v>15</v>
      </c>
      <c r="K1259">
        <v>5.0199999999999996</v>
      </c>
      <c r="L1259">
        <v>0</v>
      </c>
    </row>
    <row r="1260" spans="1:12" x14ac:dyDescent="0.3">
      <c r="A1260" t="s">
        <v>1276</v>
      </c>
      <c r="B1260" t="s">
        <v>39</v>
      </c>
      <c r="C1260">
        <v>1299</v>
      </c>
      <c r="D1260">
        <v>19.489999999999998</v>
      </c>
      <c r="E1260">
        <v>3.51</v>
      </c>
      <c r="F1260">
        <f>COUNTIFS(mdr_rate_cleaned!$A$2:$A$10,B1260,mdr_rate_cleaned!$B$2:$B$10,"&lt;"&amp;C1260,mdr_rate_cleaned!$F$2:$F$10,"&gt;="&amp;C1260)</f>
        <v>1</v>
      </c>
      <c r="G1260">
        <v>1.4999999999999999E-2</v>
      </c>
      <c r="H1260">
        <v>19.489999999999998</v>
      </c>
      <c r="I1260" t="s">
        <v>15</v>
      </c>
      <c r="J1260" t="s">
        <v>15</v>
      </c>
      <c r="K1260">
        <v>3.51</v>
      </c>
      <c r="L1260">
        <v>0</v>
      </c>
    </row>
    <row r="1261" spans="1:12" x14ac:dyDescent="0.3">
      <c r="A1261" t="s">
        <v>1277</v>
      </c>
      <c r="B1261" t="s">
        <v>21</v>
      </c>
      <c r="C1261">
        <v>13997</v>
      </c>
      <c r="D1261">
        <v>41.99</v>
      </c>
      <c r="E1261">
        <v>7.56</v>
      </c>
      <c r="F1261">
        <f>COUNTIFS(mdr_rate_cleaned!$A$2:$A$10,B1261,mdr_rate_cleaned!$B$2:$B$10,"&lt;"&amp;C1261,mdr_rate_cleaned!$F$2:$F$10,"&gt;="&amp;C1261)</f>
        <v>1</v>
      </c>
      <c r="G1261">
        <v>3.0000000000000001E-3</v>
      </c>
      <c r="H1261">
        <v>41.99</v>
      </c>
      <c r="I1261" t="s">
        <v>15</v>
      </c>
      <c r="J1261" t="s">
        <v>15</v>
      </c>
      <c r="K1261">
        <v>7.56</v>
      </c>
      <c r="L1261">
        <v>0</v>
      </c>
    </row>
    <row r="1262" spans="1:12" x14ac:dyDescent="0.3">
      <c r="A1262" t="s">
        <v>1278</v>
      </c>
      <c r="B1262" t="s">
        <v>21</v>
      </c>
      <c r="C1262">
        <v>999</v>
      </c>
      <c r="D1262">
        <v>0</v>
      </c>
      <c r="E1262">
        <v>0</v>
      </c>
      <c r="F1262">
        <f>COUNTIFS(mdr_rate_cleaned!$A$2:$A$10,B1262,mdr_rate_cleaned!$B$2:$B$10,"&lt;"&amp;C1262,mdr_rate_cleaned!$F$2:$F$10,"&gt;="&amp;C1262)</f>
        <v>1</v>
      </c>
      <c r="G1262">
        <v>0</v>
      </c>
      <c r="H1262">
        <v>0</v>
      </c>
      <c r="I1262" t="s">
        <v>15</v>
      </c>
      <c r="J1262" t="s">
        <v>15</v>
      </c>
      <c r="K1262">
        <v>0</v>
      </c>
      <c r="L1262">
        <v>0</v>
      </c>
    </row>
    <row r="1263" spans="1:12" x14ac:dyDescent="0.3">
      <c r="A1263" t="s">
        <v>1279</v>
      </c>
      <c r="B1263" t="s">
        <v>17</v>
      </c>
      <c r="C1263">
        <v>898</v>
      </c>
      <c r="D1263">
        <v>16.16</v>
      </c>
      <c r="E1263">
        <v>2.91</v>
      </c>
      <c r="F1263">
        <f>COUNTIFS(mdr_rate_cleaned!$A$2:$A$10,B1263,mdr_rate_cleaned!$B$2:$B$10,"&lt;"&amp;C1263,mdr_rate_cleaned!$F$2:$F$10,"&gt;="&amp;C1263)</f>
        <v>1</v>
      </c>
      <c r="G1263">
        <v>1.7999999999999999E-2</v>
      </c>
      <c r="H1263">
        <v>16.16</v>
      </c>
      <c r="I1263" t="s">
        <v>15</v>
      </c>
      <c r="J1263" t="s">
        <v>15</v>
      </c>
      <c r="K1263">
        <v>2.91</v>
      </c>
      <c r="L1263">
        <v>0</v>
      </c>
    </row>
    <row r="1264" spans="1:12" x14ac:dyDescent="0.3">
      <c r="A1264" t="s">
        <v>1280</v>
      </c>
      <c r="B1264" t="s">
        <v>21</v>
      </c>
      <c r="C1264">
        <v>2499</v>
      </c>
      <c r="D1264">
        <v>7.5</v>
      </c>
      <c r="E1264">
        <v>1.35</v>
      </c>
      <c r="F1264">
        <f>COUNTIFS(mdr_rate_cleaned!$A$2:$A$10,B1264,mdr_rate_cleaned!$B$2:$B$10,"&lt;"&amp;C1264,mdr_rate_cleaned!$F$2:$F$10,"&gt;="&amp;C1264)</f>
        <v>1</v>
      </c>
      <c r="G1264">
        <v>3.0000000000000001E-3</v>
      </c>
      <c r="H1264">
        <v>7.5</v>
      </c>
      <c r="I1264" t="s">
        <v>15</v>
      </c>
      <c r="J1264" t="s">
        <v>15</v>
      </c>
      <c r="K1264">
        <v>1.35</v>
      </c>
      <c r="L1264">
        <v>0</v>
      </c>
    </row>
    <row r="1265" spans="1:12" x14ac:dyDescent="0.3">
      <c r="A1265" t="s">
        <v>1281</v>
      </c>
      <c r="B1265" t="s">
        <v>21</v>
      </c>
      <c r="C1265">
        <v>1499</v>
      </c>
      <c r="D1265">
        <v>0</v>
      </c>
      <c r="E1265">
        <v>0</v>
      </c>
      <c r="F1265">
        <f>COUNTIFS(mdr_rate_cleaned!$A$2:$A$10,B1265,mdr_rate_cleaned!$B$2:$B$10,"&lt;"&amp;C1265,mdr_rate_cleaned!$F$2:$F$10,"&gt;="&amp;C1265)</f>
        <v>1</v>
      </c>
      <c r="G1265">
        <v>0</v>
      </c>
      <c r="H1265">
        <v>0</v>
      </c>
      <c r="I1265" t="s">
        <v>15</v>
      </c>
      <c r="J1265" t="s">
        <v>15</v>
      </c>
      <c r="K1265">
        <v>0</v>
      </c>
      <c r="L1265">
        <v>0</v>
      </c>
    </row>
    <row r="1266" spans="1:12" x14ac:dyDescent="0.3">
      <c r="A1266" t="s">
        <v>1282</v>
      </c>
      <c r="B1266" t="s">
        <v>17</v>
      </c>
      <c r="C1266">
        <v>499</v>
      </c>
      <c r="D1266">
        <v>8.98</v>
      </c>
      <c r="E1266">
        <v>1.62</v>
      </c>
      <c r="F1266">
        <f>COUNTIFS(mdr_rate_cleaned!$A$2:$A$10,B1266,mdr_rate_cleaned!$B$2:$B$10,"&lt;"&amp;C1266,mdr_rate_cleaned!$F$2:$F$10,"&gt;="&amp;C1266)</f>
        <v>1</v>
      </c>
      <c r="G1266">
        <v>1.7999999999999999E-2</v>
      </c>
      <c r="H1266">
        <v>8.98</v>
      </c>
      <c r="I1266" t="s">
        <v>15</v>
      </c>
      <c r="J1266" t="s">
        <v>15</v>
      </c>
      <c r="K1266">
        <v>1.62</v>
      </c>
      <c r="L1266">
        <v>0</v>
      </c>
    </row>
    <row r="1267" spans="1:12" x14ac:dyDescent="0.3">
      <c r="A1267" t="s">
        <v>1283</v>
      </c>
      <c r="B1267" t="s">
        <v>21</v>
      </c>
      <c r="C1267">
        <v>7999</v>
      </c>
      <c r="D1267">
        <v>24</v>
      </c>
      <c r="E1267">
        <v>4.32</v>
      </c>
      <c r="F1267">
        <f>COUNTIFS(mdr_rate_cleaned!$A$2:$A$10,B1267,mdr_rate_cleaned!$B$2:$B$10,"&lt;"&amp;C1267,mdr_rate_cleaned!$F$2:$F$10,"&gt;="&amp;C1267)</f>
        <v>1</v>
      </c>
      <c r="G1267">
        <v>3.0000000000000001E-3</v>
      </c>
      <c r="H1267">
        <v>24</v>
      </c>
      <c r="I1267" t="s">
        <v>15</v>
      </c>
      <c r="J1267" t="s">
        <v>15</v>
      </c>
      <c r="K1267">
        <v>4.32</v>
      </c>
      <c r="L1267">
        <v>0</v>
      </c>
    </row>
    <row r="1268" spans="1:12" x14ac:dyDescent="0.3">
      <c r="A1268" t="s">
        <v>1284</v>
      </c>
      <c r="B1268" t="s">
        <v>21</v>
      </c>
      <c r="C1268">
        <v>999</v>
      </c>
      <c r="D1268">
        <v>0</v>
      </c>
      <c r="E1268">
        <v>0</v>
      </c>
      <c r="F1268">
        <f>COUNTIFS(mdr_rate_cleaned!$A$2:$A$10,B1268,mdr_rate_cleaned!$B$2:$B$10,"&lt;"&amp;C1268,mdr_rate_cleaned!$F$2:$F$10,"&gt;="&amp;C1268)</f>
        <v>1</v>
      </c>
      <c r="G1268">
        <v>0</v>
      </c>
      <c r="H1268">
        <v>0</v>
      </c>
      <c r="I1268" t="s">
        <v>15</v>
      </c>
      <c r="J1268" t="s">
        <v>15</v>
      </c>
      <c r="K1268">
        <v>0</v>
      </c>
      <c r="L1268">
        <v>0</v>
      </c>
    </row>
    <row r="1269" spans="1:12" x14ac:dyDescent="0.3">
      <c r="A1269" t="s">
        <v>1285</v>
      </c>
      <c r="B1269" t="s">
        <v>21</v>
      </c>
      <c r="C1269">
        <v>499</v>
      </c>
      <c r="D1269">
        <v>0</v>
      </c>
      <c r="E1269">
        <v>0</v>
      </c>
      <c r="F1269">
        <f>COUNTIFS(mdr_rate_cleaned!$A$2:$A$10,B1269,mdr_rate_cleaned!$B$2:$B$10,"&lt;"&amp;C1269,mdr_rate_cleaned!$F$2:$F$10,"&gt;="&amp;C1269)</f>
        <v>1</v>
      </c>
      <c r="G1269">
        <v>0</v>
      </c>
      <c r="H1269">
        <v>0</v>
      </c>
      <c r="I1269" t="s">
        <v>15</v>
      </c>
      <c r="J1269" t="s">
        <v>15</v>
      </c>
      <c r="K1269">
        <v>0</v>
      </c>
      <c r="L1269">
        <v>0</v>
      </c>
    </row>
    <row r="1270" spans="1:12" x14ac:dyDescent="0.3">
      <c r="A1270" t="s">
        <v>1286</v>
      </c>
      <c r="B1270" t="s">
        <v>21</v>
      </c>
      <c r="C1270">
        <v>2499</v>
      </c>
      <c r="D1270">
        <v>7.5</v>
      </c>
      <c r="E1270">
        <v>1.35</v>
      </c>
      <c r="F1270">
        <f>COUNTIFS(mdr_rate_cleaned!$A$2:$A$10,B1270,mdr_rate_cleaned!$B$2:$B$10,"&lt;"&amp;C1270,mdr_rate_cleaned!$F$2:$F$10,"&gt;="&amp;C1270)</f>
        <v>1</v>
      </c>
      <c r="G1270">
        <v>3.0000000000000001E-3</v>
      </c>
      <c r="H1270">
        <v>7.5</v>
      </c>
      <c r="I1270" t="s">
        <v>15</v>
      </c>
      <c r="J1270" t="s">
        <v>15</v>
      </c>
      <c r="K1270">
        <v>1.35</v>
      </c>
      <c r="L1270">
        <v>0</v>
      </c>
    </row>
    <row r="1271" spans="1:12" x14ac:dyDescent="0.3">
      <c r="A1271" t="s">
        <v>1287</v>
      </c>
      <c r="B1271" t="s">
        <v>21</v>
      </c>
      <c r="C1271">
        <v>3098</v>
      </c>
      <c r="D1271">
        <v>9.2899999999999991</v>
      </c>
      <c r="E1271">
        <v>1.67</v>
      </c>
      <c r="F1271">
        <f>COUNTIFS(mdr_rate_cleaned!$A$2:$A$10,B1271,mdr_rate_cleaned!$B$2:$B$10,"&lt;"&amp;C1271,mdr_rate_cleaned!$F$2:$F$10,"&gt;="&amp;C1271)</f>
        <v>1</v>
      </c>
      <c r="G1271">
        <v>3.0000000000000001E-3</v>
      </c>
      <c r="H1271">
        <v>9.2899999999999991</v>
      </c>
      <c r="I1271" t="s">
        <v>15</v>
      </c>
      <c r="J1271" t="s">
        <v>15</v>
      </c>
      <c r="K1271">
        <v>1.67</v>
      </c>
      <c r="L1271">
        <v>0</v>
      </c>
    </row>
    <row r="1272" spans="1:12" x14ac:dyDescent="0.3">
      <c r="A1272" t="s">
        <v>1288</v>
      </c>
      <c r="B1272" t="s">
        <v>21</v>
      </c>
      <c r="C1272">
        <v>799</v>
      </c>
      <c r="D1272">
        <v>0</v>
      </c>
      <c r="E1272">
        <v>0</v>
      </c>
      <c r="F1272">
        <f>COUNTIFS(mdr_rate_cleaned!$A$2:$A$10,B1272,mdr_rate_cleaned!$B$2:$B$10,"&lt;"&amp;C1272,mdr_rate_cleaned!$F$2:$F$10,"&gt;="&amp;C1272)</f>
        <v>1</v>
      </c>
      <c r="G1272">
        <v>0</v>
      </c>
      <c r="H1272">
        <v>0</v>
      </c>
      <c r="I1272" t="s">
        <v>15</v>
      </c>
      <c r="J1272" t="s">
        <v>15</v>
      </c>
      <c r="K1272">
        <v>0</v>
      </c>
      <c r="L1272">
        <v>0</v>
      </c>
    </row>
    <row r="1273" spans="1:12" x14ac:dyDescent="0.3">
      <c r="A1273" t="s">
        <v>1289</v>
      </c>
      <c r="B1273" t="s">
        <v>21</v>
      </c>
      <c r="C1273">
        <v>2397</v>
      </c>
      <c r="D1273">
        <v>7.19</v>
      </c>
      <c r="E1273">
        <v>1.29</v>
      </c>
      <c r="F1273">
        <f>COUNTIFS(mdr_rate_cleaned!$A$2:$A$10,B1273,mdr_rate_cleaned!$B$2:$B$10,"&lt;"&amp;C1273,mdr_rate_cleaned!$F$2:$F$10,"&gt;="&amp;C1273)</f>
        <v>1</v>
      </c>
      <c r="G1273">
        <v>3.0000000000000001E-3</v>
      </c>
      <c r="H1273">
        <v>7.19</v>
      </c>
      <c r="I1273" t="s">
        <v>15</v>
      </c>
      <c r="J1273" t="s">
        <v>15</v>
      </c>
      <c r="K1273">
        <v>1.29</v>
      </c>
      <c r="L1273">
        <v>0</v>
      </c>
    </row>
    <row r="1274" spans="1:12" x14ac:dyDescent="0.3">
      <c r="A1274" t="s">
        <v>1290</v>
      </c>
      <c r="B1274" t="s">
        <v>17</v>
      </c>
      <c r="C1274">
        <v>599</v>
      </c>
      <c r="D1274">
        <v>10.78</v>
      </c>
      <c r="E1274">
        <v>1.94</v>
      </c>
      <c r="F1274">
        <f>COUNTIFS(mdr_rate_cleaned!$A$2:$A$10,B1274,mdr_rate_cleaned!$B$2:$B$10,"&lt;"&amp;C1274,mdr_rate_cleaned!$F$2:$F$10,"&gt;="&amp;C1274)</f>
        <v>1</v>
      </c>
      <c r="G1274">
        <v>1.7999999999999999E-2</v>
      </c>
      <c r="H1274">
        <v>10.78</v>
      </c>
      <c r="I1274" t="s">
        <v>15</v>
      </c>
      <c r="J1274" t="s">
        <v>15</v>
      </c>
      <c r="K1274">
        <v>1.94</v>
      </c>
      <c r="L1274">
        <v>0</v>
      </c>
    </row>
    <row r="1275" spans="1:12" x14ac:dyDescent="0.3">
      <c r="A1275" t="s">
        <v>1291</v>
      </c>
      <c r="B1275" t="s">
        <v>17</v>
      </c>
      <c r="C1275">
        <v>3998</v>
      </c>
      <c r="D1275">
        <v>63.97</v>
      </c>
      <c r="E1275">
        <v>11.51</v>
      </c>
      <c r="F1275">
        <f>COUNTIFS(mdr_rate_cleaned!$A$2:$A$10,B1275,mdr_rate_cleaned!$B$2:$B$10,"&lt;"&amp;C1275,mdr_rate_cleaned!$F$2:$F$10,"&gt;="&amp;C1275)</f>
        <v>1</v>
      </c>
      <c r="G1275">
        <v>1.6E-2</v>
      </c>
      <c r="H1275">
        <v>63.97</v>
      </c>
      <c r="I1275" t="s">
        <v>15</v>
      </c>
      <c r="J1275" t="s">
        <v>15</v>
      </c>
      <c r="K1275">
        <v>11.51</v>
      </c>
      <c r="L1275">
        <v>0</v>
      </c>
    </row>
    <row r="1276" spans="1:12" x14ac:dyDescent="0.3">
      <c r="A1276" t="s">
        <v>1292</v>
      </c>
      <c r="B1276" t="s">
        <v>13</v>
      </c>
      <c r="C1276">
        <v>3197</v>
      </c>
      <c r="D1276">
        <v>54.35</v>
      </c>
      <c r="E1276">
        <v>9.7799999999999994</v>
      </c>
      <c r="F1276">
        <f>COUNTIFS(mdr_rate_cleaned!$A$2:$A$10,B1276,mdr_rate_cleaned!$B$2:$B$10,"&lt;"&amp;C1276,mdr_rate_cleaned!$F$2:$F$10,"&gt;="&amp;C1276)</f>
        <v>1</v>
      </c>
      <c r="G1276">
        <v>1.7000000000000001E-2</v>
      </c>
      <c r="H1276">
        <v>54.35</v>
      </c>
      <c r="I1276" t="s">
        <v>15</v>
      </c>
      <c r="J1276" t="s">
        <v>15</v>
      </c>
      <c r="K1276">
        <v>9.7799999999999994</v>
      </c>
      <c r="L1276">
        <v>0</v>
      </c>
    </row>
    <row r="1277" spans="1:12" x14ac:dyDescent="0.3">
      <c r="A1277" t="s">
        <v>1293</v>
      </c>
      <c r="B1277" t="s">
        <v>17</v>
      </c>
      <c r="C1277">
        <v>10997</v>
      </c>
      <c r="D1277">
        <v>175.95</v>
      </c>
      <c r="E1277">
        <v>31.67</v>
      </c>
      <c r="F1277">
        <f>COUNTIFS(mdr_rate_cleaned!$A$2:$A$10,B1277,mdr_rate_cleaned!$B$2:$B$10,"&lt;"&amp;C1277,mdr_rate_cleaned!$F$2:$F$10,"&gt;="&amp;C1277)</f>
        <v>1</v>
      </c>
      <c r="G1277">
        <v>1.6E-2</v>
      </c>
      <c r="H1277">
        <v>175.95</v>
      </c>
      <c r="I1277" t="s">
        <v>15</v>
      </c>
      <c r="J1277" t="s">
        <v>15</v>
      </c>
      <c r="K1277">
        <v>31.67</v>
      </c>
      <c r="L1277">
        <v>0</v>
      </c>
    </row>
    <row r="1278" spans="1:12" x14ac:dyDescent="0.3">
      <c r="A1278" t="s">
        <v>1294</v>
      </c>
      <c r="B1278" t="s">
        <v>13</v>
      </c>
      <c r="C1278">
        <v>1299</v>
      </c>
      <c r="D1278">
        <v>24.68</v>
      </c>
      <c r="E1278">
        <v>4.4400000000000004</v>
      </c>
      <c r="F1278">
        <f>COUNTIFS(mdr_rate_cleaned!$A$2:$A$10,B1278,mdr_rate_cleaned!$B$2:$B$10,"&lt;"&amp;C1278,mdr_rate_cleaned!$F$2:$F$10,"&gt;="&amp;C1278)</f>
        <v>1</v>
      </c>
      <c r="G1278">
        <v>1.9E-2</v>
      </c>
      <c r="H1278">
        <v>24.68</v>
      </c>
      <c r="I1278" t="s">
        <v>15</v>
      </c>
      <c r="J1278" t="s">
        <v>15</v>
      </c>
      <c r="K1278">
        <v>4.4400000000000004</v>
      </c>
      <c r="L1278">
        <v>0</v>
      </c>
    </row>
    <row r="1279" spans="1:12" x14ac:dyDescent="0.3">
      <c r="A1279" t="s">
        <v>1295</v>
      </c>
      <c r="B1279" t="s">
        <v>17</v>
      </c>
      <c r="C1279">
        <v>2499</v>
      </c>
      <c r="D1279">
        <v>39.979999999999997</v>
      </c>
      <c r="E1279">
        <v>7.2</v>
      </c>
      <c r="F1279">
        <f>COUNTIFS(mdr_rate_cleaned!$A$2:$A$10,B1279,mdr_rate_cleaned!$B$2:$B$10,"&lt;"&amp;C1279,mdr_rate_cleaned!$F$2:$F$10,"&gt;="&amp;C1279)</f>
        <v>1</v>
      </c>
      <c r="G1279">
        <v>1.6E-2</v>
      </c>
      <c r="H1279">
        <v>39.979999999999997</v>
      </c>
      <c r="I1279" t="s">
        <v>15</v>
      </c>
      <c r="J1279" t="s">
        <v>15</v>
      </c>
      <c r="K1279">
        <v>7.2</v>
      </c>
      <c r="L1279">
        <v>0</v>
      </c>
    </row>
    <row r="1280" spans="1:12" x14ac:dyDescent="0.3">
      <c r="A1280" t="s">
        <v>1296</v>
      </c>
      <c r="B1280" t="s">
        <v>21</v>
      </c>
      <c r="C1280">
        <v>5498</v>
      </c>
      <c r="D1280">
        <v>16.489999999999998</v>
      </c>
      <c r="E1280">
        <v>2.97</v>
      </c>
      <c r="F1280">
        <f>COUNTIFS(mdr_rate_cleaned!$A$2:$A$10,B1280,mdr_rate_cleaned!$B$2:$B$10,"&lt;"&amp;C1280,mdr_rate_cleaned!$F$2:$F$10,"&gt;="&amp;C1280)</f>
        <v>1</v>
      </c>
      <c r="G1280">
        <v>3.0000000000000001E-3</v>
      </c>
      <c r="H1280">
        <v>16.489999999999998</v>
      </c>
      <c r="I1280" t="s">
        <v>15</v>
      </c>
      <c r="J1280" t="s">
        <v>15</v>
      </c>
      <c r="K1280">
        <v>2.97</v>
      </c>
      <c r="L1280">
        <v>0</v>
      </c>
    </row>
    <row r="1281" spans="1:12" x14ac:dyDescent="0.3">
      <c r="A1281" t="s">
        <v>1297</v>
      </c>
      <c r="B1281" t="s">
        <v>17</v>
      </c>
      <c r="C1281">
        <v>999</v>
      </c>
      <c r="D1281">
        <v>17.98</v>
      </c>
      <c r="E1281">
        <v>3.24</v>
      </c>
      <c r="F1281">
        <f>COUNTIFS(mdr_rate_cleaned!$A$2:$A$10,B1281,mdr_rate_cleaned!$B$2:$B$10,"&lt;"&amp;C1281,mdr_rate_cleaned!$F$2:$F$10,"&gt;="&amp;C1281)</f>
        <v>1</v>
      </c>
      <c r="G1281">
        <v>1.7999999999999999E-2</v>
      </c>
      <c r="H1281">
        <v>17.98</v>
      </c>
      <c r="I1281" t="s">
        <v>15</v>
      </c>
      <c r="J1281" t="s">
        <v>15</v>
      </c>
      <c r="K1281">
        <v>3.24</v>
      </c>
      <c r="L1281">
        <v>0</v>
      </c>
    </row>
    <row r="1282" spans="1:12" x14ac:dyDescent="0.3">
      <c r="A1282" t="s">
        <v>1298</v>
      </c>
      <c r="B1282" t="s">
        <v>21</v>
      </c>
      <c r="C1282">
        <v>5297</v>
      </c>
      <c r="D1282">
        <v>15.89</v>
      </c>
      <c r="E1282">
        <v>2.86</v>
      </c>
      <c r="F1282">
        <f>COUNTIFS(mdr_rate_cleaned!$A$2:$A$10,B1282,mdr_rate_cleaned!$B$2:$B$10,"&lt;"&amp;C1282,mdr_rate_cleaned!$F$2:$F$10,"&gt;="&amp;C1282)</f>
        <v>1</v>
      </c>
      <c r="G1282">
        <v>3.0000000000000001E-3</v>
      </c>
      <c r="H1282">
        <v>15.89</v>
      </c>
      <c r="I1282" t="s">
        <v>15</v>
      </c>
      <c r="J1282" t="s">
        <v>15</v>
      </c>
      <c r="K1282">
        <v>2.86</v>
      </c>
      <c r="L1282">
        <v>0</v>
      </c>
    </row>
    <row r="1283" spans="1:12" x14ac:dyDescent="0.3">
      <c r="A1283" t="s">
        <v>1299</v>
      </c>
      <c r="B1283" t="s">
        <v>21</v>
      </c>
      <c r="C1283">
        <v>698</v>
      </c>
      <c r="D1283">
        <v>0</v>
      </c>
      <c r="E1283">
        <v>0</v>
      </c>
      <c r="F1283">
        <f>COUNTIFS(mdr_rate_cleaned!$A$2:$A$10,B1283,mdr_rate_cleaned!$B$2:$B$10,"&lt;"&amp;C1283,mdr_rate_cleaned!$F$2:$F$10,"&gt;="&amp;C1283)</f>
        <v>1</v>
      </c>
      <c r="G1283">
        <v>0</v>
      </c>
      <c r="H1283">
        <v>0</v>
      </c>
      <c r="I1283" t="s">
        <v>15</v>
      </c>
      <c r="J1283" t="s">
        <v>15</v>
      </c>
      <c r="K1283">
        <v>0</v>
      </c>
      <c r="L1283">
        <v>0</v>
      </c>
    </row>
    <row r="1284" spans="1:12" x14ac:dyDescent="0.3">
      <c r="A1284" t="s">
        <v>1300</v>
      </c>
      <c r="B1284" t="s">
        <v>21</v>
      </c>
      <c r="C1284">
        <v>799</v>
      </c>
      <c r="D1284">
        <v>0</v>
      </c>
      <c r="E1284">
        <v>0</v>
      </c>
      <c r="F1284">
        <f>COUNTIFS(mdr_rate_cleaned!$A$2:$A$10,B1284,mdr_rate_cleaned!$B$2:$B$10,"&lt;"&amp;C1284,mdr_rate_cleaned!$F$2:$F$10,"&gt;="&amp;C1284)</f>
        <v>1</v>
      </c>
      <c r="G1284">
        <v>0</v>
      </c>
      <c r="H1284">
        <v>0</v>
      </c>
      <c r="I1284" t="s">
        <v>15</v>
      </c>
      <c r="J1284" t="s">
        <v>15</v>
      </c>
      <c r="K1284">
        <v>0</v>
      </c>
      <c r="L1284">
        <v>0</v>
      </c>
    </row>
    <row r="1285" spans="1:12" x14ac:dyDescent="0.3">
      <c r="A1285" t="s">
        <v>1301</v>
      </c>
      <c r="B1285" t="s">
        <v>13</v>
      </c>
      <c r="C1285">
        <v>1798</v>
      </c>
      <c r="D1285">
        <v>34.159999999999997</v>
      </c>
      <c r="E1285">
        <v>6.15</v>
      </c>
      <c r="F1285">
        <f>COUNTIFS(mdr_rate_cleaned!$A$2:$A$10,B1285,mdr_rate_cleaned!$B$2:$B$10,"&lt;"&amp;C1285,mdr_rate_cleaned!$F$2:$F$10,"&gt;="&amp;C1285)</f>
        <v>1</v>
      </c>
      <c r="G1285">
        <v>1.9E-2</v>
      </c>
      <c r="H1285">
        <v>34.159999999999997</v>
      </c>
      <c r="I1285" t="s">
        <v>15</v>
      </c>
      <c r="J1285" t="s">
        <v>15</v>
      </c>
      <c r="K1285">
        <v>6.15</v>
      </c>
      <c r="L1285">
        <v>0</v>
      </c>
    </row>
    <row r="1286" spans="1:12" x14ac:dyDescent="0.3">
      <c r="A1286" t="s">
        <v>1302</v>
      </c>
      <c r="B1286" t="s">
        <v>21</v>
      </c>
      <c r="C1286">
        <v>1697</v>
      </c>
      <c r="D1286">
        <v>0</v>
      </c>
      <c r="E1286">
        <v>0</v>
      </c>
      <c r="F1286">
        <f>COUNTIFS(mdr_rate_cleaned!$A$2:$A$10,B1286,mdr_rate_cleaned!$B$2:$B$10,"&lt;"&amp;C1286,mdr_rate_cleaned!$F$2:$F$10,"&gt;="&amp;C1286)</f>
        <v>1</v>
      </c>
      <c r="G1286">
        <v>0</v>
      </c>
      <c r="H1286">
        <v>0</v>
      </c>
      <c r="I1286" t="s">
        <v>15</v>
      </c>
      <c r="J1286" t="s">
        <v>15</v>
      </c>
      <c r="K1286">
        <v>0</v>
      </c>
      <c r="L1286">
        <v>0</v>
      </c>
    </row>
    <row r="1287" spans="1:12" x14ac:dyDescent="0.3">
      <c r="A1287" t="s">
        <v>1303</v>
      </c>
      <c r="B1287" t="s">
        <v>17</v>
      </c>
      <c r="C1287">
        <v>8797</v>
      </c>
      <c r="D1287">
        <v>140.75</v>
      </c>
      <c r="E1287">
        <v>25.34</v>
      </c>
      <c r="F1287">
        <f>COUNTIFS(mdr_rate_cleaned!$A$2:$A$10,B1287,mdr_rate_cleaned!$B$2:$B$10,"&lt;"&amp;C1287,mdr_rate_cleaned!$F$2:$F$10,"&gt;="&amp;C1287)</f>
        <v>1</v>
      </c>
      <c r="G1287">
        <v>1.6E-2</v>
      </c>
      <c r="H1287">
        <v>140.75</v>
      </c>
      <c r="I1287" t="s">
        <v>15</v>
      </c>
      <c r="J1287" t="s">
        <v>15</v>
      </c>
      <c r="K1287">
        <v>25.34</v>
      </c>
      <c r="L1287">
        <v>0</v>
      </c>
    </row>
    <row r="1288" spans="1:12" x14ac:dyDescent="0.3">
      <c r="A1288" t="s">
        <v>1304</v>
      </c>
      <c r="B1288" t="s">
        <v>21</v>
      </c>
      <c r="C1288">
        <v>2999</v>
      </c>
      <c r="D1288">
        <v>9</v>
      </c>
      <c r="E1288">
        <v>1.62</v>
      </c>
      <c r="F1288">
        <f>COUNTIFS(mdr_rate_cleaned!$A$2:$A$10,B1288,mdr_rate_cleaned!$B$2:$B$10,"&lt;"&amp;C1288,mdr_rate_cleaned!$F$2:$F$10,"&gt;="&amp;C1288)</f>
        <v>1</v>
      </c>
      <c r="G1288">
        <v>3.0000000000000001E-3</v>
      </c>
      <c r="H1288">
        <v>9</v>
      </c>
      <c r="I1288" t="s">
        <v>15</v>
      </c>
      <c r="J1288" t="s">
        <v>15</v>
      </c>
      <c r="K1288">
        <v>1.62</v>
      </c>
      <c r="L1288">
        <v>0</v>
      </c>
    </row>
    <row r="1289" spans="1:12" x14ac:dyDescent="0.3">
      <c r="A1289" t="s">
        <v>1305</v>
      </c>
      <c r="B1289" t="s">
        <v>21</v>
      </c>
      <c r="C1289">
        <v>1798</v>
      </c>
      <c r="D1289">
        <v>0</v>
      </c>
      <c r="E1289">
        <v>0</v>
      </c>
      <c r="F1289">
        <f>COUNTIFS(mdr_rate_cleaned!$A$2:$A$10,B1289,mdr_rate_cleaned!$B$2:$B$10,"&lt;"&amp;C1289,mdr_rate_cleaned!$F$2:$F$10,"&gt;="&amp;C1289)</f>
        <v>1</v>
      </c>
      <c r="G1289">
        <v>0</v>
      </c>
      <c r="H1289">
        <v>0</v>
      </c>
      <c r="I1289" t="s">
        <v>15</v>
      </c>
      <c r="J1289" t="s">
        <v>15</v>
      </c>
      <c r="K1289">
        <v>0</v>
      </c>
      <c r="L1289">
        <v>0</v>
      </c>
    </row>
    <row r="1290" spans="1:12" x14ac:dyDescent="0.3">
      <c r="A1290" t="s">
        <v>1306</v>
      </c>
      <c r="B1290" t="s">
        <v>21</v>
      </c>
      <c r="C1290">
        <v>599</v>
      </c>
      <c r="D1290">
        <v>0</v>
      </c>
      <c r="E1290">
        <v>0</v>
      </c>
      <c r="F1290">
        <f>COUNTIFS(mdr_rate_cleaned!$A$2:$A$10,B1290,mdr_rate_cleaned!$B$2:$B$10,"&lt;"&amp;C1290,mdr_rate_cleaned!$F$2:$F$10,"&gt;="&amp;C1290)</f>
        <v>1</v>
      </c>
      <c r="G1290">
        <v>0</v>
      </c>
      <c r="H1290">
        <v>0</v>
      </c>
      <c r="I1290" t="s">
        <v>15</v>
      </c>
      <c r="J1290" t="s">
        <v>15</v>
      </c>
      <c r="K1290">
        <v>0</v>
      </c>
      <c r="L1290">
        <v>0</v>
      </c>
    </row>
    <row r="1291" spans="1:12" x14ac:dyDescent="0.3">
      <c r="A1291" t="s">
        <v>1307</v>
      </c>
      <c r="B1291" t="s">
        <v>21</v>
      </c>
      <c r="C1291">
        <v>6297</v>
      </c>
      <c r="D1291">
        <v>18.89</v>
      </c>
      <c r="E1291">
        <v>3.4</v>
      </c>
      <c r="F1291">
        <f>COUNTIFS(mdr_rate_cleaned!$A$2:$A$10,B1291,mdr_rate_cleaned!$B$2:$B$10,"&lt;"&amp;C1291,mdr_rate_cleaned!$F$2:$F$10,"&gt;="&amp;C1291)</f>
        <v>1</v>
      </c>
      <c r="G1291">
        <v>3.0000000000000001E-3</v>
      </c>
      <c r="H1291">
        <v>18.89</v>
      </c>
      <c r="I1291" t="s">
        <v>15</v>
      </c>
      <c r="J1291" t="s">
        <v>15</v>
      </c>
      <c r="K1291">
        <v>3.4</v>
      </c>
      <c r="L1291">
        <v>0</v>
      </c>
    </row>
    <row r="1292" spans="1:12" x14ac:dyDescent="0.3">
      <c r="A1292" t="s">
        <v>1308</v>
      </c>
      <c r="B1292" t="s">
        <v>21</v>
      </c>
      <c r="C1292">
        <v>5348</v>
      </c>
      <c r="D1292">
        <v>16.04</v>
      </c>
      <c r="E1292">
        <v>2.89</v>
      </c>
      <c r="F1292">
        <f>COUNTIFS(mdr_rate_cleaned!$A$2:$A$10,B1292,mdr_rate_cleaned!$B$2:$B$10,"&lt;"&amp;C1292,mdr_rate_cleaned!$F$2:$F$10,"&gt;="&amp;C1292)</f>
        <v>1</v>
      </c>
      <c r="G1292">
        <v>3.0000000000000001E-3</v>
      </c>
      <c r="H1292">
        <v>16.04</v>
      </c>
      <c r="I1292" t="s">
        <v>15</v>
      </c>
      <c r="J1292" t="s">
        <v>15</v>
      </c>
      <c r="K1292">
        <v>2.89</v>
      </c>
      <c r="L1292">
        <v>0</v>
      </c>
    </row>
    <row r="1293" spans="1:12" x14ac:dyDescent="0.3">
      <c r="A1293" t="s">
        <v>1309</v>
      </c>
      <c r="B1293" t="s">
        <v>39</v>
      </c>
      <c r="C1293">
        <v>1147</v>
      </c>
      <c r="D1293">
        <v>17.21</v>
      </c>
      <c r="E1293">
        <v>3.1</v>
      </c>
      <c r="F1293">
        <f>COUNTIFS(mdr_rate_cleaned!$A$2:$A$10,B1293,mdr_rate_cleaned!$B$2:$B$10,"&lt;"&amp;C1293,mdr_rate_cleaned!$F$2:$F$10,"&gt;="&amp;C1293)</f>
        <v>1</v>
      </c>
      <c r="G1293">
        <v>1.4999999999999999E-2</v>
      </c>
      <c r="H1293">
        <v>17.21</v>
      </c>
      <c r="I1293" t="s">
        <v>15</v>
      </c>
      <c r="J1293" t="s">
        <v>15</v>
      </c>
      <c r="K1293">
        <v>3.1</v>
      </c>
      <c r="L1293">
        <v>0</v>
      </c>
    </row>
    <row r="1294" spans="1:12" x14ac:dyDescent="0.3">
      <c r="A1294" t="s">
        <v>1310</v>
      </c>
      <c r="B1294" t="s">
        <v>13</v>
      </c>
      <c r="C1294">
        <v>349</v>
      </c>
      <c r="D1294">
        <v>6.63</v>
      </c>
      <c r="E1294">
        <v>1.19</v>
      </c>
      <c r="F1294">
        <f>COUNTIFS(mdr_rate_cleaned!$A$2:$A$10,B1294,mdr_rate_cleaned!$B$2:$B$10,"&lt;"&amp;C1294,mdr_rate_cleaned!$F$2:$F$10,"&gt;="&amp;C1294)</f>
        <v>1</v>
      </c>
      <c r="G1294">
        <v>1.9E-2</v>
      </c>
      <c r="H1294">
        <v>6.63</v>
      </c>
      <c r="I1294" t="s">
        <v>15</v>
      </c>
      <c r="J1294" t="s">
        <v>15</v>
      </c>
      <c r="K1294">
        <v>1.19</v>
      </c>
      <c r="L1294">
        <v>0</v>
      </c>
    </row>
    <row r="1295" spans="1:12" x14ac:dyDescent="0.3">
      <c r="A1295" t="s">
        <v>1311</v>
      </c>
      <c r="B1295" t="s">
        <v>17</v>
      </c>
      <c r="C1295">
        <v>8498</v>
      </c>
      <c r="D1295">
        <v>135.97</v>
      </c>
      <c r="E1295">
        <v>24.47</v>
      </c>
      <c r="F1295">
        <f>COUNTIFS(mdr_rate_cleaned!$A$2:$A$10,B1295,mdr_rate_cleaned!$B$2:$B$10,"&lt;"&amp;C1295,mdr_rate_cleaned!$F$2:$F$10,"&gt;="&amp;C1295)</f>
        <v>1</v>
      </c>
      <c r="G1295">
        <v>1.6E-2</v>
      </c>
      <c r="H1295">
        <v>135.97</v>
      </c>
      <c r="I1295" t="s">
        <v>15</v>
      </c>
      <c r="J1295" t="s">
        <v>15</v>
      </c>
      <c r="K1295">
        <v>24.47</v>
      </c>
      <c r="L1295">
        <v>0</v>
      </c>
    </row>
    <row r="1296" spans="1:12" x14ac:dyDescent="0.3">
      <c r="A1296" t="s">
        <v>1312</v>
      </c>
      <c r="B1296" t="s">
        <v>21</v>
      </c>
      <c r="C1296">
        <v>2397</v>
      </c>
      <c r="D1296">
        <v>7.19</v>
      </c>
      <c r="E1296">
        <v>1.29</v>
      </c>
      <c r="F1296">
        <f>COUNTIFS(mdr_rate_cleaned!$A$2:$A$10,B1296,mdr_rate_cleaned!$B$2:$B$10,"&lt;"&amp;C1296,mdr_rate_cleaned!$F$2:$F$10,"&gt;="&amp;C1296)</f>
        <v>1</v>
      </c>
      <c r="G1296">
        <v>3.0000000000000001E-3</v>
      </c>
      <c r="H1296">
        <v>7.19</v>
      </c>
      <c r="I1296" t="s">
        <v>15</v>
      </c>
      <c r="J1296" t="s">
        <v>15</v>
      </c>
      <c r="K1296">
        <v>1.29</v>
      </c>
      <c r="L1296">
        <v>0</v>
      </c>
    </row>
    <row r="1297" spans="1:12" x14ac:dyDescent="0.3">
      <c r="A1297" t="s">
        <v>1313</v>
      </c>
      <c r="B1297" t="s">
        <v>17</v>
      </c>
      <c r="C1297">
        <v>799</v>
      </c>
      <c r="D1297">
        <v>14.38</v>
      </c>
      <c r="E1297">
        <v>2.59</v>
      </c>
      <c r="F1297">
        <f>COUNTIFS(mdr_rate_cleaned!$A$2:$A$10,B1297,mdr_rate_cleaned!$B$2:$B$10,"&lt;"&amp;C1297,mdr_rate_cleaned!$F$2:$F$10,"&gt;="&amp;C1297)</f>
        <v>1</v>
      </c>
      <c r="G1297">
        <v>1.7999999999999999E-2</v>
      </c>
      <c r="H1297">
        <v>14.38</v>
      </c>
      <c r="I1297" t="s">
        <v>15</v>
      </c>
      <c r="J1297" t="s">
        <v>15</v>
      </c>
      <c r="K1297">
        <v>2.59</v>
      </c>
      <c r="L1297">
        <v>0</v>
      </c>
    </row>
    <row r="1298" spans="1:12" x14ac:dyDescent="0.3">
      <c r="A1298" t="s">
        <v>1314</v>
      </c>
      <c r="B1298" t="s">
        <v>21</v>
      </c>
      <c r="C1298">
        <v>2999</v>
      </c>
      <c r="D1298">
        <v>9</v>
      </c>
      <c r="E1298">
        <v>1.62</v>
      </c>
      <c r="F1298">
        <f>COUNTIFS(mdr_rate_cleaned!$A$2:$A$10,B1298,mdr_rate_cleaned!$B$2:$B$10,"&lt;"&amp;C1298,mdr_rate_cleaned!$F$2:$F$10,"&gt;="&amp;C1298)</f>
        <v>1</v>
      </c>
      <c r="G1298">
        <v>3.0000000000000001E-3</v>
      </c>
      <c r="H1298">
        <v>9</v>
      </c>
      <c r="I1298" t="s">
        <v>15</v>
      </c>
      <c r="J1298" t="s">
        <v>15</v>
      </c>
      <c r="K1298">
        <v>1.62</v>
      </c>
      <c r="L1298">
        <v>0</v>
      </c>
    </row>
    <row r="1299" spans="1:12" x14ac:dyDescent="0.3">
      <c r="A1299" t="s">
        <v>1315</v>
      </c>
      <c r="B1299" t="s">
        <v>21</v>
      </c>
      <c r="C1299">
        <v>3499</v>
      </c>
      <c r="D1299">
        <v>10.5</v>
      </c>
      <c r="E1299">
        <v>1.89</v>
      </c>
      <c r="F1299">
        <f>COUNTIFS(mdr_rate_cleaned!$A$2:$A$10,B1299,mdr_rate_cleaned!$B$2:$B$10,"&lt;"&amp;C1299,mdr_rate_cleaned!$F$2:$F$10,"&gt;="&amp;C1299)</f>
        <v>1</v>
      </c>
      <c r="G1299">
        <v>3.0000000000000001E-3</v>
      </c>
      <c r="H1299">
        <v>10.5</v>
      </c>
      <c r="I1299" t="s">
        <v>15</v>
      </c>
      <c r="J1299" t="s">
        <v>15</v>
      </c>
      <c r="K1299">
        <v>1.89</v>
      </c>
      <c r="L1299">
        <v>0</v>
      </c>
    </row>
    <row r="1300" spans="1:12" x14ac:dyDescent="0.3">
      <c r="A1300" t="s">
        <v>1316</v>
      </c>
      <c r="B1300" t="s">
        <v>21</v>
      </c>
      <c r="C1300">
        <v>2148</v>
      </c>
      <c r="D1300">
        <v>6.44</v>
      </c>
      <c r="E1300">
        <v>1.1599999999999999</v>
      </c>
      <c r="F1300">
        <f>COUNTIFS(mdr_rate_cleaned!$A$2:$A$10,B1300,mdr_rate_cleaned!$B$2:$B$10,"&lt;"&amp;C1300,mdr_rate_cleaned!$F$2:$F$10,"&gt;="&amp;C1300)</f>
        <v>1</v>
      </c>
      <c r="G1300">
        <v>3.0000000000000001E-3</v>
      </c>
      <c r="H1300">
        <v>6.44</v>
      </c>
      <c r="I1300" t="s">
        <v>15</v>
      </c>
      <c r="J1300" t="s">
        <v>15</v>
      </c>
      <c r="K1300">
        <v>1.1599999999999999</v>
      </c>
      <c r="L1300">
        <v>0</v>
      </c>
    </row>
    <row r="1301" spans="1:12" x14ac:dyDescent="0.3">
      <c r="A1301" t="s">
        <v>1317</v>
      </c>
      <c r="B1301" t="s">
        <v>21</v>
      </c>
      <c r="C1301">
        <v>799</v>
      </c>
      <c r="D1301">
        <v>0</v>
      </c>
      <c r="E1301">
        <v>0</v>
      </c>
      <c r="F1301">
        <f>COUNTIFS(mdr_rate_cleaned!$A$2:$A$10,B1301,mdr_rate_cleaned!$B$2:$B$10,"&lt;"&amp;C1301,mdr_rate_cleaned!$F$2:$F$10,"&gt;="&amp;C1301)</f>
        <v>1</v>
      </c>
      <c r="G1301">
        <v>0</v>
      </c>
      <c r="H1301">
        <v>0</v>
      </c>
      <c r="I1301" t="s">
        <v>15</v>
      </c>
      <c r="J1301" t="s">
        <v>15</v>
      </c>
      <c r="K1301">
        <v>0</v>
      </c>
      <c r="L1301">
        <v>0</v>
      </c>
    </row>
    <row r="1302" spans="1:12" x14ac:dyDescent="0.3">
      <c r="A1302" t="s">
        <v>1318</v>
      </c>
      <c r="B1302" t="s">
        <v>13</v>
      </c>
      <c r="C1302">
        <v>4397</v>
      </c>
      <c r="D1302">
        <v>74.75</v>
      </c>
      <c r="E1302">
        <v>13.46</v>
      </c>
      <c r="F1302">
        <f>COUNTIFS(mdr_rate_cleaned!$A$2:$A$10,B1302,mdr_rate_cleaned!$B$2:$B$10,"&lt;"&amp;C1302,mdr_rate_cleaned!$F$2:$F$10,"&gt;="&amp;C1302)</f>
        <v>1</v>
      </c>
      <c r="G1302">
        <v>1.7000000000000001E-2</v>
      </c>
      <c r="H1302">
        <v>74.75</v>
      </c>
      <c r="I1302" t="s">
        <v>15</v>
      </c>
      <c r="J1302" t="s">
        <v>15</v>
      </c>
      <c r="K1302">
        <v>13.46</v>
      </c>
      <c r="L1302">
        <v>0</v>
      </c>
    </row>
    <row r="1303" spans="1:12" x14ac:dyDescent="0.3">
      <c r="A1303" t="s">
        <v>1319</v>
      </c>
      <c r="B1303" t="s">
        <v>17</v>
      </c>
      <c r="C1303">
        <v>2798</v>
      </c>
      <c r="D1303">
        <v>44.77</v>
      </c>
      <c r="E1303">
        <v>8.06</v>
      </c>
      <c r="F1303">
        <f>COUNTIFS(mdr_rate_cleaned!$A$2:$A$10,B1303,mdr_rate_cleaned!$B$2:$B$10,"&lt;"&amp;C1303,mdr_rate_cleaned!$F$2:$F$10,"&gt;="&amp;C1303)</f>
        <v>1</v>
      </c>
      <c r="G1303">
        <v>1.6E-2</v>
      </c>
      <c r="H1303">
        <v>44.77</v>
      </c>
      <c r="I1303" t="s">
        <v>15</v>
      </c>
      <c r="J1303" t="s">
        <v>15</v>
      </c>
      <c r="K1303">
        <v>8.06</v>
      </c>
      <c r="L1303">
        <v>0</v>
      </c>
    </row>
    <row r="1304" spans="1:12" x14ac:dyDescent="0.3">
      <c r="A1304" t="s">
        <v>1320</v>
      </c>
      <c r="B1304" t="s">
        <v>17</v>
      </c>
      <c r="C1304">
        <v>499</v>
      </c>
      <c r="D1304">
        <v>8.98</v>
      </c>
      <c r="E1304">
        <v>1.62</v>
      </c>
      <c r="F1304">
        <f>COUNTIFS(mdr_rate_cleaned!$A$2:$A$10,B1304,mdr_rate_cleaned!$B$2:$B$10,"&lt;"&amp;C1304,mdr_rate_cleaned!$F$2:$F$10,"&gt;="&amp;C1304)</f>
        <v>1</v>
      </c>
      <c r="G1304">
        <v>1.7999999999999999E-2</v>
      </c>
      <c r="H1304">
        <v>8.98</v>
      </c>
      <c r="I1304" t="s">
        <v>15</v>
      </c>
      <c r="J1304" t="s">
        <v>15</v>
      </c>
      <c r="K1304">
        <v>1.62</v>
      </c>
      <c r="L1304">
        <v>0</v>
      </c>
    </row>
    <row r="1305" spans="1:12" x14ac:dyDescent="0.3">
      <c r="A1305" t="s">
        <v>1321</v>
      </c>
      <c r="B1305" t="s">
        <v>17</v>
      </c>
      <c r="C1305">
        <v>2499</v>
      </c>
      <c r="D1305">
        <v>39.979999999999997</v>
      </c>
      <c r="E1305">
        <v>7.2</v>
      </c>
      <c r="F1305">
        <f>COUNTIFS(mdr_rate_cleaned!$A$2:$A$10,B1305,mdr_rate_cleaned!$B$2:$B$10,"&lt;"&amp;C1305,mdr_rate_cleaned!$F$2:$F$10,"&gt;="&amp;C1305)</f>
        <v>1</v>
      </c>
      <c r="G1305">
        <v>1.6E-2</v>
      </c>
      <c r="H1305">
        <v>39.979999999999997</v>
      </c>
      <c r="I1305" t="s">
        <v>15</v>
      </c>
      <c r="J1305" t="s">
        <v>15</v>
      </c>
      <c r="K1305">
        <v>7.2</v>
      </c>
      <c r="L1305">
        <v>0</v>
      </c>
    </row>
    <row r="1306" spans="1:12" x14ac:dyDescent="0.3">
      <c r="A1306" t="s">
        <v>1322</v>
      </c>
      <c r="B1306" t="s">
        <v>21</v>
      </c>
      <c r="C1306">
        <v>2298</v>
      </c>
      <c r="D1306">
        <v>6.89</v>
      </c>
      <c r="E1306">
        <v>1.24</v>
      </c>
      <c r="F1306">
        <f>COUNTIFS(mdr_rate_cleaned!$A$2:$A$10,B1306,mdr_rate_cleaned!$B$2:$B$10,"&lt;"&amp;C1306,mdr_rate_cleaned!$F$2:$F$10,"&gt;="&amp;C1306)</f>
        <v>1</v>
      </c>
      <c r="G1306">
        <v>3.0000000000000001E-3</v>
      </c>
      <c r="H1306">
        <v>6.89</v>
      </c>
      <c r="I1306" t="s">
        <v>15</v>
      </c>
      <c r="J1306" t="s">
        <v>15</v>
      </c>
      <c r="K1306">
        <v>1.24</v>
      </c>
      <c r="L1306">
        <v>0</v>
      </c>
    </row>
    <row r="1307" spans="1:12" x14ac:dyDescent="0.3">
      <c r="A1307" t="s">
        <v>1323</v>
      </c>
      <c r="B1307" t="s">
        <v>21</v>
      </c>
      <c r="C1307">
        <v>299</v>
      </c>
      <c r="D1307">
        <v>0</v>
      </c>
      <c r="E1307">
        <v>0</v>
      </c>
      <c r="F1307">
        <f>COUNTIFS(mdr_rate_cleaned!$A$2:$A$10,B1307,mdr_rate_cleaned!$B$2:$B$10,"&lt;"&amp;C1307,mdr_rate_cleaned!$F$2:$F$10,"&gt;="&amp;C1307)</f>
        <v>1</v>
      </c>
      <c r="G1307">
        <v>0</v>
      </c>
      <c r="H1307">
        <v>0</v>
      </c>
      <c r="I1307" t="s">
        <v>15</v>
      </c>
      <c r="J1307" t="s">
        <v>15</v>
      </c>
      <c r="K1307">
        <v>0</v>
      </c>
      <c r="L1307">
        <v>0</v>
      </c>
    </row>
    <row r="1308" spans="1:12" x14ac:dyDescent="0.3">
      <c r="A1308" t="s">
        <v>1324</v>
      </c>
      <c r="B1308" t="s">
        <v>21</v>
      </c>
      <c r="C1308">
        <v>499</v>
      </c>
      <c r="D1308">
        <v>0</v>
      </c>
      <c r="E1308">
        <v>0</v>
      </c>
      <c r="F1308">
        <f>COUNTIFS(mdr_rate_cleaned!$A$2:$A$10,B1308,mdr_rate_cleaned!$B$2:$B$10,"&lt;"&amp;C1308,mdr_rate_cleaned!$F$2:$F$10,"&gt;="&amp;C1308)</f>
        <v>1</v>
      </c>
      <c r="G1308">
        <v>0</v>
      </c>
      <c r="H1308">
        <v>0</v>
      </c>
      <c r="I1308" t="s">
        <v>15</v>
      </c>
      <c r="J1308" t="s">
        <v>15</v>
      </c>
      <c r="K1308">
        <v>0</v>
      </c>
      <c r="L1308">
        <v>0</v>
      </c>
    </row>
    <row r="1309" spans="1:12" x14ac:dyDescent="0.3">
      <c r="A1309" t="s">
        <v>1325</v>
      </c>
      <c r="B1309" t="s">
        <v>13</v>
      </c>
      <c r="C1309">
        <v>1348</v>
      </c>
      <c r="D1309">
        <v>25.61</v>
      </c>
      <c r="E1309">
        <v>4.6100000000000003</v>
      </c>
      <c r="F1309">
        <f>COUNTIFS(mdr_rate_cleaned!$A$2:$A$10,B1309,mdr_rate_cleaned!$B$2:$B$10,"&lt;"&amp;C1309,mdr_rate_cleaned!$F$2:$F$10,"&gt;="&amp;C1309)</f>
        <v>1</v>
      </c>
      <c r="G1309">
        <v>1.9E-2</v>
      </c>
      <c r="H1309">
        <v>25.61</v>
      </c>
      <c r="I1309" t="s">
        <v>15</v>
      </c>
      <c r="J1309" t="s">
        <v>15</v>
      </c>
      <c r="K1309">
        <v>4.6100000000000003</v>
      </c>
      <c r="L1309">
        <v>0</v>
      </c>
    </row>
    <row r="1310" spans="1:12" x14ac:dyDescent="0.3">
      <c r="A1310" t="s">
        <v>1326</v>
      </c>
      <c r="B1310" t="s">
        <v>21</v>
      </c>
      <c r="C1310">
        <v>4498</v>
      </c>
      <c r="D1310">
        <v>13.49</v>
      </c>
      <c r="E1310">
        <v>2.4300000000000002</v>
      </c>
      <c r="F1310">
        <f>COUNTIFS(mdr_rate_cleaned!$A$2:$A$10,B1310,mdr_rate_cleaned!$B$2:$B$10,"&lt;"&amp;C1310,mdr_rate_cleaned!$F$2:$F$10,"&gt;="&amp;C1310)</f>
        <v>1</v>
      </c>
      <c r="G1310">
        <v>3.0000000000000001E-3</v>
      </c>
      <c r="H1310">
        <v>13.49</v>
      </c>
      <c r="I1310" t="s">
        <v>15</v>
      </c>
      <c r="J1310" t="s">
        <v>15</v>
      </c>
      <c r="K1310">
        <v>2.4300000000000002</v>
      </c>
      <c r="L1310">
        <v>0</v>
      </c>
    </row>
    <row r="1311" spans="1:12" x14ac:dyDescent="0.3">
      <c r="A1311" t="s">
        <v>1327</v>
      </c>
      <c r="B1311" t="s">
        <v>39</v>
      </c>
      <c r="C1311">
        <v>2999</v>
      </c>
      <c r="D1311">
        <v>35.99</v>
      </c>
      <c r="E1311">
        <v>6.48</v>
      </c>
      <c r="F1311">
        <f>COUNTIFS(mdr_rate_cleaned!$A$2:$A$10,B1311,mdr_rate_cleaned!$B$2:$B$10,"&lt;"&amp;C1311,mdr_rate_cleaned!$F$2:$F$10,"&gt;="&amp;C1311)</f>
        <v>1</v>
      </c>
      <c r="G1311">
        <v>1.2E-2</v>
      </c>
      <c r="H1311">
        <v>35.99</v>
      </c>
      <c r="I1311" t="s">
        <v>15</v>
      </c>
      <c r="J1311" t="s">
        <v>15</v>
      </c>
      <c r="K1311">
        <v>6.48</v>
      </c>
      <c r="L1311">
        <v>0</v>
      </c>
    </row>
    <row r="1312" spans="1:12" x14ac:dyDescent="0.3">
      <c r="A1312" t="s">
        <v>1328</v>
      </c>
      <c r="B1312" t="s">
        <v>21</v>
      </c>
      <c r="C1312">
        <v>12297</v>
      </c>
      <c r="D1312">
        <v>36.89</v>
      </c>
      <c r="E1312">
        <v>6.64</v>
      </c>
      <c r="F1312">
        <f>COUNTIFS(mdr_rate_cleaned!$A$2:$A$10,B1312,mdr_rate_cleaned!$B$2:$B$10,"&lt;"&amp;C1312,mdr_rate_cleaned!$F$2:$F$10,"&gt;="&amp;C1312)</f>
        <v>1</v>
      </c>
      <c r="G1312">
        <v>3.0000000000000001E-3</v>
      </c>
      <c r="H1312">
        <v>36.89</v>
      </c>
      <c r="I1312" t="s">
        <v>15</v>
      </c>
      <c r="J1312" t="s">
        <v>15</v>
      </c>
      <c r="K1312">
        <v>6.64</v>
      </c>
      <c r="L1312">
        <v>0</v>
      </c>
    </row>
    <row r="1313" spans="1:12" x14ac:dyDescent="0.3">
      <c r="A1313" t="s">
        <v>1329</v>
      </c>
      <c r="B1313" t="s">
        <v>39</v>
      </c>
      <c r="C1313">
        <v>3499</v>
      </c>
      <c r="D1313">
        <v>41.99</v>
      </c>
      <c r="E1313">
        <v>7.56</v>
      </c>
      <c r="F1313">
        <f>COUNTIFS(mdr_rate_cleaned!$A$2:$A$10,B1313,mdr_rate_cleaned!$B$2:$B$10,"&lt;"&amp;C1313,mdr_rate_cleaned!$F$2:$F$10,"&gt;="&amp;C1313)</f>
        <v>1</v>
      </c>
      <c r="G1313">
        <v>1.2E-2</v>
      </c>
      <c r="H1313">
        <v>41.99</v>
      </c>
      <c r="I1313" t="s">
        <v>15</v>
      </c>
      <c r="J1313" t="s">
        <v>15</v>
      </c>
      <c r="K1313">
        <v>7.56</v>
      </c>
      <c r="L1313">
        <v>0</v>
      </c>
    </row>
    <row r="1314" spans="1:12" x14ac:dyDescent="0.3">
      <c r="A1314" t="s">
        <v>1330</v>
      </c>
      <c r="B1314" t="s">
        <v>21</v>
      </c>
      <c r="C1314">
        <v>3499</v>
      </c>
      <c r="D1314">
        <v>10.5</v>
      </c>
      <c r="E1314">
        <v>1.89</v>
      </c>
      <c r="F1314">
        <f>COUNTIFS(mdr_rate_cleaned!$A$2:$A$10,B1314,mdr_rate_cleaned!$B$2:$B$10,"&lt;"&amp;C1314,mdr_rate_cleaned!$F$2:$F$10,"&gt;="&amp;C1314)</f>
        <v>1</v>
      </c>
      <c r="G1314">
        <v>3.0000000000000001E-3</v>
      </c>
      <c r="H1314">
        <v>10.5</v>
      </c>
      <c r="I1314" t="s">
        <v>15</v>
      </c>
      <c r="J1314" t="s">
        <v>15</v>
      </c>
      <c r="K1314">
        <v>1.89</v>
      </c>
      <c r="L1314">
        <v>0</v>
      </c>
    </row>
    <row r="1315" spans="1:12" x14ac:dyDescent="0.3">
      <c r="A1315" t="s">
        <v>1331</v>
      </c>
      <c r="B1315" t="s">
        <v>21</v>
      </c>
      <c r="C1315">
        <v>9497</v>
      </c>
      <c r="D1315">
        <v>28.49</v>
      </c>
      <c r="E1315">
        <v>5.13</v>
      </c>
      <c r="F1315">
        <f>COUNTIFS(mdr_rate_cleaned!$A$2:$A$10,B1315,mdr_rate_cleaned!$B$2:$B$10,"&lt;"&amp;C1315,mdr_rate_cleaned!$F$2:$F$10,"&gt;="&amp;C1315)</f>
        <v>1</v>
      </c>
      <c r="G1315">
        <v>3.0000000000000001E-3</v>
      </c>
      <c r="H1315">
        <v>28.49</v>
      </c>
      <c r="I1315" t="s">
        <v>15</v>
      </c>
      <c r="J1315" t="s">
        <v>15</v>
      </c>
      <c r="K1315">
        <v>5.13</v>
      </c>
      <c r="L1315">
        <v>0</v>
      </c>
    </row>
    <row r="1316" spans="1:12" x14ac:dyDescent="0.3">
      <c r="A1316" t="s">
        <v>1332</v>
      </c>
      <c r="B1316" t="s">
        <v>17</v>
      </c>
      <c r="C1316">
        <v>1499</v>
      </c>
      <c r="D1316">
        <v>26.98</v>
      </c>
      <c r="E1316">
        <v>4.8600000000000003</v>
      </c>
      <c r="F1316">
        <f>COUNTIFS(mdr_rate_cleaned!$A$2:$A$10,B1316,mdr_rate_cleaned!$B$2:$B$10,"&lt;"&amp;C1316,mdr_rate_cleaned!$F$2:$F$10,"&gt;="&amp;C1316)</f>
        <v>1</v>
      </c>
      <c r="G1316">
        <v>1.7999999999999999E-2</v>
      </c>
      <c r="H1316">
        <v>26.98</v>
      </c>
      <c r="I1316" t="s">
        <v>15</v>
      </c>
      <c r="J1316" t="s">
        <v>15</v>
      </c>
      <c r="K1316">
        <v>4.8600000000000003</v>
      </c>
      <c r="L1316">
        <v>0</v>
      </c>
    </row>
    <row r="1317" spans="1:12" x14ac:dyDescent="0.3">
      <c r="A1317" t="s">
        <v>1333</v>
      </c>
      <c r="B1317" t="s">
        <v>13</v>
      </c>
      <c r="C1317">
        <v>2499</v>
      </c>
      <c r="D1317">
        <v>42.48</v>
      </c>
      <c r="E1317">
        <v>7.65</v>
      </c>
      <c r="F1317">
        <f>COUNTIFS(mdr_rate_cleaned!$A$2:$A$10,B1317,mdr_rate_cleaned!$B$2:$B$10,"&lt;"&amp;C1317,mdr_rate_cleaned!$F$2:$F$10,"&gt;="&amp;C1317)</f>
        <v>1</v>
      </c>
      <c r="G1317">
        <v>1.7000000000000001E-2</v>
      </c>
      <c r="H1317">
        <v>42.48</v>
      </c>
      <c r="I1317" t="s">
        <v>15</v>
      </c>
      <c r="J1317" t="s">
        <v>15</v>
      </c>
      <c r="K1317">
        <v>7.65</v>
      </c>
      <c r="L1317">
        <v>0</v>
      </c>
    </row>
    <row r="1318" spans="1:12" x14ac:dyDescent="0.3">
      <c r="A1318" t="s">
        <v>1334</v>
      </c>
      <c r="B1318" t="s">
        <v>21</v>
      </c>
      <c r="C1318">
        <v>10147</v>
      </c>
      <c r="D1318">
        <v>30.44</v>
      </c>
      <c r="E1318">
        <v>5.48</v>
      </c>
      <c r="F1318">
        <f>COUNTIFS(mdr_rate_cleaned!$A$2:$A$10,B1318,mdr_rate_cleaned!$B$2:$B$10,"&lt;"&amp;C1318,mdr_rate_cleaned!$F$2:$F$10,"&gt;="&amp;C1318)</f>
        <v>1</v>
      </c>
      <c r="G1318">
        <v>3.0000000000000001E-3</v>
      </c>
      <c r="H1318">
        <v>30.44</v>
      </c>
      <c r="I1318" t="s">
        <v>15</v>
      </c>
      <c r="J1318" t="s">
        <v>15</v>
      </c>
      <c r="K1318">
        <v>5.48</v>
      </c>
      <c r="L1318">
        <v>0</v>
      </c>
    </row>
    <row r="1319" spans="1:12" x14ac:dyDescent="0.3">
      <c r="A1319" t="s">
        <v>1335</v>
      </c>
      <c r="B1319" t="s">
        <v>21</v>
      </c>
      <c r="C1319">
        <v>599</v>
      </c>
      <c r="D1319">
        <v>0</v>
      </c>
      <c r="E1319">
        <v>0</v>
      </c>
      <c r="F1319">
        <f>COUNTIFS(mdr_rate_cleaned!$A$2:$A$10,B1319,mdr_rate_cleaned!$B$2:$B$10,"&lt;"&amp;C1319,mdr_rate_cleaned!$F$2:$F$10,"&gt;="&amp;C1319)</f>
        <v>1</v>
      </c>
      <c r="G1319">
        <v>0</v>
      </c>
      <c r="H1319">
        <v>0</v>
      </c>
      <c r="I1319" t="s">
        <v>15</v>
      </c>
      <c r="J1319" t="s">
        <v>15</v>
      </c>
      <c r="K1319">
        <v>0</v>
      </c>
      <c r="L1319">
        <v>0</v>
      </c>
    </row>
    <row r="1320" spans="1:12" x14ac:dyDescent="0.3">
      <c r="A1320" t="s">
        <v>1336</v>
      </c>
      <c r="B1320" t="s">
        <v>17</v>
      </c>
      <c r="C1320">
        <v>2499</v>
      </c>
      <c r="D1320">
        <v>39.979999999999997</v>
      </c>
      <c r="E1320">
        <v>7.2</v>
      </c>
      <c r="F1320">
        <f>COUNTIFS(mdr_rate_cleaned!$A$2:$A$10,B1320,mdr_rate_cleaned!$B$2:$B$10,"&lt;"&amp;C1320,mdr_rate_cleaned!$F$2:$F$10,"&gt;="&amp;C1320)</f>
        <v>1</v>
      </c>
      <c r="G1320">
        <v>1.6E-2</v>
      </c>
      <c r="H1320">
        <v>39.979999999999997</v>
      </c>
      <c r="I1320" t="s">
        <v>15</v>
      </c>
      <c r="J1320" t="s">
        <v>15</v>
      </c>
      <c r="K1320">
        <v>7.2</v>
      </c>
      <c r="L1320">
        <v>0</v>
      </c>
    </row>
    <row r="1321" spans="1:12" x14ac:dyDescent="0.3">
      <c r="A1321" t="s">
        <v>1337</v>
      </c>
      <c r="B1321" t="s">
        <v>13</v>
      </c>
      <c r="C1321">
        <v>4597</v>
      </c>
      <c r="D1321">
        <v>78.150000000000006</v>
      </c>
      <c r="E1321">
        <v>14.07</v>
      </c>
      <c r="F1321">
        <f>COUNTIFS(mdr_rate_cleaned!$A$2:$A$10,B1321,mdr_rate_cleaned!$B$2:$B$10,"&lt;"&amp;C1321,mdr_rate_cleaned!$F$2:$F$10,"&gt;="&amp;C1321)</f>
        <v>1</v>
      </c>
      <c r="G1321">
        <v>1.7000000000000001E-2</v>
      </c>
      <c r="H1321">
        <v>78.150000000000006</v>
      </c>
      <c r="I1321" t="s">
        <v>15</v>
      </c>
      <c r="J1321" t="s">
        <v>15</v>
      </c>
      <c r="K1321">
        <v>14.07</v>
      </c>
      <c r="L1321">
        <v>0</v>
      </c>
    </row>
    <row r="1322" spans="1:12" x14ac:dyDescent="0.3">
      <c r="A1322" t="s">
        <v>1338</v>
      </c>
      <c r="B1322" t="s">
        <v>21</v>
      </c>
      <c r="C1322">
        <v>599</v>
      </c>
      <c r="D1322">
        <v>0</v>
      </c>
      <c r="E1322">
        <v>0</v>
      </c>
      <c r="F1322">
        <f>COUNTIFS(mdr_rate_cleaned!$A$2:$A$10,B1322,mdr_rate_cleaned!$B$2:$B$10,"&lt;"&amp;C1322,mdr_rate_cleaned!$F$2:$F$10,"&gt;="&amp;C1322)</f>
        <v>1</v>
      </c>
      <c r="G1322">
        <v>0</v>
      </c>
      <c r="H1322">
        <v>0</v>
      </c>
      <c r="I1322" t="s">
        <v>15</v>
      </c>
      <c r="J1322" t="s">
        <v>15</v>
      </c>
      <c r="K1322">
        <v>0</v>
      </c>
      <c r="L1322">
        <v>0</v>
      </c>
    </row>
    <row r="1323" spans="1:12" x14ac:dyDescent="0.3">
      <c r="A1323" t="s">
        <v>1339</v>
      </c>
      <c r="B1323" t="s">
        <v>17</v>
      </c>
      <c r="C1323">
        <v>2298</v>
      </c>
      <c r="D1323">
        <v>36.770000000000003</v>
      </c>
      <c r="E1323">
        <v>6.62</v>
      </c>
      <c r="F1323">
        <f>COUNTIFS(mdr_rate_cleaned!$A$2:$A$10,B1323,mdr_rate_cleaned!$B$2:$B$10,"&lt;"&amp;C1323,mdr_rate_cleaned!$F$2:$F$10,"&gt;="&amp;C1323)</f>
        <v>1</v>
      </c>
      <c r="G1323">
        <v>1.6E-2</v>
      </c>
      <c r="H1323">
        <v>36.770000000000003</v>
      </c>
      <c r="I1323" t="s">
        <v>15</v>
      </c>
      <c r="J1323" t="s">
        <v>15</v>
      </c>
      <c r="K1323">
        <v>6.62</v>
      </c>
      <c r="L1323">
        <v>0</v>
      </c>
    </row>
    <row r="1324" spans="1:12" x14ac:dyDescent="0.3">
      <c r="A1324" t="s">
        <v>1340</v>
      </c>
      <c r="B1324" t="s">
        <v>21</v>
      </c>
      <c r="C1324">
        <v>599</v>
      </c>
      <c r="D1324">
        <v>0</v>
      </c>
      <c r="E1324">
        <v>0</v>
      </c>
      <c r="F1324">
        <f>COUNTIFS(mdr_rate_cleaned!$A$2:$A$10,B1324,mdr_rate_cleaned!$B$2:$B$10,"&lt;"&amp;C1324,mdr_rate_cleaned!$F$2:$F$10,"&gt;="&amp;C1324)</f>
        <v>1</v>
      </c>
      <c r="G1324">
        <v>0</v>
      </c>
      <c r="H1324">
        <v>0</v>
      </c>
      <c r="I1324" t="s">
        <v>15</v>
      </c>
      <c r="J1324" t="s">
        <v>15</v>
      </c>
      <c r="K1324">
        <v>0</v>
      </c>
      <c r="L1324">
        <v>0</v>
      </c>
    </row>
    <row r="1325" spans="1:12" x14ac:dyDescent="0.3">
      <c r="A1325" t="s">
        <v>1341</v>
      </c>
      <c r="B1325" t="s">
        <v>17</v>
      </c>
      <c r="C1325">
        <v>8348</v>
      </c>
      <c r="D1325">
        <v>133.57</v>
      </c>
      <c r="E1325">
        <v>24.04</v>
      </c>
      <c r="F1325">
        <f>COUNTIFS(mdr_rate_cleaned!$A$2:$A$10,B1325,mdr_rate_cleaned!$B$2:$B$10,"&lt;"&amp;C1325,mdr_rate_cleaned!$F$2:$F$10,"&gt;="&amp;C1325)</f>
        <v>1</v>
      </c>
      <c r="G1325">
        <v>1.6E-2</v>
      </c>
      <c r="H1325">
        <v>133.57</v>
      </c>
      <c r="I1325" t="s">
        <v>15</v>
      </c>
      <c r="J1325" t="s">
        <v>15</v>
      </c>
      <c r="K1325">
        <v>24.04</v>
      </c>
      <c r="L1325">
        <v>0</v>
      </c>
    </row>
    <row r="1326" spans="1:12" x14ac:dyDescent="0.3">
      <c r="A1326" t="s">
        <v>1342</v>
      </c>
      <c r="B1326" t="s">
        <v>21</v>
      </c>
      <c r="C1326">
        <v>7999</v>
      </c>
      <c r="D1326">
        <v>24</v>
      </c>
      <c r="E1326">
        <v>4.32</v>
      </c>
      <c r="F1326">
        <f>COUNTIFS(mdr_rate_cleaned!$A$2:$A$10,B1326,mdr_rate_cleaned!$B$2:$B$10,"&lt;"&amp;C1326,mdr_rate_cleaned!$F$2:$F$10,"&gt;="&amp;C1326)</f>
        <v>1</v>
      </c>
      <c r="G1326">
        <v>3.0000000000000001E-3</v>
      </c>
      <c r="H1326">
        <v>24</v>
      </c>
      <c r="I1326" t="s">
        <v>15</v>
      </c>
      <c r="J1326" t="s">
        <v>15</v>
      </c>
      <c r="K1326">
        <v>4.32</v>
      </c>
      <c r="L1326">
        <v>0</v>
      </c>
    </row>
    <row r="1327" spans="1:12" x14ac:dyDescent="0.3">
      <c r="A1327" t="s">
        <v>1343</v>
      </c>
      <c r="B1327" t="s">
        <v>21</v>
      </c>
      <c r="C1327">
        <v>12997</v>
      </c>
      <c r="D1327">
        <v>38.99</v>
      </c>
      <c r="E1327">
        <v>7.02</v>
      </c>
      <c r="F1327">
        <f>COUNTIFS(mdr_rate_cleaned!$A$2:$A$10,B1327,mdr_rate_cleaned!$B$2:$B$10,"&lt;"&amp;C1327,mdr_rate_cleaned!$F$2:$F$10,"&gt;="&amp;C1327)</f>
        <v>1</v>
      </c>
      <c r="G1327">
        <v>3.0000000000000001E-3</v>
      </c>
      <c r="H1327">
        <v>38.99</v>
      </c>
      <c r="I1327" t="s">
        <v>15</v>
      </c>
      <c r="J1327" t="s">
        <v>15</v>
      </c>
      <c r="K1327">
        <v>7.02</v>
      </c>
      <c r="L1327">
        <v>0</v>
      </c>
    </row>
    <row r="1328" spans="1:12" x14ac:dyDescent="0.3">
      <c r="A1328" t="s">
        <v>1344</v>
      </c>
      <c r="B1328" t="s">
        <v>39</v>
      </c>
      <c r="C1328">
        <v>7999</v>
      </c>
      <c r="D1328">
        <v>95.99</v>
      </c>
      <c r="E1328">
        <v>17.28</v>
      </c>
      <c r="F1328">
        <f>COUNTIFS(mdr_rate_cleaned!$A$2:$A$10,B1328,mdr_rate_cleaned!$B$2:$B$10,"&lt;"&amp;C1328,mdr_rate_cleaned!$F$2:$F$10,"&gt;="&amp;C1328)</f>
        <v>1</v>
      </c>
      <c r="G1328">
        <v>1.2E-2</v>
      </c>
      <c r="H1328">
        <v>95.99</v>
      </c>
      <c r="I1328" t="s">
        <v>15</v>
      </c>
      <c r="J1328" t="s">
        <v>15</v>
      </c>
      <c r="K1328">
        <v>17.28</v>
      </c>
      <c r="L1328">
        <v>0</v>
      </c>
    </row>
    <row r="1329" spans="1:12" x14ac:dyDescent="0.3">
      <c r="A1329" t="s">
        <v>1345</v>
      </c>
      <c r="B1329" t="s">
        <v>39</v>
      </c>
      <c r="C1329">
        <v>9998</v>
      </c>
      <c r="D1329">
        <v>119.98</v>
      </c>
      <c r="E1329">
        <v>21.6</v>
      </c>
      <c r="F1329">
        <f>COUNTIFS(mdr_rate_cleaned!$A$2:$A$10,B1329,mdr_rate_cleaned!$B$2:$B$10,"&lt;"&amp;C1329,mdr_rate_cleaned!$F$2:$F$10,"&gt;="&amp;C1329)</f>
        <v>1</v>
      </c>
      <c r="G1329">
        <v>1.2E-2</v>
      </c>
      <c r="H1329">
        <v>119.98</v>
      </c>
      <c r="I1329" t="s">
        <v>15</v>
      </c>
      <c r="J1329" t="s">
        <v>15</v>
      </c>
      <c r="K1329">
        <v>21.6</v>
      </c>
      <c r="L1329">
        <v>0</v>
      </c>
    </row>
    <row r="1330" spans="1:12" x14ac:dyDescent="0.3">
      <c r="A1330" t="s">
        <v>1346</v>
      </c>
      <c r="B1330" t="s">
        <v>21</v>
      </c>
      <c r="C1330">
        <v>3499</v>
      </c>
      <c r="D1330">
        <v>10.5</v>
      </c>
      <c r="E1330">
        <v>1.89</v>
      </c>
      <c r="F1330">
        <f>COUNTIFS(mdr_rate_cleaned!$A$2:$A$10,B1330,mdr_rate_cleaned!$B$2:$B$10,"&lt;"&amp;C1330,mdr_rate_cleaned!$F$2:$F$10,"&gt;="&amp;C1330)</f>
        <v>1</v>
      </c>
      <c r="G1330">
        <v>3.0000000000000001E-3</v>
      </c>
      <c r="H1330">
        <v>10.5</v>
      </c>
      <c r="I1330" t="s">
        <v>15</v>
      </c>
      <c r="J1330" t="s">
        <v>15</v>
      </c>
      <c r="K1330">
        <v>1.89</v>
      </c>
      <c r="L1330">
        <v>0</v>
      </c>
    </row>
    <row r="1331" spans="1:12" x14ac:dyDescent="0.3">
      <c r="A1331" t="s">
        <v>1347</v>
      </c>
      <c r="B1331" t="s">
        <v>17</v>
      </c>
      <c r="C1331">
        <v>1998</v>
      </c>
      <c r="D1331">
        <v>35.96</v>
      </c>
      <c r="E1331">
        <v>6.47</v>
      </c>
      <c r="F1331">
        <f>COUNTIFS(mdr_rate_cleaned!$A$2:$A$10,B1331,mdr_rate_cleaned!$B$2:$B$10,"&lt;"&amp;C1331,mdr_rate_cleaned!$F$2:$F$10,"&gt;="&amp;C1331)</f>
        <v>1</v>
      </c>
      <c r="G1331">
        <v>1.7999999999999999E-2</v>
      </c>
      <c r="H1331">
        <v>35.96</v>
      </c>
      <c r="I1331" t="s">
        <v>15</v>
      </c>
      <c r="J1331" t="s">
        <v>15</v>
      </c>
      <c r="K1331">
        <v>6.47</v>
      </c>
      <c r="L1331">
        <v>0</v>
      </c>
    </row>
    <row r="1332" spans="1:12" x14ac:dyDescent="0.3">
      <c r="A1332" t="s">
        <v>1348</v>
      </c>
      <c r="B1332" t="s">
        <v>21</v>
      </c>
      <c r="C1332">
        <v>1499</v>
      </c>
      <c r="D1332">
        <v>0</v>
      </c>
      <c r="E1332">
        <v>0</v>
      </c>
      <c r="F1332">
        <f>COUNTIFS(mdr_rate_cleaned!$A$2:$A$10,B1332,mdr_rate_cleaned!$B$2:$B$10,"&lt;"&amp;C1332,mdr_rate_cleaned!$F$2:$F$10,"&gt;="&amp;C1332)</f>
        <v>1</v>
      </c>
      <c r="G1332">
        <v>0</v>
      </c>
      <c r="H1332">
        <v>0</v>
      </c>
      <c r="I1332" t="s">
        <v>15</v>
      </c>
      <c r="J1332" t="s">
        <v>15</v>
      </c>
      <c r="K1332">
        <v>0</v>
      </c>
      <c r="L1332">
        <v>0</v>
      </c>
    </row>
    <row r="1333" spans="1:12" x14ac:dyDescent="0.3">
      <c r="A1333" t="s">
        <v>1349</v>
      </c>
      <c r="B1333" t="s">
        <v>21</v>
      </c>
      <c r="C1333">
        <v>2999</v>
      </c>
      <c r="D1333">
        <v>9</v>
      </c>
      <c r="E1333">
        <v>1.62</v>
      </c>
      <c r="F1333">
        <f>COUNTIFS(mdr_rate_cleaned!$A$2:$A$10,B1333,mdr_rate_cleaned!$B$2:$B$10,"&lt;"&amp;C1333,mdr_rate_cleaned!$F$2:$F$10,"&gt;="&amp;C1333)</f>
        <v>1</v>
      </c>
      <c r="G1333">
        <v>3.0000000000000001E-3</v>
      </c>
      <c r="H1333">
        <v>9</v>
      </c>
      <c r="I1333" t="s">
        <v>15</v>
      </c>
      <c r="J1333" t="s">
        <v>15</v>
      </c>
      <c r="K1333">
        <v>1.62</v>
      </c>
      <c r="L1333">
        <v>0</v>
      </c>
    </row>
    <row r="1334" spans="1:12" x14ac:dyDescent="0.3">
      <c r="A1334" t="s">
        <v>1350</v>
      </c>
      <c r="B1334" t="s">
        <v>21</v>
      </c>
      <c r="C1334">
        <v>1299</v>
      </c>
      <c r="D1334">
        <v>0</v>
      </c>
      <c r="E1334">
        <v>0</v>
      </c>
      <c r="F1334">
        <f>COUNTIFS(mdr_rate_cleaned!$A$2:$A$10,B1334,mdr_rate_cleaned!$B$2:$B$10,"&lt;"&amp;C1334,mdr_rate_cleaned!$F$2:$F$10,"&gt;="&amp;C1334)</f>
        <v>1</v>
      </c>
      <c r="G1334">
        <v>0</v>
      </c>
      <c r="H1334">
        <v>0</v>
      </c>
      <c r="I1334" t="s">
        <v>15</v>
      </c>
      <c r="J1334" t="s">
        <v>15</v>
      </c>
      <c r="K1334">
        <v>0</v>
      </c>
      <c r="L1334">
        <v>0</v>
      </c>
    </row>
    <row r="1335" spans="1:12" x14ac:dyDescent="0.3">
      <c r="A1335" t="s">
        <v>1351</v>
      </c>
      <c r="B1335" t="s">
        <v>21</v>
      </c>
      <c r="C1335">
        <v>799</v>
      </c>
      <c r="D1335">
        <v>0</v>
      </c>
      <c r="E1335">
        <v>0</v>
      </c>
      <c r="F1335">
        <f>COUNTIFS(mdr_rate_cleaned!$A$2:$A$10,B1335,mdr_rate_cleaned!$B$2:$B$10,"&lt;"&amp;C1335,mdr_rate_cleaned!$F$2:$F$10,"&gt;="&amp;C1335)</f>
        <v>1</v>
      </c>
      <c r="G1335">
        <v>0</v>
      </c>
      <c r="H1335">
        <v>0</v>
      </c>
      <c r="I1335" t="s">
        <v>15</v>
      </c>
      <c r="J1335" t="s">
        <v>15</v>
      </c>
      <c r="K1335">
        <v>0</v>
      </c>
      <c r="L1335">
        <v>0</v>
      </c>
    </row>
    <row r="1336" spans="1:12" x14ac:dyDescent="0.3">
      <c r="A1336" t="s">
        <v>1352</v>
      </c>
      <c r="B1336" t="s">
        <v>21</v>
      </c>
      <c r="C1336">
        <v>7998</v>
      </c>
      <c r="D1336">
        <v>23.99</v>
      </c>
      <c r="E1336">
        <v>4.32</v>
      </c>
      <c r="F1336">
        <f>COUNTIFS(mdr_rate_cleaned!$A$2:$A$10,B1336,mdr_rate_cleaned!$B$2:$B$10,"&lt;"&amp;C1336,mdr_rate_cleaned!$F$2:$F$10,"&gt;="&amp;C1336)</f>
        <v>1</v>
      </c>
      <c r="G1336">
        <v>3.0000000000000001E-3</v>
      </c>
      <c r="H1336">
        <v>23.99</v>
      </c>
      <c r="I1336" t="s">
        <v>15</v>
      </c>
      <c r="J1336" t="s">
        <v>15</v>
      </c>
      <c r="K1336">
        <v>4.32</v>
      </c>
      <c r="L1336">
        <v>0</v>
      </c>
    </row>
    <row r="1337" spans="1:12" x14ac:dyDescent="0.3">
      <c r="A1337" t="s">
        <v>1353</v>
      </c>
      <c r="B1337" t="s">
        <v>13</v>
      </c>
      <c r="C1337">
        <v>4998</v>
      </c>
      <c r="D1337">
        <v>84.97</v>
      </c>
      <c r="E1337">
        <v>15.29</v>
      </c>
      <c r="F1337">
        <f>COUNTIFS(mdr_rate_cleaned!$A$2:$A$10,B1337,mdr_rate_cleaned!$B$2:$B$10,"&lt;"&amp;C1337,mdr_rate_cleaned!$F$2:$F$10,"&gt;="&amp;C1337)</f>
        <v>1</v>
      </c>
      <c r="G1337">
        <v>1.7000000000000001E-2</v>
      </c>
      <c r="H1337">
        <v>84.97</v>
      </c>
      <c r="I1337" t="s">
        <v>15</v>
      </c>
      <c r="J1337" t="s">
        <v>15</v>
      </c>
      <c r="K1337">
        <v>15.29</v>
      </c>
      <c r="L1337">
        <v>0</v>
      </c>
    </row>
    <row r="1338" spans="1:12" x14ac:dyDescent="0.3">
      <c r="A1338" t="s">
        <v>1354</v>
      </c>
      <c r="B1338" t="s">
        <v>21</v>
      </c>
      <c r="C1338">
        <v>8998</v>
      </c>
      <c r="D1338">
        <v>26.99</v>
      </c>
      <c r="E1338">
        <v>4.8600000000000003</v>
      </c>
      <c r="F1338">
        <f>COUNTIFS(mdr_rate_cleaned!$A$2:$A$10,B1338,mdr_rate_cleaned!$B$2:$B$10,"&lt;"&amp;C1338,mdr_rate_cleaned!$F$2:$F$10,"&gt;="&amp;C1338)</f>
        <v>1</v>
      </c>
      <c r="G1338">
        <v>3.0000000000000001E-3</v>
      </c>
      <c r="H1338">
        <v>26.99</v>
      </c>
      <c r="I1338" t="s">
        <v>15</v>
      </c>
      <c r="J1338" t="s">
        <v>15</v>
      </c>
      <c r="K1338">
        <v>4.8600000000000003</v>
      </c>
      <c r="L1338">
        <v>0</v>
      </c>
    </row>
    <row r="1339" spans="1:12" x14ac:dyDescent="0.3">
      <c r="A1339" t="s">
        <v>1355</v>
      </c>
      <c r="B1339" t="s">
        <v>39</v>
      </c>
      <c r="C1339">
        <v>3098</v>
      </c>
      <c r="D1339">
        <v>37.18</v>
      </c>
      <c r="E1339">
        <v>6.69</v>
      </c>
      <c r="F1339">
        <f>COUNTIFS(mdr_rate_cleaned!$A$2:$A$10,B1339,mdr_rate_cleaned!$B$2:$B$10,"&lt;"&amp;C1339,mdr_rate_cleaned!$F$2:$F$10,"&gt;="&amp;C1339)</f>
        <v>1</v>
      </c>
      <c r="G1339">
        <v>1.2E-2</v>
      </c>
      <c r="H1339">
        <v>37.18</v>
      </c>
      <c r="I1339" t="s">
        <v>15</v>
      </c>
      <c r="J1339" t="s">
        <v>15</v>
      </c>
      <c r="K1339">
        <v>6.69</v>
      </c>
      <c r="L1339">
        <v>0</v>
      </c>
    </row>
    <row r="1340" spans="1:12" x14ac:dyDescent="0.3">
      <c r="A1340" t="s">
        <v>1356</v>
      </c>
      <c r="B1340" t="s">
        <v>17</v>
      </c>
      <c r="C1340">
        <v>5498</v>
      </c>
      <c r="D1340">
        <v>87.97</v>
      </c>
      <c r="E1340">
        <v>15.83</v>
      </c>
      <c r="F1340">
        <f>COUNTIFS(mdr_rate_cleaned!$A$2:$A$10,B1340,mdr_rate_cleaned!$B$2:$B$10,"&lt;"&amp;C1340,mdr_rate_cleaned!$F$2:$F$10,"&gt;="&amp;C1340)</f>
        <v>1</v>
      </c>
      <c r="G1340">
        <v>1.6E-2</v>
      </c>
      <c r="H1340">
        <v>87.97</v>
      </c>
      <c r="I1340" t="s">
        <v>15</v>
      </c>
      <c r="J1340" t="s">
        <v>15</v>
      </c>
      <c r="K1340">
        <v>15.83</v>
      </c>
      <c r="L1340">
        <v>0</v>
      </c>
    </row>
    <row r="1341" spans="1:12" x14ac:dyDescent="0.3">
      <c r="A1341" t="s">
        <v>1357</v>
      </c>
      <c r="B1341" t="s">
        <v>17</v>
      </c>
      <c r="C1341">
        <v>4097</v>
      </c>
      <c r="D1341">
        <v>65.55</v>
      </c>
      <c r="E1341">
        <v>11.8</v>
      </c>
      <c r="F1341">
        <f>COUNTIFS(mdr_rate_cleaned!$A$2:$A$10,B1341,mdr_rate_cleaned!$B$2:$B$10,"&lt;"&amp;C1341,mdr_rate_cleaned!$F$2:$F$10,"&gt;="&amp;C1341)</f>
        <v>1</v>
      </c>
      <c r="G1341">
        <v>1.6E-2</v>
      </c>
      <c r="H1341">
        <v>65.55</v>
      </c>
      <c r="I1341" t="s">
        <v>15</v>
      </c>
      <c r="J1341" t="s">
        <v>15</v>
      </c>
      <c r="K1341">
        <v>11.8</v>
      </c>
      <c r="L1341">
        <v>0</v>
      </c>
    </row>
    <row r="1342" spans="1:12" x14ac:dyDescent="0.3">
      <c r="A1342" t="s">
        <v>1358</v>
      </c>
      <c r="B1342" t="s">
        <v>17</v>
      </c>
      <c r="C1342">
        <v>4999</v>
      </c>
      <c r="D1342">
        <v>79.98</v>
      </c>
      <c r="E1342">
        <v>14.4</v>
      </c>
      <c r="F1342">
        <f>COUNTIFS(mdr_rate_cleaned!$A$2:$A$10,B1342,mdr_rate_cleaned!$B$2:$B$10,"&lt;"&amp;C1342,mdr_rate_cleaned!$F$2:$F$10,"&gt;="&amp;C1342)</f>
        <v>1</v>
      </c>
      <c r="G1342">
        <v>1.6E-2</v>
      </c>
      <c r="H1342">
        <v>79.98</v>
      </c>
      <c r="I1342" t="s">
        <v>15</v>
      </c>
      <c r="J1342" t="s">
        <v>15</v>
      </c>
      <c r="K1342">
        <v>14.4</v>
      </c>
      <c r="L1342">
        <v>0</v>
      </c>
    </row>
    <row r="1343" spans="1:12" x14ac:dyDescent="0.3">
      <c r="A1343" t="s">
        <v>1359</v>
      </c>
      <c r="B1343" t="s">
        <v>17</v>
      </c>
      <c r="C1343">
        <v>798</v>
      </c>
      <c r="D1343">
        <v>14.36</v>
      </c>
      <c r="E1343">
        <v>2.58</v>
      </c>
      <c r="F1343">
        <f>COUNTIFS(mdr_rate_cleaned!$A$2:$A$10,B1343,mdr_rate_cleaned!$B$2:$B$10,"&lt;"&amp;C1343,mdr_rate_cleaned!$F$2:$F$10,"&gt;="&amp;C1343)</f>
        <v>1</v>
      </c>
      <c r="G1343">
        <v>1.7999999999999999E-2</v>
      </c>
      <c r="H1343">
        <v>14.36</v>
      </c>
      <c r="I1343" t="s">
        <v>15</v>
      </c>
      <c r="J1343" t="s">
        <v>15</v>
      </c>
      <c r="K1343">
        <v>2.58</v>
      </c>
      <c r="L1343">
        <v>0</v>
      </c>
    </row>
    <row r="1344" spans="1:12" x14ac:dyDescent="0.3">
      <c r="A1344" t="s">
        <v>1360</v>
      </c>
      <c r="B1344" t="s">
        <v>21</v>
      </c>
      <c r="C1344">
        <v>3098</v>
      </c>
      <c r="D1344">
        <v>9.2899999999999991</v>
      </c>
      <c r="E1344">
        <v>1.67</v>
      </c>
      <c r="F1344">
        <f>COUNTIFS(mdr_rate_cleaned!$A$2:$A$10,B1344,mdr_rate_cleaned!$B$2:$B$10,"&lt;"&amp;C1344,mdr_rate_cleaned!$F$2:$F$10,"&gt;="&amp;C1344)</f>
        <v>1</v>
      </c>
      <c r="G1344">
        <v>3.0000000000000001E-3</v>
      </c>
      <c r="H1344">
        <v>9.2899999999999991</v>
      </c>
      <c r="I1344" t="s">
        <v>15</v>
      </c>
      <c r="J1344" t="s">
        <v>15</v>
      </c>
      <c r="K1344">
        <v>1.67</v>
      </c>
      <c r="L1344">
        <v>0</v>
      </c>
    </row>
    <row r="1345" spans="1:12" x14ac:dyDescent="0.3">
      <c r="A1345" t="s">
        <v>1361</v>
      </c>
      <c r="B1345" t="s">
        <v>13</v>
      </c>
      <c r="C1345">
        <v>2999</v>
      </c>
      <c r="D1345">
        <v>50.98</v>
      </c>
      <c r="E1345">
        <v>9.18</v>
      </c>
      <c r="F1345">
        <f>COUNTIFS(mdr_rate_cleaned!$A$2:$A$10,B1345,mdr_rate_cleaned!$B$2:$B$10,"&lt;"&amp;C1345,mdr_rate_cleaned!$F$2:$F$10,"&gt;="&amp;C1345)</f>
        <v>1</v>
      </c>
      <c r="G1345">
        <v>1.7000000000000001E-2</v>
      </c>
      <c r="H1345">
        <v>50.98</v>
      </c>
      <c r="I1345" t="s">
        <v>15</v>
      </c>
      <c r="J1345" t="s">
        <v>15</v>
      </c>
      <c r="K1345">
        <v>9.18</v>
      </c>
      <c r="L1345">
        <v>0</v>
      </c>
    </row>
    <row r="1346" spans="1:12" x14ac:dyDescent="0.3">
      <c r="A1346" t="s">
        <v>1362</v>
      </c>
      <c r="B1346" t="s">
        <v>39</v>
      </c>
      <c r="C1346">
        <v>15998</v>
      </c>
      <c r="D1346">
        <v>143.97999999999999</v>
      </c>
      <c r="E1346">
        <v>25.92</v>
      </c>
      <c r="F1346">
        <f>COUNTIFS(mdr_rate_cleaned!$A$2:$A$10,B1346,mdr_rate_cleaned!$B$2:$B$10,"&lt;"&amp;C1346,mdr_rate_cleaned!$F$2:$F$10,"&gt;="&amp;C1346)</f>
        <v>1</v>
      </c>
      <c r="G1346">
        <v>8.9999999999999993E-3</v>
      </c>
      <c r="H1346">
        <v>143.97999999999999</v>
      </c>
      <c r="I1346" t="s">
        <v>15</v>
      </c>
      <c r="J1346" t="s">
        <v>15</v>
      </c>
      <c r="K1346">
        <v>25.92</v>
      </c>
      <c r="L1346">
        <v>0</v>
      </c>
    </row>
    <row r="1347" spans="1:12" x14ac:dyDescent="0.3">
      <c r="A1347" t="s">
        <v>1363</v>
      </c>
      <c r="B1347" t="s">
        <v>13</v>
      </c>
      <c r="C1347">
        <v>4997</v>
      </c>
      <c r="D1347">
        <v>84.95</v>
      </c>
      <c r="E1347">
        <v>15.29</v>
      </c>
      <c r="F1347">
        <f>COUNTIFS(mdr_rate_cleaned!$A$2:$A$10,B1347,mdr_rate_cleaned!$B$2:$B$10,"&lt;"&amp;C1347,mdr_rate_cleaned!$F$2:$F$10,"&gt;="&amp;C1347)</f>
        <v>1</v>
      </c>
      <c r="G1347">
        <v>1.7000000000000001E-2</v>
      </c>
      <c r="H1347">
        <v>84.95</v>
      </c>
      <c r="I1347" t="s">
        <v>15</v>
      </c>
      <c r="J1347" t="s">
        <v>15</v>
      </c>
      <c r="K1347">
        <v>15.29</v>
      </c>
      <c r="L1347">
        <v>0</v>
      </c>
    </row>
    <row r="1348" spans="1:12" x14ac:dyDescent="0.3">
      <c r="A1348" t="s">
        <v>1364</v>
      </c>
      <c r="B1348" t="s">
        <v>39</v>
      </c>
      <c r="C1348">
        <v>4999</v>
      </c>
      <c r="D1348">
        <v>59.99</v>
      </c>
      <c r="E1348">
        <v>10.8</v>
      </c>
      <c r="F1348">
        <f>COUNTIFS(mdr_rate_cleaned!$A$2:$A$10,B1348,mdr_rate_cleaned!$B$2:$B$10,"&lt;"&amp;C1348,mdr_rate_cleaned!$F$2:$F$10,"&gt;="&amp;C1348)</f>
        <v>1</v>
      </c>
      <c r="G1348">
        <v>1.2E-2</v>
      </c>
      <c r="H1348">
        <v>59.99</v>
      </c>
      <c r="I1348" t="s">
        <v>15</v>
      </c>
      <c r="J1348" t="s">
        <v>15</v>
      </c>
      <c r="K1348">
        <v>10.8</v>
      </c>
      <c r="L1348">
        <v>0</v>
      </c>
    </row>
    <row r="1349" spans="1:12" x14ac:dyDescent="0.3">
      <c r="A1349" t="s">
        <v>1365</v>
      </c>
      <c r="B1349" t="s">
        <v>21</v>
      </c>
      <c r="C1349">
        <v>8997</v>
      </c>
      <c r="D1349">
        <v>26.99</v>
      </c>
      <c r="E1349">
        <v>4.8600000000000003</v>
      </c>
      <c r="F1349">
        <f>COUNTIFS(mdr_rate_cleaned!$A$2:$A$10,B1349,mdr_rate_cleaned!$B$2:$B$10,"&lt;"&amp;C1349,mdr_rate_cleaned!$F$2:$F$10,"&gt;="&amp;C1349)</f>
        <v>1</v>
      </c>
      <c r="G1349">
        <v>3.0000000000000001E-3</v>
      </c>
      <c r="H1349">
        <v>26.99</v>
      </c>
      <c r="I1349" t="s">
        <v>15</v>
      </c>
      <c r="J1349" t="s">
        <v>15</v>
      </c>
      <c r="K1349">
        <v>4.8600000000000003</v>
      </c>
      <c r="L1349">
        <v>0</v>
      </c>
    </row>
    <row r="1350" spans="1:12" x14ac:dyDescent="0.3">
      <c r="A1350" t="s">
        <v>1366</v>
      </c>
      <c r="B1350" t="s">
        <v>21</v>
      </c>
      <c r="C1350">
        <v>12297</v>
      </c>
      <c r="D1350">
        <v>36.89</v>
      </c>
      <c r="E1350">
        <v>6.64</v>
      </c>
      <c r="F1350">
        <f>COUNTIFS(mdr_rate_cleaned!$A$2:$A$10,B1350,mdr_rate_cleaned!$B$2:$B$10,"&lt;"&amp;C1350,mdr_rate_cleaned!$F$2:$F$10,"&gt;="&amp;C1350)</f>
        <v>1</v>
      </c>
      <c r="G1350">
        <v>3.0000000000000001E-3</v>
      </c>
      <c r="H1350">
        <v>36.89</v>
      </c>
      <c r="I1350" t="s">
        <v>15</v>
      </c>
      <c r="J1350" t="s">
        <v>15</v>
      </c>
      <c r="K1350">
        <v>6.64</v>
      </c>
      <c r="L1350">
        <v>0</v>
      </c>
    </row>
    <row r="1351" spans="1:12" x14ac:dyDescent="0.3">
      <c r="A1351" t="s">
        <v>1367</v>
      </c>
      <c r="B1351" t="s">
        <v>17</v>
      </c>
      <c r="C1351">
        <v>1499</v>
      </c>
      <c r="D1351">
        <v>26.98</v>
      </c>
      <c r="E1351">
        <v>4.8600000000000003</v>
      </c>
      <c r="F1351">
        <f>COUNTIFS(mdr_rate_cleaned!$A$2:$A$10,B1351,mdr_rate_cleaned!$B$2:$B$10,"&lt;"&amp;C1351,mdr_rate_cleaned!$F$2:$F$10,"&gt;="&amp;C1351)</f>
        <v>1</v>
      </c>
      <c r="G1351">
        <v>1.7999999999999999E-2</v>
      </c>
      <c r="H1351">
        <v>26.98</v>
      </c>
      <c r="I1351" t="s">
        <v>15</v>
      </c>
      <c r="J1351" t="s">
        <v>15</v>
      </c>
      <c r="K1351">
        <v>4.8600000000000003</v>
      </c>
      <c r="L1351">
        <v>0</v>
      </c>
    </row>
    <row r="1352" spans="1:12" x14ac:dyDescent="0.3">
      <c r="A1352" t="s">
        <v>1368</v>
      </c>
      <c r="B1352" t="s">
        <v>21</v>
      </c>
      <c r="C1352">
        <v>848</v>
      </c>
      <c r="D1352">
        <v>0</v>
      </c>
      <c r="E1352">
        <v>0</v>
      </c>
      <c r="F1352">
        <f>COUNTIFS(mdr_rate_cleaned!$A$2:$A$10,B1352,mdr_rate_cleaned!$B$2:$B$10,"&lt;"&amp;C1352,mdr_rate_cleaned!$F$2:$F$10,"&gt;="&amp;C1352)</f>
        <v>1</v>
      </c>
      <c r="G1352">
        <v>0</v>
      </c>
      <c r="H1352">
        <v>0</v>
      </c>
      <c r="I1352" t="s">
        <v>15</v>
      </c>
      <c r="J1352" t="s">
        <v>15</v>
      </c>
      <c r="K1352">
        <v>0</v>
      </c>
      <c r="L1352">
        <v>0</v>
      </c>
    </row>
    <row r="1353" spans="1:12" x14ac:dyDescent="0.3">
      <c r="A1353" t="s">
        <v>1369</v>
      </c>
      <c r="B1353" t="s">
        <v>17</v>
      </c>
      <c r="C1353">
        <v>6798</v>
      </c>
      <c r="D1353">
        <v>108.77</v>
      </c>
      <c r="E1353">
        <v>19.579999999999998</v>
      </c>
      <c r="F1353">
        <f>COUNTIFS(mdr_rate_cleaned!$A$2:$A$10,B1353,mdr_rate_cleaned!$B$2:$B$10,"&lt;"&amp;C1353,mdr_rate_cleaned!$F$2:$F$10,"&gt;="&amp;C1353)</f>
        <v>1</v>
      </c>
      <c r="G1353">
        <v>1.6E-2</v>
      </c>
      <c r="H1353">
        <v>108.77</v>
      </c>
      <c r="I1353" t="s">
        <v>15</v>
      </c>
      <c r="J1353" t="s">
        <v>15</v>
      </c>
      <c r="K1353">
        <v>19.579999999999998</v>
      </c>
      <c r="L1353">
        <v>0</v>
      </c>
    </row>
    <row r="1354" spans="1:12" x14ac:dyDescent="0.3">
      <c r="A1354" t="s">
        <v>1370</v>
      </c>
      <c r="B1354" t="s">
        <v>17</v>
      </c>
      <c r="C1354">
        <v>2999</v>
      </c>
      <c r="D1354">
        <v>47.98</v>
      </c>
      <c r="E1354">
        <v>8.64</v>
      </c>
      <c r="F1354">
        <f>COUNTIFS(mdr_rate_cleaned!$A$2:$A$10,B1354,mdr_rate_cleaned!$B$2:$B$10,"&lt;"&amp;C1354,mdr_rate_cleaned!$F$2:$F$10,"&gt;="&amp;C1354)</f>
        <v>1</v>
      </c>
      <c r="G1354">
        <v>1.6E-2</v>
      </c>
      <c r="H1354">
        <v>47.98</v>
      </c>
      <c r="I1354" t="s">
        <v>15</v>
      </c>
      <c r="J1354" t="s">
        <v>15</v>
      </c>
      <c r="K1354">
        <v>8.64</v>
      </c>
      <c r="L1354">
        <v>0</v>
      </c>
    </row>
    <row r="1355" spans="1:12" x14ac:dyDescent="0.3">
      <c r="A1355" t="s">
        <v>1371</v>
      </c>
      <c r="B1355" t="s">
        <v>21</v>
      </c>
      <c r="C1355">
        <v>3499</v>
      </c>
      <c r="D1355">
        <v>10.5</v>
      </c>
      <c r="E1355">
        <v>1.89</v>
      </c>
      <c r="F1355">
        <f>COUNTIFS(mdr_rate_cleaned!$A$2:$A$10,B1355,mdr_rate_cleaned!$B$2:$B$10,"&lt;"&amp;C1355,mdr_rate_cleaned!$F$2:$F$10,"&gt;="&amp;C1355)</f>
        <v>1</v>
      </c>
      <c r="G1355">
        <v>3.0000000000000001E-3</v>
      </c>
      <c r="H1355">
        <v>10.5</v>
      </c>
      <c r="I1355" t="s">
        <v>15</v>
      </c>
      <c r="J1355" t="s">
        <v>15</v>
      </c>
      <c r="K1355">
        <v>1.89</v>
      </c>
      <c r="L1355">
        <v>0</v>
      </c>
    </row>
    <row r="1356" spans="1:12" x14ac:dyDescent="0.3">
      <c r="A1356" t="s">
        <v>1372</v>
      </c>
      <c r="B1356" t="s">
        <v>13</v>
      </c>
      <c r="C1356">
        <v>3347</v>
      </c>
      <c r="D1356">
        <v>56.9</v>
      </c>
      <c r="E1356">
        <v>10.24</v>
      </c>
      <c r="F1356">
        <f>COUNTIFS(mdr_rate_cleaned!$A$2:$A$10,B1356,mdr_rate_cleaned!$B$2:$B$10,"&lt;"&amp;C1356,mdr_rate_cleaned!$F$2:$F$10,"&gt;="&amp;C1356)</f>
        <v>1</v>
      </c>
      <c r="G1356">
        <v>1.7000000000000001E-2</v>
      </c>
      <c r="H1356">
        <v>56.9</v>
      </c>
      <c r="I1356" t="s">
        <v>15</v>
      </c>
      <c r="J1356" t="s">
        <v>15</v>
      </c>
      <c r="K1356">
        <v>10.24</v>
      </c>
      <c r="L1356">
        <v>0</v>
      </c>
    </row>
    <row r="1357" spans="1:12" x14ac:dyDescent="0.3">
      <c r="A1357" t="s">
        <v>1373</v>
      </c>
      <c r="B1357" t="s">
        <v>13</v>
      </c>
      <c r="C1357">
        <v>3098</v>
      </c>
      <c r="D1357">
        <v>52.67</v>
      </c>
      <c r="E1357">
        <v>9.48</v>
      </c>
      <c r="F1357">
        <f>COUNTIFS(mdr_rate_cleaned!$A$2:$A$10,B1357,mdr_rate_cleaned!$B$2:$B$10,"&lt;"&amp;C1357,mdr_rate_cleaned!$F$2:$F$10,"&gt;="&amp;C1357)</f>
        <v>1</v>
      </c>
      <c r="G1357">
        <v>1.7000000000000001E-2</v>
      </c>
      <c r="H1357">
        <v>52.67</v>
      </c>
      <c r="I1357" t="s">
        <v>15</v>
      </c>
      <c r="J1357" t="s">
        <v>15</v>
      </c>
      <c r="K1357">
        <v>9.48</v>
      </c>
      <c r="L1357">
        <v>0</v>
      </c>
    </row>
    <row r="1358" spans="1:12" x14ac:dyDescent="0.3">
      <c r="A1358" t="s">
        <v>1374</v>
      </c>
      <c r="B1358" t="s">
        <v>21</v>
      </c>
      <c r="C1358">
        <v>2998</v>
      </c>
      <c r="D1358">
        <v>8.99</v>
      </c>
      <c r="E1358">
        <v>1.62</v>
      </c>
      <c r="F1358">
        <f>COUNTIFS(mdr_rate_cleaned!$A$2:$A$10,B1358,mdr_rate_cleaned!$B$2:$B$10,"&lt;"&amp;C1358,mdr_rate_cleaned!$F$2:$F$10,"&gt;="&amp;C1358)</f>
        <v>1</v>
      </c>
      <c r="G1358">
        <v>3.0000000000000001E-3</v>
      </c>
      <c r="H1358">
        <v>8.99</v>
      </c>
      <c r="I1358" t="s">
        <v>15</v>
      </c>
      <c r="J1358" t="s">
        <v>15</v>
      </c>
      <c r="K1358">
        <v>1.62</v>
      </c>
      <c r="L1358">
        <v>0</v>
      </c>
    </row>
    <row r="1359" spans="1:12" x14ac:dyDescent="0.3">
      <c r="A1359" t="s">
        <v>1375</v>
      </c>
      <c r="B1359" t="s">
        <v>21</v>
      </c>
      <c r="C1359">
        <v>349</v>
      </c>
      <c r="D1359">
        <v>0</v>
      </c>
      <c r="E1359">
        <v>0</v>
      </c>
      <c r="F1359">
        <f>COUNTIFS(mdr_rate_cleaned!$A$2:$A$10,B1359,mdr_rate_cleaned!$B$2:$B$10,"&lt;"&amp;C1359,mdr_rate_cleaned!$F$2:$F$10,"&gt;="&amp;C1359)</f>
        <v>1</v>
      </c>
      <c r="G1359">
        <v>0</v>
      </c>
      <c r="H1359">
        <v>0</v>
      </c>
      <c r="I1359" t="s">
        <v>15</v>
      </c>
      <c r="J1359" t="s">
        <v>15</v>
      </c>
      <c r="K1359">
        <v>0</v>
      </c>
      <c r="L1359">
        <v>0</v>
      </c>
    </row>
    <row r="1360" spans="1:12" x14ac:dyDescent="0.3">
      <c r="A1360" t="s">
        <v>1376</v>
      </c>
      <c r="B1360" t="s">
        <v>21</v>
      </c>
      <c r="C1360">
        <v>1798</v>
      </c>
      <c r="D1360">
        <v>0</v>
      </c>
      <c r="E1360">
        <v>0</v>
      </c>
      <c r="F1360">
        <f>COUNTIFS(mdr_rate_cleaned!$A$2:$A$10,B1360,mdr_rate_cleaned!$B$2:$B$10,"&lt;"&amp;C1360,mdr_rate_cleaned!$F$2:$F$10,"&gt;="&amp;C1360)</f>
        <v>1</v>
      </c>
      <c r="G1360">
        <v>0</v>
      </c>
      <c r="H1360">
        <v>0</v>
      </c>
      <c r="I1360" t="s">
        <v>15</v>
      </c>
      <c r="J1360" t="s">
        <v>15</v>
      </c>
      <c r="K1360">
        <v>0</v>
      </c>
      <c r="L1360">
        <v>0</v>
      </c>
    </row>
    <row r="1361" spans="1:12" x14ac:dyDescent="0.3">
      <c r="A1361" t="s">
        <v>1377</v>
      </c>
      <c r="B1361" t="s">
        <v>21</v>
      </c>
      <c r="C1361">
        <v>11498</v>
      </c>
      <c r="D1361">
        <v>34.49</v>
      </c>
      <c r="E1361">
        <v>6.21</v>
      </c>
      <c r="F1361">
        <f>COUNTIFS(mdr_rate_cleaned!$A$2:$A$10,B1361,mdr_rate_cleaned!$B$2:$B$10,"&lt;"&amp;C1361,mdr_rate_cleaned!$F$2:$F$10,"&gt;="&amp;C1361)</f>
        <v>1</v>
      </c>
      <c r="G1361">
        <v>3.0000000000000001E-3</v>
      </c>
      <c r="H1361">
        <v>34.49</v>
      </c>
      <c r="I1361" t="s">
        <v>15</v>
      </c>
      <c r="J1361" t="s">
        <v>15</v>
      </c>
      <c r="K1361">
        <v>6.21</v>
      </c>
      <c r="L1361">
        <v>0</v>
      </c>
    </row>
    <row r="1362" spans="1:12" x14ac:dyDescent="0.3">
      <c r="A1362" t="s">
        <v>1378</v>
      </c>
      <c r="B1362" t="s">
        <v>21</v>
      </c>
      <c r="C1362">
        <v>2498</v>
      </c>
      <c r="D1362">
        <v>7.49</v>
      </c>
      <c r="E1362">
        <v>1.35</v>
      </c>
      <c r="F1362">
        <f>COUNTIFS(mdr_rate_cleaned!$A$2:$A$10,B1362,mdr_rate_cleaned!$B$2:$B$10,"&lt;"&amp;C1362,mdr_rate_cleaned!$F$2:$F$10,"&gt;="&amp;C1362)</f>
        <v>1</v>
      </c>
      <c r="G1362">
        <v>3.0000000000000001E-3</v>
      </c>
      <c r="H1362">
        <v>7.49</v>
      </c>
      <c r="I1362" t="s">
        <v>15</v>
      </c>
      <c r="J1362" t="s">
        <v>15</v>
      </c>
      <c r="K1362">
        <v>1.35</v>
      </c>
      <c r="L1362">
        <v>0</v>
      </c>
    </row>
    <row r="1363" spans="1:12" x14ac:dyDescent="0.3">
      <c r="A1363" t="s">
        <v>1379</v>
      </c>
      <c r="B1363" t="s">
        <v>21</v>
      </c>
      <c r="C1363">
        <v>2499</v>
      </c>
      <c r="D1363">
        <v>7.5</v>
      </c>
      <c r="E1363">
        <v>1.35</v>
      </c>
      <c r="F1363">
        <f>COUNTIFS(mdr_rate_cleaned!$A$2:$A$10,B1363,mdr_rate_cleaned!$B$2:$B$10,"&lt;"&amp;C1363,mdr_rate_cleaned!$F$2:$F$10,"&gt;="&amp;C1363)</f>
        <v>1</v>
      </c>
      <c r="G1363">
        <v>3.0000000000000001E-3</v>
      </c>
      <c r="H1363">
        <v>7.5</v>
      </c>
      <c r="I1363" t="s">
        <v>15</v>
      </c>
      <c r="J1363" t="s">
        <v>15</v>
      </c>
      <c r="K1363">
        <v>1.35</v>
      </c>
      <c r="L1363">
        <v>0</v>
      </c>
    </row>
    <row r="1364" spans="1:12" x14ac:dyDescent="0.3">
      <c r="A1364" t="s">
        <v>1380</v>
      </c>
      <c r="B1364" t="s">
        <v>21</v>
      </c>
      <c r="C1364">
        <v>1447</v>
      </c>
      <c r="D1364">
        <v>0</v>
      </c>
      <c r="E1364">
        <v>0</v>
      </c>
      <c r="F1364">
        <f>COUNTIFS(mdr_rate_cleaned!$A$2:$A$10,B1364,mdr_rate_cleaned!$B$2:$B$10,"&lt;"&amp;C1364,mdr_rate_cleaned!$F$2:$F$10,"&gt;="&amp;C1364)</f>
        <v>1</v>
      </c>
      <c r="G1364">
        <v>0</v>
      </c>
      <c r="H1364">
        <v>0</v>
      </c>
      <c r="I1364" t="s">
        <v>15</v>
      </c>
      <c r="J1364" t="s">
        <v>15</v>
      </c>
      <c r="K1364">
        <v>0</v>
      </c>
      <c r="L1364">
        <v>0</v>
      </c>
    </row>
    <row r="1365" spans="1:12" x14ac:dyDescent="0.3">
      <c r="A1365" t="s">
        <v>1381</v>
      </c>
      <c r="B1365" t="s">
        <v>21</v>
      </c>
      <c r="C1365">
        <v>299</v>
      </c>
      <c r="D1365">
        <v>0</v>
      </c>
      <c r="E1365">
        <v>0</v>
      </c>
      <c r="F1365">
        <f>COUNTIFS(mdr_rate_cleaned!$A$2:$A$10,B1365,mdr_rate_cleaned!$B$2:$B$10,"&lt;"&amp;C1365,mdr_rate_cleaned!$F$2:$F$10,"&gt;="&amp;C1365)</f>
        <v>1</v>
      </c>
      <c r="G1365">
        <v>0</v>
      </c>
      <c r="H1365">
        <v>0</v>
      </c>
      <c r="I1365" t="s">
        <v>15</v>
      </c>
      <c r="J1365" t="s">
        <v>15</v>
      </c>
      <c r="K1365">
        <v>0</v>
      </c>
      <c r="L1365">
        <v>0</v>
      </c>
    </row>
    <row r="1366" spans="1:12" x14ac:dyDescent="0.3">
      <c r="A1366" t="s">
        <v>1382</v>
      </c>
      <c r="B1366" t="s">
        <v>17</v>
      </c>
      <c r="C1366">
        <v>3598</v>
      </c>
      <c r="D1366">
        <v>57.57</v>
      </c>
      <c r="E1366">
        <v>10.36</v>
      </c>
      <c r="F1366">
        <f>COUNTIFS(mdr_rate_cleaned!$A$2:$A$10,B1366,mdr_rate_cleaned!$B$2:$B$10,"&lt;"&amp;C1366,mdr_rate_cleaned!$F$2:$F$10,"&gt;="&amp;C1366)</f>
        <v>1</v>
      </c>
      <c r="G1366">
        <v>1.6E-2</v>
      </c>
      <c r="H1366">
        <v>57.57</v>
      </c>
      <c r="I1366" t="s">
        <v>15</v>
      </c>
      <c r="J1366" t="s">
        <v>15</v>
      </c>
      <c r="K1366">
        <v>10.36</v>
      </c>
      <c r="L1366">
        <v>0</v>
      </c>
    </row>
    <row r="1367" spans="1:12" x14ac:dyDescent="0.3">
      <c r="A1367" t="s">
        <v>1383</v>
      </c>
      <c r="B1367" t="s">
        <v>21</v>
      </c>
      <c r="C1367">
        <v>1799</v>
      </c>
      <c r="D1367">
        <v>0</v>
      </c>
      <c r="E1367">
        <v>0</v>
      </c>
      <c r="F1367">
        <f>COUNTIFS(mdr_rate_cleaned!$A$2:$A$10,B1367,mdr_rate_cleaned!$B$2:$B$10,"&lt;"&amp;C1367,mdr_rate_cleaned!$F$2:$F$10,"&gt;="&amp;C1367)</f>
        <v>1</v>
      </c>
      <c r="G1367">
        <v>0</v>
      </c>
      <c r="H1367">
        <v>0</v>
      </c>
      <c r="I1367" t="s">
        <v>15</v>
      </c>
      <c r="J1367" t="s">
        <v>15</v>
      </c>
      <c r="K1367">
        <v>0</v>
      </c>
      <c r="L1367">
        <v>0</v>
      </c>
    </row>
    <row r="1368" spans="1:12" x14ac:dyDescent="0.3">
      <c r="A1368" t="s">
        <v>1384</v>
      </c>
      <c r="B1368" t="s">
        <v>21</v>
      </c>
      <c r="C1368">
        <v>4798</v>
      </c>
      <c r="D1368">
        <v>14.39</v>
      </c>
      <c r="E1368">
        <v>2.59</v>
      </c>
      <c r="F1368">
        <f>COUNTIFS(mdr_rate_cleaned!$A$2:$A$10,B1368,mdr_rate_cleaned!$B$2:$B$10,"&lt;"&amp;C1368,mdr_rate_cleaned!$F$2:$F$10,"&gt;="&amp;C1368)</f>
        <v>1</v>
      </c>
      <c r="G1368">
        <v>3.0000000000000001E-3</v>
      </c>
      <c r="H1368">
        <v>14.39</v>
      </c>
      <c r="I1368" t="s">
        <v>15</v>
      </c>
      <c r="J1368" t="s">
        <v>15</v>
      </c>
      <c r="K1368">
        <v>2.59</v>
      </c>
      <c r="L1368">
        <v>0</v>
      </c>
    </row>
    <row r="1369" spans="1:12" x14ac:dyDescent="0.3">
      <c r="A1369" t="s">
        <v>1385</v>
      </c>
      <c r="B1369" t="s">
        <v>17</v>
      </c>
      <c r="C1369">
        <v>3798</v>
      </c>
      <c r="D1369">
        <v>60.77</v>
      </c>
      <c r="E1369">
        <v>10.94</v>
      </c>
      <c r="F1369">
        <f>COUNTIFS(mdr_rate_cleaned!$A$2:$A$10,B1369,mdr_rate_cleaned!$B$2:$B$10,"&lt;"&amp;C1369,mdr_rate_cleaned!$F$2:$F$10,"&gt;="&amp;C1369)</f>
        <v>1</v>
      </c>
      <c r="G1369">
        <v>1.6E-2</v>
      </c>
      <c r="H1369">
        <v>60.77</v>
      </c>
      <c r="I1369" t="s">
        <v>15</v>
      </c>
      <c r="J1369" t="s">
        <v>15</v>
      </c>
      <c r="K1369">
        <v>10.94</v>
      </c>
      <c r="L1369">
        <v>0</v>
      </c>
    </row>
    <row r="1370" spans="1:12" x14ac:dyDescent="0.3">
      <c r="A1370" t="s">
        <v>1386</v>
      </c>
      <c r="B1370" t="s">
        <v>39</v>
      </c>
      <c r="C1370">
        <v>5998</v>
      </c>
      <c r="D1370">
        <v>71.98</v>
      </c>
      <c r="E1370">
        <v>12.96</v>
      </c>
      <c r="F1370">
        <f>COUNTIFS(mdr_rate_cleaned!$A$2:$A$10,B1370,mdr_rate_cleaned!$B$2:$B$10,"&lt;"&amp;C1370,mdr_rate_cleaned!$F$2:$F$10,"&gt;="&amp;C1370)</f>
        <v>1</v>
      </c>
      <c r="G1370">
        <v>1.2E-2</v>
      </c>
      <c r="H1370">
        <v>71.98</v>
      </c>
      <c r="I1370" t="s">
        <v>15</v>
      </c>
      <c r="J1370" t="s">
        <v>15</v>
      </c>
      <c r="K1370">
        <v>12.96</v>
      </c>
      <c r="L1370">
        <v>0</v>
      </c>
    </row>
    <row r="1371" spans="1:12" x14ac:dyDescent="0.3">
      <c r="A1371" t="s">
        <v>1387</v>
      </c>
      <c r="B1371" t="s">
        <v>17</v>
      </c>
      <c r="C1371">
        <v>7999</v>
      </c>
      <c r="D1371">
        <v>127.98</v>
      </c>
      <c r="E1371">
        <v>23.04</v>
      </c>
      <c r="F1371">
        <f>COUNTIFS(mdr_rate_cleaned!$A$2:$A$10,B1371,mdr_rate_cleaned!$B$2:$B$10,"&lt;"&amp;C1371,mdr_rate_cleaned!$F$2:$F$10,"&gt;="&amp;C1371)</f>
        <v>1</v>
      </c>
      <c r="G1371">
        <v>1.6E-2</v>
      </c>
      <c r="H1371">
        <v>127.98</v>
      </c>
      <c r="I1371" t="s">
        <v>15</v>
      </c>
      <c r="J1371" t="s">
        <v>15</v>
      </c>
      <c r="K1371">
        <v>23.04</v>
      </c>
      <c r="L1371">
        <v>0</v>
      </c>
    </row>
    <row r="1372" spans="1:12" x14ac:dyDescent="0.3">
      <c r="A1372" t="s">
        <v>1388</v>
      </c>
      <c r="B1372" t="s">
        <v>21</v>
      </c>
      <c r="C1372">
        <v>4097</v>
      </c>
      <c r="D1372">
        <v>12.29</v>
      </c>
      <c r="E1372">
        <v>2.21</v>
      </c>
      <c r="F1372">
        <f>COUNTIFS(mdr_rate_cleaned!$A$2:$A$10,B1372,mdr_rate_cleaned!$B$2:$B$10,"&lt;"&amp;C1372,mdr_rate_cleaned!$F$2:$F$10,"&gt;="&amp;C1372)</f>
        <v>1</v>
      </c>
      <c r="G1372">
        <v>3.0000000000000001E-3</v>
      </c>
      <c r="H1372">
        <v>12.29</v>
      </c>
      <c r="I1372" t="s">
        <v>15</v>
      </c>
      <c r="J1372" t="s">
        <v>15</v>
      </c>
      <c r="K1372">
        <v>2.21</v>
      </c>
      <c r="L1372">
        <v>0</v>
      </c>
    </row>
    <row r="1373" spans="1:12" x14ac:dyDescent="0.3">
      <c r="A1373" t="s">
        <v>1389</v>
      </c>
      <c r="B1373" t="s">
        <v>21</v>
      </c>
      <c r="C1373">
        <v>2497</v>
      </c>
      <c r="D1373">
        <v>7.49</v>
      </c>
      <c r="E1373">
        <v>1.35</v>
      </c>
      <c r="F1373">
        <f>COUNTIFS(mdr_rate_cleaned!$A$2:$A$10,B1373,mdr_rate_cleaned!$B$2:$B$10,"&lt;"&amp;C1373,mdr_rate_cleaned!$F$2:$F$10,"&gt;="&amp;C1373)</f>
        <v>1</v>
      </c>
      <c r="G1373">
        <v>3.0000000000000001E-3</v>
      </c>
      <c r="H1373">
        <v>7.49</v>
      </c>
      <c r="I1373" t="s">
        <v>15</v>
      </c>
      <c r="J1373" t="s">
        <v>15</v>
      </c>
      <c r="K1373">
        <v>1.35</v>
      </c>
      <c r="L1373">
        <v>0</v>
      </c>
    </row>
    <row r="1374" spans="1:12" x14ac:dyDescent="0.3">
      <c r="A1374" t="s">
        <v>1390</v>
      </c>
      <c r="B1374" t="s">
        <v>13</v>
      </c>
      <c r="C1374">
        <v>10998</v>
      </c>
      <c r="D1374">
        <v>186.97</v>
      </c>
      <c r="E1374">
        <v>33.65</v>
      </c>
      <c r="F1374">
        <f>COUNTIFS(mdr_rate_cleaned!$A$2:$A$10,B1374,mdr_rate_cleaned!$B$2:$B$10,"&lt;"&amp;C1374,mdr_rate_cleaned!$F$2:$F$10,"&gt;="&amp;C1374)</f>
        <v>1</v>
      </c>
      <c r="G1374">
        <v>1.7000000000000001E-2</v>
      </c>
      <c r="H1374">
        <v>186.97</v>
      </c>
      <c r="I1374" t="s">
        <v>15</v>
      </c>
      <c r="J1374" t="s">
        <v>15</v>
      </c>
      <c r="K1374">
        <v>33.65</v>
      </c>
      <c r="L1374">
        <v>0</v>
      </c>
    </row>
    <row r="1375" spans="1:12" x14ac:dyDescent="0.3">
      <c r="A1375" t="s">
        <v>1391</v>
      </c>
      <c r="B1375" t="s">
        <v>13</v>
      </c>
      <c r="C1375">
        <v>5798</v>
      </c>
      <c r="D1375">
        <v>98.57</v>
      </c>
      <c r="E1375">
        <v>17.739999999999998</v>
      </c>
      <c r="F1375">
        <f>COUNTIFS(mdr_rate_cleaned!$A$2:$A$10,B1375,mdr_rate_cleaned!$B$2:$B$10,"&lt;"&amp;C1375,mdr_rate_cleaned!$F$2:$F$10,"&gt;="&amp;C1375)</f>
        <v>1</v>
      </c>
      <c r="G1375">
        <v>1.7000000000000001E-2</v>
      </c>
      <c r="H1375">
        <v>98.57</v>
      </c>
      <c r="I1375" t="s">
        <v>15</v>
      </c>
      <c r="J1375" t="s">
        <v>15</v>
      </c>
      <c r="K1375">
        <v>17.739999999999998</v>
      </c>
      <c r="L1375">
        <v>0</v>
      </c>
    </row>
    <row r="1376" spans="1:12" x14ac:dyDescent="0.3">
      <c r="A1376" t="s">
        <v>1392</v>
      </c>
      <c r="B1376" t="s">
        <v>21</v>
      </c>
      <c r="C1376">
        <v>10097</v>
      </c>
      <c r="D1376">
        <v>30.29</v>
      </c>
      <c r="E1376">
        <v>5.45</v>
      </c>
      <c r="F1376">
        <f>COUNTIFS(mdr_rate_cleaned!$A$2:$A$10,B1376,mdr_rate_cleaned!$B$2:$B$10,"&lt;"&amp;C1376,mdr_rate_cleaned!$F$2:$F$10,"&gt;="&amp;C1376)</f>
        <v>1</v>
      </c>
      <c r="G1376">
        <v>3.0000000000000001E-3</v>
      </c>
      <c r="H1376">
        <v>30.29</v>
      </c>
      <c r="I1376" t="s">
        <v>15</v>
      </c>
      <c r="J1376" t="s">
        <v>15</v>
      </c>
      <c r="K1376">
        <v>5.45</v>
      </c>
      <c r="L1376">
        <v>0</v>
      </c>
    </row>
    <row r="1377" spans="1:12" x14ac:dyDescent="0.3">
      <c r="A1377" t="s">
        <v>1393</v>
      </c>
      <c r="B1377" t="s">
        <v>17</v>
      </c>
      <c r="C1377">
        <v>999</v>
      </c>
      <c r="D1377">
        <v>17.98</v>
      </c>
      <c r="E1377">
        <v>3.24</v>
      </c>
      <c r="F1377">
        <f>COUNTIFS(mdr_rate_cleaned!$A$2:$A$10,B1377,mdr_rate_cleaned!$B$2:$B$10,"&lt;"&amp;C1377,mdr_rate_cleaned!$F$2:$F$10,"&gt;="&amp;C1377)</f>
        <v>1</v>
      </c>
      <c r="G1377">
        <v>1.7999999999999999E-2</v>
      </c>
      <c r="H1377">
        <v>17.98</v>
      </c>
      <c r="I1377" t="s">
        <v>15</v>
      </c>
      <c r="J1377" t="s">
        <v>15</v>
      </c>
      <c r="K1377">
        <v>3.24</v>
      </c>
      <c r="L1377">
        <v>0</v>
      </c>
    </row>
    <row r="1378" spans="1:12" x14ac:dyDescent="0.3">
      <c r="A1378" t="s">
        <v>1394</v>
      </c>
      <c r="B1378" t="s">
        <v>21</v>
      </c>
      <c r="C1378">
        <v>5998</v>
      </c>
      <c r="D1378">
        <v>17.989999999999998</v>
      </c>
      <c r="E1378">
        <v>3.24</v>
      </c>
      <c r="F1378">
        <f>COUNTIFS(mdr_rate_cleaned!$A$2:$A$10,B1378,mdr_rate_cleaned!$B$2:$B$10,"&lt;"&amp;C1378,mdr_rate_cleaned!$F$2:$F$10,"&gt;="&amp;C1378)</f>
        <v>1</v>
      </c>
      <c r="G1378">
        <v>3.0000000000000001E-3</v>
      </c>
      <c r="H1378">
        <v>17.989999999999998</v>
      </c>
      <c r="I1378" t="s">
        <v>15</v>
      </c>
      <c r="J1378" t="s">
        <v>15</v>
      </c>
      <c r="K1378">
        <v>3.24</v>
      </c>
      <c r="L1378">
        <v>0</v>
      </c>
    </row>
    <row r="1379" spans="1:12" x14ac:dyDescent="0.3">
      <c r="A1379" t="s">
        <v>1395</v>
      </c>
      <c r="B1379" t="s">
        <v>17</v>
      </c>
      <c r="C1379">
        <v>4999</v>
      </c>
      <c r="D1379">
        <v>79.98</v>
      </c>
      <c r="E1379">
        <v>14.4</v>
      </c>
      <c r="F1379">
        <f>COUNTIFS(mdr_rate_cleaned!$A$2:$A$10,B1379,mdr_rate_cleaned!$B$2:$B$10,"&lt;"&amp;C1379,mdr_rate_cleaned!$F$2:$F$10,"&gt;="&amp;C1379)</f>
        <v>1</v>
      </c>
      <c r="G1379">
        <v>1.6E-2</v>
      </c>
      <c r="H1379">
        <v>79.98</v>
      </c>
      <c r="I1379" t="s">
        <v>15</v>
      </c>
      <c r="J1379" t="s">
        <v>15</v>
      </c>
      <c r="K1379">
        <v>14.4</v>
      </c>
      <c r="L1379">
        <v>0</v>
      </c>
    </row>
    <row r="1380" spans="1:12" x14ac:dyDescent="0.3">
      <c r="A1380" t="s">
        <v>1396</v>
      </c>
      <c r="B1380" t="s">
        <v>21</v>
      </c>
      <c r="C1380">
        <v>4999</v>
      </c>
      <c r="D1380">
        <v>15</v>
      </c>
      <c r="E1380">
        <v>2.7</v>
      </c>
      <c r="F1380">
        <f>COUNTIFS(mdr_rate_cleaned!$A$2:$A$10,B1380,mdr_rate_cleaned!$B$2:$B$10,"&lt;"&amp;C1380,mdr_rate_cleaned!$F$2:$F$10,"&gt;="&amp;C1380)</f>
        <v>1</v>
      </c>
      <c r="G1380">
        <v>3.0000000000000001E-3</v>
      </c>
      <c r="H1380">
        <v>15</v>
      </c>
      <c r="I1380" t="s">
        <v>15</v>
      </c>
      <c r="J1380" t="s">
        <v>15</v>
      </c>
      <c r="K1380">
        <v>2.7</v>
      </c>
      <c r="L1380">
        <v>0</v>
      </c>
    </row>
    <row r="1381" spans="1:12" x14ac:dyDescent="0.3">
      <c r="A1381" t="s">
        <v>1397</v>
      </c>
      <c r="B1381" t="s">
        <v>39</v>
      </c>
      <c r="C1381">
        <v>2397</v>
      </c>
      <c r="D1381">
        <v>28.76</v>
      </c>
      <c r="E1381">
        <v>5.18</v>
      </c>
      <c r="F1381">
        <f>COUNTIFS(mdr_rate_cleaned!$A$2:$A$10,B1381,mdr_rate_cleaned!$B$2:$B$10,"&lt;"&amp;C1381,mdr_rate_cleaned!$F$2:$F$10,"&gt;="&amp;C1381)</f>
        <v>1</v>
      </c>
      <c r="G1381">
        <v>1.2E-2</v>
      </c>
      <c r="H1381">
        <v>28.76</v>
      </c>
      <c r="I1381" t="s">
        <v>15</v>
      </c>
      <c r="J1381" t="s">
        <v>15</v>
      </c>
      <c r="K1381">
        <v>5.18</v>
      </c>
      <c r="L1381">
        <v>0</v>
      </c>
    </row>
    <row r="1382" spans="1:12" x14ac:dyDescent="0.3">
      <c r="A1382" t="s">
        <v>1398</v>
      </c>
      <c r="B1382" t="s">
        <v>39</v>
      </c>
      <c r="C1382">
        <v>11498</v>
      </c>
      <c r="D1382">
        <v>103.48</v>
      </c>
      <c r="E1382">
        <v>18.63</v>
      </c>
      <c r="F1382">
        <f>COUNTIFS(mdr_rate_cleaned!$A$2:$A$10,B1382,mdr_rate_cleaned!$B$2:$B$10,"&lt;"&amp;C1382,mdr_rate_cleaned!$F$2:$F$10,"&gt;="&amp;C1382)</f>
        <v>1</v>
      </c>
      <c r="G1382">
        <v>8.9999999999999993E-3</v>
      </c>
      <c r="H1382">
        <v>103.48</v>
      </c>
      <c r="I1382" t="s">
        <v>15</v>
      </c>
      <c r="J1382" t="s">
        <v>15</v>
      </c>
      <c r="K1382">
        <v>18.63</v>
      </c>
      <c r="L1382">
        <v>0</v>
      </c>
    </row>
    <row r="1383" spans="1:12" x14ac:dyDescent="0.3">
      <c r="A1383" t="s">
        <v>1399</v>
      </c>
      <c r="B1383" t="s">
        <v>21</v>
      </c>
      <c r="C1383">
        <v>3499</v>
      </c>
      <c r="D1383">
        <v>10.5</v>
      </c>
      <c r="E1383">
        <v>1.89</v>
      </c>
      <c r="F1383">
        <f>COUNTIFS(mdr_rate_cleaned!$A$2:$A$10,B1383,mdr_rate_cleaned!$B$2:$B$10,"&lt;"&amp;C1383,mdr_rate_cleaned!$F$2:$F$10,"&gt;="&amp;C1383)</f>
        <v>1</v>
      </c>
      <c r="G1383">
        <v>3.0000000000000001E-3</v>
      </c>
      <c r="H1383">
        <v>10.5</v>
      </c>
      <c r="I1383" t="s">
        <v>15</v>
      </c>
      <c r="J1383" t="s">
        <v>15</v>
      </c>
      <c r="K1383">
        <v>1.89</v>
      </c>
      <c r="L1383">
        <v>0</v>
      </c>
    </row>
    <row r="1384" spans="1:12" x14ac:dyDescent="0.3">
      <c r="A1384" t="s">
        <v>1400</v>
      </c>
      <c r="B1384" t="s">
        <v>21</v>
      </c>
      <c r="C1384">
        <v>1299</v>
      </c>
      <c r="D1384">
        <v>0</v>
      </c>
      <c r="E1384">
        <v>0</v>
      </c>
      <c r="F1384">
        <f>COUNTIFS(mdr_rate_cleaned!$A$2:$A$10,B1384,mdr_rate_cleaned!$B$2:$B$10,"&lt;"&amp;C1384,mdr_rate_cleaned!$F$2:$F$10,"&gt;="&amp;C1384)</f>
        <v>1</v>
      </c>
      <c r="G1384">
        <v>0</v>
      </c>
      <c r="H1384">
        <v>0</v>
      </c>
      <c r="I1384" t="s">
        <v>15</v>
      </c>
      <c r="J1384" t="s">
        <v>15</v>
      </c>
      <c r="K1384">
        <v>0</v>
      </c>
      <c r="L1384">
        <v>0</v>
      </c>
    </row>
    <row r="1385" spans="1:12" x14ac:dyDescent="0.3">
      <c r="A1385" t="s">
        <v>1401</v>
      </c>
      <c r="B1385" t="s">
        <v>21</v>
      </c>
      <c r="C1385">
        <v>5348</v>
      </c>
      <c r="D1385">
        <v>16.04</v>
      </c>
      <c r="E1385">
        <v>2.89</v>
      </c>
      <c r="F1385">
        <f>COUNTIFS(mdr_rate_cleaned!$A$2:$A$10,B1385,mdr_rate_cleaned!$B$2:$B$10,"&lt;"&amp;C1385,mdr_rate_cleaned!$F$2:$F$10,"&gt;="&amp;C1385)</f>
        <v>1</v>
      </c>
      <c r="G1385">
        <v>3.0000000000000001E-3</v>
      </c>
      <c r="H1385">
        <v>16.04</v>
      </c>
      <c r="I1385" t="s">
        <v>15</v>
      </c>
      <c r="J1385" t="s">
        <v>15</v>
      </c>
      <c r="K1385">
        <v>2.89</v>
      </c>
      <c r="L1385">
        <v>0</v>
      </c>
    </row>
    <row r="1386" spans="1:12" x14ac:dyDescent="0.3">
      <c r="A1386" t="s">
        <v>1402</v>
      </c>
      <c r="B1386" t="s">
        <v>17</v>
      </c>
      <c r="C1386">
        <v>2999</v>
      </c>
      <c r="D1386">
        <v>47.98</v>
      </c>
      <c r="E1386">
        <v>8.64</v>
      </c>
      <c r="F1386">
        <f>COUNTIFS(mdr_rate_cleaned!$A$2:$A$10,B1386,mdr_rate_cleaned!$B$2:$B$10,"&lt;"&amp;C1386,mdr_rate_cleaned!$F$2:$F$10,"&gt;="&amp;C1386)</f>
        <v>1</v>
      </c>
      <c r="G1386">
        <v>1.6E-2</v>
      </c>
      <c r="H1386">
        <v>47.98</v>
      </c>
      <c r="I1386" t="s">
        <v>15</v>
      </c>
      <c r="J1386" t="s">
        <v>15</v>
      </c>
      <c r="K1386">
        <v>8.64</v>
      </c>
      <c r="L1386">
        <v>0</v>
      </c>
    </row>
    <row r="1387" spans="1:12" x14ac:dyDescent="0.3">
      <c r="A1387" t="s">
        <v>1403</v>
      </c>
      <c r="B1387" t="s">
        <v>13</v>
      </c>
      <c r="C1387">
        <v>7999</v>
      </c>
      <c r="D1387">
        <v>135.97999999999999</v>
      </c>
      <c r="E1387">
        <v>24.48</v>
      </c>
      <c r="F1387">
        <f>COUNTIFS(mdr_rate_cleaned!$A$2:$A$10,B1387,mdr_rate_cleaned!$B$2:$B$10,"&lt;"&amp;C1387,mdr_rate_cleaned!$F$2:$F$10,"&gt;="&amp;C1387)</f>
        <v>1</v>
      </c>
      <c r="G1387">
        <v>1.7000000000000001E-2</v>
      </c>
      <c r="H1387">
        <v>135.97999999999999</v>
      </c>
      <c r="I1387" t="s">
        <v>15</v>
      </c>
      <c r="J1387" t="s">
        <v>15</v>
      </c>
      <c r="K1387">
        <v>24.48</v>
      </c>
      <c r="L1387">
        <v>0</v>
      </c>
    </row>
    <row r="1388" spans="1:12" x14ac:dyDescent="0.3">
      <c r="A1388" t="s">
        <v>1404</v>
      </c>
      <c r="B1388" t="s">
        <v>17</v>
      </c>
      <c r="C1388">
        <v>2999</v>
      </c>
      <c r="D1388">
        <v>47.98</v>
      </c>
      <c r="E1388">
        <v>8.64</v>
      </c>
      <c r="F1388">
        <f>COUNTIFS(mdr_rate_cleaned!$A$2:$A$10,B1388,mdr_rate_cleaned!$B$2:$B$10,"&lt;"&amp;C1388,mdr_rate_cleaned!$F$2:$F$10,"&gt;="&amp;C1388)</f>
        <v>1</v>
      </c>
      <c r="G1388">
        <v>1.6E-2</v>
      </c>
      <c r="H1388">
        <v>47.98</v>
      </c>
      <c r="I1388" t="s">
        <v>15</v>
      </c>
      <c r="J1388" t="s">
        <v>15</v>
      </c>
      <c r="K1388">
        <v>8.64</v>
      </c>
      <c r="L1388">
        <v>0</v>
      </c>
    </row>
    <row r="1389" spans="1:12" x14ac:dyDescent="0.3">
      <c r="A1389" t="s">
        <v>1405</v>
      </c>
      <c r="B1389" t="s">
        <v>21</v>
      </c>
      <c r="C1389">
        <v>2597</v>
      </c>
      <c r="D1389">
        <v>7.79</v>
      </c>
      <c r="E1389">
        <v>1.4</v>
      </c>
      <c r="F1389">
        <f>COUNTIFS(mdr_rate_cleaned!$A$2:$A$10,B1389,mdr_rate_cleaned!$B$2:$B$10,"&lt;"&amp;C1389,mdr_rate_cleaned!$F$2:$F$10,"&gt;="&amp;C1389)</f>
        <v>1</v>
      </c>
      <c r="G1389">
        <v>3.0000000000000001E-3</v>
      </c>
      <c r="H1389">
        <v>7.79</v>
      </c>
      <c r="I1389" t="s">
        <v>15</v>
      </c>
      <c r="J1389" t="s">
        <v>15</v>
      </c>
      <c r="K1389">
        <v>1.4</v>
      </c>
      <c r="L1389">
        <v>0</v>
      </c>
    </row>
    <row r="1390" spans="1:12" x14ac:dyDescent="0.3">
      <c r="A1390" t="s">
        <v>1406</v>
      </c>
      <c r="B1390" t="s">
        <v>21</v>
      </c>
      <c r="C1390">
        <v>4297</v>
      </c>
      <c r="D1390">
        <v>12.89</v>
      </c>
      <c r="E1390">
        <v>2.3199999999999998</v>
      </c>
      <c r="F1390">
        <f>COUNTIFS(mdr_rate_cleaned!$A$2:$A$10,B1390,mdr_rate_cleaned!$B$2:$B$10,"&lt;"&amp;C1390,mdr_rate_cleaned!$F$2:$F$10,"&gt;="&amp;C1390)</f>
        <v>1</v>
      </c>
      <c r="G1390">
        <v>3.0000000000000001E-3</v>
      </c>
      <c r="H1390">
        <v>12.89</v>
      </c>
      <c r="I1390" t="s">
        <v>15</v>
      </c>
      <c r="J1390" t="s">
        <v>15</v>
      </c>
      <c r="K1390">
        <v>2.3199999999999998</v>
      </c>
      <c r="L1390">
        <v>0</v>
      </c>
    </row>
    <row r="1391" spans="1:12" x14ac:dyDescent="0.3">
      <c r="A1391" t="s">
        <v>1407</v>
      </c>
      <c r="B1391" t="s">
        <v>21</v>
      </c>
      <c r="C1391">
        <v>6498</v>
      </c>
      <c r="D1391">
        <v>19.489999999999998</v>
      </c>
      <c r="E1391">
        <v>3.51</v>
      </c>
      <c r="F1391">
        <f>COUNTIFS(mdr_rate_cleaned!$A$2:$A$10,B1391,mdr_rate_cleaned!$B$2:$B$10,"&lt;"&amp;C1391,mdr_rate_cleaned!$F$2:$F$10,"&gt;="&amp;C1391)</f>
        <v>1</v>
      </c>
      <c r="G1391">
        <v>3.0000000000000001E-3</v>
      </c>
      <c r="H1391">
        <v>19.489999999999998</v>
      </c>
      <c r="I1391" t="s">
        <v>15</v>
      </c>
      <c r="J1391" t="s">
        <v>15</v>
      </c>
      <c r="K1391">
        <v>3.51</v>
      </c>
      <c r="L1391">
        <v>0</v>
      </c>
    </row>
    <row r="1392" spans="1:12" x14ac:dyDescent="0.3">
      <c r="A1392" t="s">
        <v>1408</v>
      </c>
      <c r="B1392" t="s">
        <v>21</v>
      </c>
      <c r="C1392">
        <v>1499</v>
      </c>
      <c r="D1392">
        <v>0</v>
      </c>
      <c r="E1392">
        <v>0</v>
      </c>
      <c r="F1392">
        <f>COUNTIFS(mdr_rate_cleaned!$A$2:$A$10,B1392,mdr_rate_cleaned!$B$2:$B$10,"&lt;"&amp;C1392,mdr_rate_cleaned!$F$2:$F$10,"&gt;="&amp;C1392)</f>
        <v>1</v>
      </c>
      <c r="G1392">
        <v>0</v>
      </c>
      <c r="H1392">
        <v>0</v>
      </c>
      <c r="I1392" t="s">
        <v>15</v>
      </c>
      <c r="J1392" t="s">
        <v>15</v>
      </c>
      <c r="K1392">
        <v>0</v>
      </c>
      <c r="L1392">
        <v>0</v>
      </c>
    </row>
    <row r="1393" spans="1:12" x14ac:dyDescent="0.3">
      <c r="A1393" t="s">
        <v>1409</v>
      </c>
      <c r="B1393" t="s">
        <v>21</v>
      </c>
      <c r="C1393">
        <v>1499</v>
      </c>
      <c r="D1393">
        <v>0</v>
      </c>
      <c r="E1393">
        <v>0</v>
      </c>
      <c r="F1393">
        <f>COUNTIFS(mdr_rate_cleaned!$A$2:$A$10,B1393,mdr_rate_cleaned!$B$2:$B$10,"&lt;"&amp;C1393,mdr_rate_cleaned!$F$2:$F$10,"&gt;="&amp;C1393)</f>
        <v>1</v>
      </c>
      <c r="G1393">
        <v>0</v>
      </c>
      <c r="H1393">
        <v>0</v>
      </c>
      <c r="I1393" t="s">
        <v>15</v>
      </c>
      <c r="J1393" t="s">
        <v>15</v>
      </c>
      <c r="K1393">
        <v>0</v>
      </c>
      <c r="L1393">
        <v>0</v>
      </c>
    </row>
    <row r="1394" spans="1:12" x14ac:dyDescent="0.3">
      <c r="A1394" t="s">
        <v>1410</v>
      </c>
      <c r="B1394" t="s">
        <v>21</v>
      </c>
      <c r="C1394">
        <v>799</v>
      </c>
      <c r="D1394">
        <v>0</v>
      </c>
      <c r="E1394">
        <v>0</v>
      </c>
      <c r="F1394">
        <f>COUNTIFS(mdr_rate_cleaned!$A$2:$A$10,B1394,mdr_rate_cleaned!$B$2:$B$10,"&lt;"&amp;C1394,mdr_rate_cleaned!$F$2:$F$10,"&gt;="&amp;C1394)</f>
        <v>1</v>
      </c>
      <c r="G1394">
        <v>0</v>
      </c>
      <c r="H1394">
        <v>0</v>
      </c>
      <c r="I1394" t="s">
        <v>15</v>
      </c>
      <c r="J1394" t="s">
        <v>15</v>
      </c>
      <c r="K1394">
        <v>0</v>
      </c>
      <c r="L1394">
        <v>0</v>
      </c>
    </row>
    <row r="1395" spans="1:12" x14ac:dyDescent="0.3">
      <c r="A1395" t="s">
        <v>1411</v>
      </c>
      <c r="B1395" t="s">
        <v>17</v>
      </c>
      <c r="C1395">
        <v>4999</v>
      </c>
      <c r="D1395">
        <v>79.98</v>
      </c>
      <c r="E1395">
        <v>14.4</v>
      </c>
      <c r="F1395">
        <f>COUNTIFS(mdr_rate_cleaned!$A$2:$A$10,B1395,mdr_rate_cleaned!$B$2:$B$10,"&lt;"&amp;C1395,mdr_rate_cleaned!$F$2:$F$10,"&gt;="&amp;C1395)</f>
        <v>1</v>
      </c>
      <c r="G1395">
        <v>1.6E-2</v>
      </c>
      <c r="H1395">
        <v>79.98</v>
      </c>
      <c r="I1395" t="s">
        <v>15</v>
      </c>
      <c r="J1395" t="s">
        <v>15</v>
      </c>
      <c r="K1395">
        <v>14.4</v>
      </c>
      <c r="L1395">
        <v>0</v>
      </c>
    </row>
    <row r="1396" spans="1:12" x14ac:dyDescent="0.3">
      <c r="A1396" t="s">
        <v>1412</v>
      </c>
      <c r="B1396" t="s">
        <v>13</v>
      </c>
      <c r="C1396">
        <v>5798</v>
      </c>
      <c r="D1396">
        <v>98.57</v>
      </c>
      <c r="E1396">
        <v>17.739999999999998</v>
      </c>
      <c r="F1396">
        <f>COUNTIFS(mdr_rate_cleaned!$A$2:$A$10,B1396,mdr_rate_cleaned!$B$2:$B$10,"&lt;"&amp;C1396,mdr_rate_cleaned!$F$2:$F$10,"&gt;="&amp;C1396)</f>
        <v>1</v>
      </c>
      <c r="G1396">
        <v>1.7000000000000001E-2</v>
      </c>
      <c r="H1396">
        <v>98.57</v>
      </c>
      <c r="I1396" t="s">
        <v>15</v>
      </c>
      <c r="J1396" t="s">
        <v>15</v>
      </c>
      <c r="K1396">
        <v>17.739999999999998</v>
      </c>
      <c r="L1396">
        <v>0</v>
      </c>
    </row>
    <row r="1397" spans="1:12" x14ac:dyDescent="0.3">
      <c r="A1397" t="s">
        <v>1413</v>
      </c>
      <c r="B1397" t="s">
        <v>21</v>
      </c>
      <c r="C1397">
        <v>3998</v>
      </c>
      <c r="D1397">
        <v>11.99</v>
      </c>
      <c r="E1397">
        <v>2.16</v>
      </c>
      <c r="F1397">
        <f>COUNTIFS(mdr_rate_cleaned!$A$2:$A$10,B1397,mdr_rate_cleaned!$B$2:$B$10,"&lt;"&amp;C1397,mdr_rate_cleaned!$F$2:$F$10,"&gt;="&amp;C1397)</f>
        <v>1</v>
      </c>
      <c r="G1397">
        <v>3.0000000000000001E-3</v>
      </c>
      <c r="H1397">
        <v>11.99</v>
      </c>
      <c r="I1397" t="s">
        <v>15</v>
      </c>
      <c r="J1397" t="s">
        <v>15</v>
      </c>
      <c r="K1397">
        <v>2.16</v>
      </c>
      <c r="L1397">
        <v>0</v>
      </c>
    </row>
    <row r="1398" spans="1:12" x14ac:dyDescent="0.3">
      <c r="A1398" t="s">
        <v>1414</v>
      </c>
      <c r="B1398" t="s">
        <v>21</v>
      </c>
      <c r="C1398">
        <v>799</v>
      </c>
      <c r="D1398">
        <v>0</v>
      </c>
      <c r="E1398">
        <v>0</v>
      </c>
      <c r="F1398">
        <f>COUNTIFS(mdr_rate_cleaned!$A$2:$A$10,B1398,mdr_rate_cleaned!$B$2:$B$10,"&lt;"&amp;C1398,mdr_rate_cleaned!$F$2:$F$10,"&gt;="&amp;C1398)</f>
        <v>1</v>
      </c>
      <c r="G1398">
        <v>0</v>
      </c>
      <c r="H1398">
        <v>0</v>
      </c>
      <c r="I1398" t="s">
        <v>15</v>
      </c>
      <c r="J1398" t="s">
        <v>15</v>
      </c>
      <c r="K1398">
        <v>0</v>
      </c>
      <c r="L1398">
        <v>0</v>
      </c>
    </row>
    <row r="1399" spans="1:12" x14ac:dyDescent="0.3">
      <c r="A1399" t="s">
        <v>1415</v>
      </c>
      <c r="B1399" t="s">
        <v>17</v>
      </c>
      <c r="C1399">
        <v>599</v>
      </c>
      <c r="D1399">
        <v>10.78</v>
      </c>
      <c r="E1399">
        <v>1.94</v>
      </c>
      <c r="F1399">
        <f>COUNTIFS(mdr_rate_cleaned!$A$2:$A$10,B1399,mdr_rate_cleaned!$B$2:$B$10,"&lt;"&amp;C1399,mdr_rate_cleaned!$F$2:$F$10,"&gt;="&amp;C1399)</f>
        <v>1</v>
      </c>
      <c r="G1399">
        <v>1.7999999999999999E-2</v>
      </c>
      <c r="H1399">
        <v>10.78</v>
      </c>
      <c r="I1399" t="s">
        <v>15</v>
      </c>
      <c r="J1399" t="s">
        <v>15</v>
      </c>
      <c r="K1399">
        <v>1.94</v>
      </c>
      <c r="L1399">
        <v>0</v>
      </c>
    </row>
    <row r="1400" spans="1:12" x14ac:dyDescent="0.3">
      <c r="A1400" t="s">
        <v>1416</v>
      </c>
      <c r="B1400" t="s">
        <v>17</v>
      </c>
      <c r="C1400">
        <v>2499</v>
      </c>
      <c r="D1400">
        <v>39.979999999999997</v>
      </c>
      <c r="E1400">
        <v>7.2</v>
      </c>
      <c r="F1400">
        <f>COUNTIFS(mdr_rate_cleaned!$A$2:$A$10,B1400,mdr_rate_cleaned!$B$2:$B$10,"&lt;"&amp;C1400,mdr_rate_cleaned!$F$2:$F$10,"&gt;="&amp;C1400)</f>
        <v>1</v>
      </c>
      <c r="G1400">
        <v>1.6E-2</v>
      </c>
      <c r="H1400">
        <v>39.979999999999997</v>
      </c>
      <c r="I1400" t="s">
        <v>15</v>
      </c>
      <c r="J1400" t="s">
        <v>15</v>
      </c>
      <c r="K1400">
        <v>7.2</v>
      </c>
      <c r="L1400">
        <v>0</v>
      </c>
    </row>
    <row r="1401" spans="1:12" x14ac:dyDescent="0.3">
      <c r="A1401" t="s">
        <v>1417</v>
      </c>
      <c r="B1401" t="s">
        <v>21</v>
      </c>
      <c r="C1401">
        <v>6097</v>
      </c>
      <c r="D1401">
        <v>18.29</v>
      </c>
      <c r="E1401">
        <v>3.29</v>
      </c>
      <c r="F1401">
        <f>COUNTIFS(mdr_rate_cleaned!$A$2:$A$10,B1401,mdr_rate_cleaned!$B$2:$B$10,"&lt;"&amp;C1401,mdr_rate_cleaned!$F$2:$F$10,"&gt;="&amp;C1401)</f>
        <v>1</v>
      </c>
      <c r="G1401">
        <v>3.0000000000000001E-3</v>
      </c>
      <c r="H1401">
        <v>18.29</v>
      </c>
      <c r="I1401" t="s">
        <v>15</v>
      </c>
      <c r="J1401" t="s">
        <v>15</v>
      </c>
      <c r="K1401">
        <v>3.29</v>
      </c>
      <c r="L1401">
        <v>0</v>
      </c>
    </row>
    <row r="1402" spans="1:12" x14ac:dyDescent="0.3">
      <c r="A1402" t="s">
        <v>1418</v>
      </c>
      <c r="B1402" t="s">
        <v>21</v>
      </c>
      <c r="C1402">
        <v>2999</v>
      </c>
      <c r="D1402">
        <v>9</v>
      </c>
      <c r="E1402">
        <v>1.62</v>
      </c>
      <c r="F1402">
        <f>COUNTIFS(mdr_rate_cleaned!$A$2:$A$10,B1402,mdr_rate_cleaned!$B$2:$B$10,"&lt;"&amp;C1402,mdr_rate_cleaned!$F$2:$F$10,"&gt;="&amp;C1402)</f>
        <v>1</v>
      </c>
      <c r="G1402">
        <v>3.0000000000000001E-3</v>
      </c>
      <c r="H1402">
        <v>9</v>
      </c>
      <c r="I1402" t="s">
        <v>15</v>
      </c>
      <c r="J1402" t="s">
        <v>15</v>
      </c>
      <c r="K1402">
        <v>1.62</v>
      </c>
      <c r="L1402">
        <v>0</v>
      </c>
    </row>
    <row r="1403" spans="1:12" x14ac:dyDescent="0.3">
      <c r="A1403" t="s">
        <v>1419</v>
      </c>
      <c r="B1403" t="s">
        <v>17</v>
      </c>
      <c r="C1403">
        <v>8298</v>
      </c>
      <c r="D1403">
        <v>132.77000000000001</v>
      </c>
      <c r="E1403">
        <v>23.9</v>
      </c>
      <c r="F1403">
        <f>COUNTIFS(mdr_rate_cleaned!$A$2:$A$10,B1403,mdr_rate_cleaned!$B$2:$B$10,"&lt;"&amp;C1403,mdr_rate_cleaned!$F$2:$F$10,"&gt;="&amp;C1403)</f>
        <v>1</v>
      </c>
      <c r="G1403">
        <v>1.6E-2</v>
      </c>
      <c r="H1403">
        <v>132.77000000000001</v>
      </c>
      <c r="I1403" t="s">
        <v>15</v>
      </c>
      <c r="J1403" t="s">
        <v>15</v>
      </c>
      <c r="K1403">
        <v>23.9</v>
      </c>
      <c r="L1403">
        <v>0</v>
      </c>
    </row>
    <row r="1404" spans="1:12" x14ac:dyDescent="0.3">
      <c r="A1404" t="s">
        <v>1420</v>
      </c>
      <c r="B1404" t="s">
        <v>21</v>
      </c>
      <c r="C1404">
        <v>4998</v>
      </c>
      <c r="D1404">
        <v>14.99</v>
      </c>
      <c r="E1404">
        <v>2.7</v>
      </c>
      <c r="F1404">
        <f>COUNTIFS(mdr_rate_cleaned!$A$2:$A$10,B1404,mdr_rate_cleaned!$B$2:$B$10,"&lt;"&amp;C1404,mdr_rate_cleaned!$F$2:$F$10,"&gt;="&amp;C1404)</f>
        <v>1</v>
      </c>
      <c r="G1404">
        <v>3.0000000000000001E-3</v>
      </c>
      <c r="H1404">
        <v>14.99</v>
      </c>
      <c r="I1404" t="s">
        <v>15</v>
      </c>
      <c r="J1404" t="s">
        <v>15</v>
      </c>
      <c r="K1404">
        <v>2.7</v>
      </c>
      <c r="L1404">
        <v>0</v>
      </c>
    </row>
    <row r="1405" spans="1:12" x14ac:dyDescent="0.3">
      <c r="A1405" t="s">
        <v>1421</v>
      </c>
      <c r="B1405" t="s">
        <v>21</v>
      </c>
      <c r="C1405">
        <v>999</v>
      </c>
      <c r="D1405">
        <v>0</v>
      </c>
      <c r="E1405">
        <v>0</v>
      </c>
      <c r="F1405">
        <f>COUNTIFS(mdr_rate_cleaned!$A$2:$A$10,B1405,mdr_rate_cleaned!$B$2:$B$10,"&lt;"&amp;C1405,mdr_rate_cleaned!$F$2:$F$10,"&gt;="&amp;C1405)</f>
        <v>1</v>
      </c>
      <c r="G1405">
        <v>0</v>
      </c>
      <c r="H1405">
        <v>0</v>
      </c>
      <c r="I1405" t="s">
        <v>15</v>
      </c>
      <c r="J1405" t="s">
        <v>15</v>
      </c>
      <c r="K1405">
        <v>0</v>
      </c>
      <c r="L1405">
        <v>0</v>
      </c>
    </row>
    <row r="1406" spans="1:12" x14ac:dyDescent="0.3">
      <c r="A1406" t="s">
        <v>1422</v>
      </c>
      <c r="B1406" t="s">
        <v>17</v>
      </c>
      <c r="C1406">
        <v>4999</v>
      </c>
      <c r="D1406">
        <v>79.98</v>
      </c>
      <c r="E1406">
        <v>14.4</v>
      </c>
      <c r="F1406">
        <f>COUNTIFS(mdr_rate_cleaned!$A$2:$A$10,B1406,mdr_rate_cleaned!$B$2:$B$10,"&lt;"&amp;C1406,mdr_rate_cleaned!$F$2:$F$10,"&gt;="&amp;C1406)</f>
        <v>1</v>
      </c>
      <c r="G1406">
        <v>1.6E-2</v>
      </c>
      <c r="H1406">
        <v>79.98</v>
      </c>
      <c r="I1406" t="s">
        <v>15</v>
      </c>
      <c r="J1406" t="s">
        <v>15</v>
      </c>
      <c r="K1406">
        <v>14.4</v>
      </c>
      <c r="L1406">
        <v>0</v>
      </c>
    </row>
    <row r="1407" spans="1:12" x14ac:dyDescent="0.3">
      <c r="A1407" t="s">
        <v>1423</v>
      </c>
      <c r="B1407" t="s">
        <v>21</v>
      </c>
      <c r="C1407">
        <v>1499</v>
      </c>
      <c r="D1407">
        <v>0</v>
      </c>
      <c r="E1407">
        <v>0</v>
      </c>
      <c r="F1407">
        <f>COUNTIFS(mdr_rate_cleaned!$A$2:$A$10,B1407,mdr_rate_cleaned!$B$2:$B$10,"&lt;"&amp;C1407,mdr_rate_cleaned!$F$2:$F$10,"&gt;="&amp;C1407)</f>
        <v>1</v>
      </c>
      <c r="G1407">
        <v>0</v>
      </c>
      <c r="H1407">
        <v>0</v>
      </c>
      <c r="I1407" t="s">
        <v>15</v>
      </c>
      <c r="J1407" t="s">
        <v>15</v>
      </c>
      <c r="K1407">
        <v>0</v>
      </c>
      <c r="L1407">
        <v>0</v>
      </c>
    </row>
    <row r="1408" spans="1:12" x14ac:dyDescent="0.3">
      <c r="A1408" t="s">
        <v>1424</v>
      </c>
      <c r="B1408" t="s">
        <v>21</v>
      </c>
      <c r="C1408">
        <v>6797</v>
      </c>
      <c r="D1408">
        <v>20.39</v>
      </c>
      <c r="E1408">
        <v>3.67</v>
      </c>
      <c r="F1408">
        <f>COUNTIFS(mdr_rate_cleaned!$A$2:$A$10,B1408,mdr_rate_cleaned!$B$2:$B$10,"&lt;"&amp;C1408,mdr_rate_cleaned!$F$2:$F$10,"&gt;="&amp;C1408)</f>
        <v>1</v>
      </c>
      <c r="G1408">
        <v>3.0000000000000001E-3</v>
      </c>
      <c r="H1408">
        <v>20.39</v>
      </c>
      <c r="I1408" t="s">
        <v>15</v>
      </c>
      <c r="J1408" t="s">
        <v>15</v>
      </c>
      <c r="K1408">
        <v>3.67</v>
      </c>
      <c r="L1408">
        <v>0</v>
      </c>
    </row>
    <row r="1409" spans="1:12" x14ac:dyDescent="0.3">
      <c r="A1409" t="s">
        <v>1425</v>
      </c>
      <c r="B1409" t="s">
        <v>13</v>
      </c>
      <c r="C1409">
        <v>1798</v>
      </c>
      <c r="D1409">
        <v>34.159999999999997</v>
      </c>
      <c r="E1409">
        <v>6.15</v>
      </c>
      <c r="F1409">
        <f>COUNTIFS(mdr_rate_cleaned!$A$2:$A$10,B1409,mdr_rate_cleaned!$B$2:$B$10,"&lt;"&amp;C1409,mdr_rate_cleaned!$F$2:$F$10,"&gt;="&amp;C1409)</f>
        <v>1</v>
      </c>
      <c r="G1409">
        <v>1.9E-2</v>
      </c>
      <c r="H1409">
        <v>34.159999999999997</v>
      </c>
      <c r="I1409" t="s">
        <v>15</v>
      </c>
      <c r="J1409" t="s">
        <v>15</v>
      </c>
      <c r="K1409">
        <v>6.15</v>
      </c>
      <c r="L1409">
        <v>0</v>
      </c>
    </row>
    <row r="1410" spans="1:12" x14ac:dyDescent="0.3">
      <c r="A1410" t="s">
        <v>1426</v>
      </c>
      <c r="B1410" t="s">
        <v>21</v>
      </c>
      <c r="C1410">
        <v>2447</v>
      </c>
      <c r="D1410">
        <v>7.34</v>
      </c>
      <c r="E1410">
        <v>1.32</v>
      </c>
      <c r="F1410">
        <f>COUNTIFS(mdr_rate_cleaned!$A$2:$A$10,B1410,mdr_rate_cleaned!$B$2:$B$10,"&lt;"&amp;C1410,mdr_rate_cleaned!$F$2:$F$10,"&gt;="&amp;C1410)</f>
        <v>1</v>
      </c>
      <c r="G1410">
        <v>3.0000000000000001E-3</v>
      </c>
      <c r="H1410">
        <v>7.34</v>
      </c>
      <c r="I1410" t="s">
        <v>15</v>
      </c>
      <c r="J1410" t="s">
        <v>15</v>
      </c>
      <c r="K1410">
        <v>1.32</v>
      </c>
      <c r="L1410">
        <v>0</v>
      </c>
    </row>
    <row r="1411" spans="1:12" x14ac:dyDescent="0.3">
      <c r="A1411" t="s">
        <v>1427</v>
      </c>
      <c r="B1411" t="s">
        <v>21</v>
      </c>
      <c r="C1411">
        <v>11347</v>
      </c>
      <c r="D1411">
        <v>34.04</v>
      </c>
      <c r="E1411">
        <v>6.13</v>
      </c>
      <c r="F1411">
        <f>COUNTIFS(mdr_rate_cleaned!$A$2:$A$10,B1411,mdr_rate_cleaned!$B$2:$B$10,"&lt;"&amp;C1411,mdr_rate_cleaned!$F$2:$F$10,"&gt;="&amp;C1411)</f>
        <v>1</v>
      </c>
      <c r="G1411">
        <v>3.0000000000000001E-3</v>
      </c>
      <c r="H1411">
        <v>34.04</v>
      </c>
      <c r="I1411" t="s">
        <v>15</v>
      </c>
      <c r="J1411" t="s">
        <v>15</v>
      </c>
      <c r="K1411">
        <v>6.13</v>
      </c>
      <c r="L1411">
        <v>0</v>
      </c>
    </row>
    <row r="1412" spans="1:12" x14ac:dyDescent="0.3">
      <c r="A1412" t="s">
        <v>1428</v>
      </c>
      <c r="B1412" t="s">
        <v>17</v>
      </c>
      <c r="C1412">
        <v>799</v>
      </c>
      <c r="D1412">
        <v>14.38</v>
      </c>
      <c r="E1412">
        <v>2.59</v>
      </c>
      <c r="F1412">
        <f>COUNTIFS(mdr_rate_cleaned!$A$2:$A$10,B1412,mdr_rate_cleaned!$B$2:$B$10,"&lt;"&amp;C1412,mdr_rate_cleaned!$F$2:$F$10,"&gt;="&amp;C1412)</f>
        <v>1</v>
      </c>
      <c r="G1412">
        <v>1.7999999999999999E-2</v>
      </c>
      <c r="H1412">
        <v>14.38</v>
      </c>
      <c r="I1412" t="s">
        <v>15</v>
      </c>
      <c r="J1412" t="s">
        <v>15</v>
      </c>
      <c r="K1412">
        <v>2.59</v>
      </c>
      <c r="L1412">
        <v>0</v>
      </c>
    </row>
    <row r="1413" spans="1:12" x14ac:dyDescent="0.3">
      <c r="A1413" t="s">
        <v>1429</v>
      </c>
      <c r="B1413" t="s">
        <v>17</v>
      </c>
      <c r="C1413">
        <v>2999</v>
      </c>
      <c r="D1413">
        <v>47.98</v>
      </c>
      <c r="E1413">
        <v>8.64</v>
      </c>
      <c r="F1413">
        <f>COUNTIFS(mdr_rate_cleaned!$A$2:$A$10,B1413,mdr_rate_cleaned!$B$2:$B$10,"&lt;"&amp;C1413,mdr_rate_cleaned!$F$2:$F$10,"&gt;="&amp;C1413)</f>
        <v>1</v>
      </c>
      <c r="G1413">
        <v>1.6E-2</v>
      </c>
      <c r="H1413">
        <v>47.98</v>
      </c>
      <c r="I1413" t="s">
        <v>15</v>
      </c>
      <c r="J1413" t="s">
        <v>15</v>
      </c>
      <c r="K1413">
        <v>8.64</v>
      </c>
      <c r="L1413">
        <v>0</v>
      </c>
    </row>
    <row r="1414" spans="1:12" x14ac:dyDescent="0.3">
      <c r="A1414" t="s">
        <v>1430</v>
      </c>
      <c r="B1414" t="s">
        <v>13</v>
      </c>
      <c r="C1414">
        <v>599</v>
      </c>
      <c r="D1414">
        <v>11.38</v>
      </c>
      <c r="E1414">
        <v>2.0499999999999998</v>
      </c>
      <c r="F1414">
        <f>COUNTIFS(mdr_rate_cleaned!$A$2:$A$10,B1414,mdr_rate_cleaned!$B$2:$B$10,"&lt;"&amp;C1414,mdr_rate_cleaned!$F$2:$F$10,"&gt;="&amp;C1414)</f>
        <v>1</v>
      </c>
      <c r="G1414">
        <v>1.9E-2</v>
      </c>
      <c r="H1414">
        <v>11.38</v>
      </c>
      <c r="I1414" t="s">
        <v>15</v>
      </c>
      <c r="J1414" t="s">
        <v>15</v>
      </c>
      <c r="K1414">
        <v>2.0499999999999998</v>
      </c>
      <c r="L1414">
        <v>0</v>
      </c>
    </row>
    <row r="1415" spans="1:12" x14ac:dyDescent="0.3">
      <c r="A1415" t="s">
        <v>1431</v>
      </c>
      <c r="B1415" t="s">
        <v>21</v>
      </c>
      <c r="C1415">
        <v>1798</v>
      </c>
      <c r="D1415">
        <v>0</v>
      </c>
      <c r="E1415">
        <v>0</v>
      </c>
      <c r="F1415">
        <f>COUNTIFS(mdr_rate_cleaned!$A$2:$A$10,B1415,mdr_rate_cleaned!$B$2:$B$10,"&lt;"&amp;C1415,mdr_rate_cleaned!$F$2:$F$10,"&gt;="&amp;C1415)</f>
        <v>1</v>
      </c>
      <c r="G1415">
        <v>0</v>
      </c>
      <c r="H1415">
        <v>0</v>
      </c>
      <c r="I1415" t="s">
        <v>15</v>
      </c>
      <c r="J1415" t="s">
        <v>15</v>
      </c>
      <c r="K1415">
        <v>0</v>
      </c>
      <c r="L1415">
        <v>0</v>
      </c>
    </row>
    <row r="1416" spans="1:12" x14ac:dyDescent="0.3">
      <c r="A1416" t="s">
        <v>1432</v>
      </c>
      <c r="B1416" t="s">
        <v>21</v>
      </c>
      <c r="C1416">
        <v>4999</v>
      </c>
      <c r="D1416">
        <v>15</v>
      </c>
      <c r="E1416">
        <v>2.7</v>
      </c>
      <c r="F1416">
        <f>COUNTIFS(mdr_rate_cleaned!$A$2:$A$10,B1416,mdr_rate_cleaned!$B$2:$B$10,"&lt;"&amp;C1416,mdr_rate_cleaned!$F$2:$F$10,"&gt;="&amp;C1416)</f>
        <v>1</v>
      </c>
      <c r="G1416">
        <v>3.0000000000000001E-3</v>
      </c>
      <c r="H1416">
        <v>15</v>
      </c>
      <c r="I1416" t="s">
        <v>15</v>
      </c>
      <c r="J1416" t="s">
        <v>15</v>
      </c>
      <c r="K1416">
        <v>2.7</v>
      </c>
      <c r="L1416">
        <v>0</v>
      </c>
    </row>
    <row r="1417" spans="1:12" x14ac:dyDescent="0.3">
      <c r="A1417" t="s">
        <v>1433</v>
      </c>
      <c r="B1417" t="s">
        <v>21</v>
      </c>
      <c r="C1417">
        <v>13497</v>
      </c>
      <c r="D1417">
        <v>40.49</v>
      </c>
      <c r="E1417">
        <v>7.29</v>
      </c>
      <c r="F1417">
        <f>COUNTIFS(mdr_rate_cleaned!$A$2:$A$10,B1417,mdr_rate_cleaned!$B$2:$B$10,"&lt;"&amp;C1417,mdr_rate_cleaned!$F$2:$F$10,"&gt;="&amp;C1417)</f>
        <v>1</v>
      </c>
      <c r="G1417">
        <v>3.0000000000000001E-3</v>
      </c>
      <c r="H1417">
        <v>40.49</v>
      </c>
      <c r="I1417" t="s">
        <v>15</v>
      </c>
      <c r="J1417" t="s">
        <v>15</v>
      </c>
      <c r="K1417">
        <v>7.29</v>
      </c>
      <c r="L1417">
        <v>0</v>
      </c>
    </row>
    <row r="1418" spans="1:12" x14ac:dyDescent="0.3">
      <c r="A1418" t="s">
        <v>1434</v>
      </c>
      <c r="B1418" t="s">
        <v>17</v>
      </c>
      <c r="C1418">
        <v>3098</v>
      </c>
      <c r="D1418">
        <v>49.57</v>
      </c>
      <c r="E1418">
        <v>8.92</v>
      </c>
      <c r="F1418">
        <f>COUNTIFS(mdr_rate_cleaned!$A$2:$A$10,B1418,mdr_rate_cleaned!$B$2:$B$10,"&lt;"&amp;C1418,mdr_rate_cleaned!$F$2:$F$10,"&gt;="&amp;C1418)</f>
        <v>1</v>
      </c>
      <c r="G1418">
        <v>1.6E-2</v>
      </c>
      <c r="H1418">
        <v>49.57</v>
      </c>
      <c r="I1418" t="s">
        <v>15</v>
      </c>
      <c r="J1418" t="s">
        <v>15</v>
      </c>
      <c r="K1418">
        <v>8.92</v>
      </c>
      <c r="L1418">
        <v>0</v>
      </c>
    </row>
    <row r="1419" spans="1:12" x14ac:dyDescent="0.3">
      <c r="A1419" t="s">
        <v>1435</v>
      </c>
      <c r="B1419" t="s">
        <v>13</v>
      </c>
      <c r="C1419">
        <v>1799</v>
      </c>
      <c r="D1419">
        <v>34.18</v>
      </c>
      <c r="E1419">
        <v>6.15</v>
      </c>
      <c r="F1419">
        <f>COUNTIFS(mdr_rate_cleaned!$A$2:$A$10,B1419,mdr_rate_cleaned!$B$2:$B$10,"&lt;"&amp;C1419,mdr_rate_cleaned!$F$2:$F$10,"&gt;="&amp;C1419)</f>
        <v>1</v>
      </c>
      <c r="G1419">
        <v>1.9E-2</v>
      </c>
      <c r="H1419">
        <v>34.18</v>
      </c>
      <c r="I1419" t="s">
        <v>15</v>
      </c>
      <c r="J1419" t="s">
        <v>15</v>
      </c>
      <c r="K1419">
        <v>6.15</v>
      </c>
      <c r="L1419">
        <v>0</v>
      </c>
    </row>
    <row r="1420" spans="1:12" x14ac:dyDescent="0.3">
      <c r="A1420" t="s">
        <v>1436</v>
      </c>
      <c r="B1420" t="s">
        <v>13</v>
      </c>
      <c r="C1420">
        <v>599</v>
      </c>
      <c r="D1420">
        <v>11.38</v>
      </c>
      <c r="E1420">
        <v>2.0499999999999998</v>
      </c>
      <c r="F1420">
        <f>COUNTIFS(mdr_rate_cleaned!$A$2:$A$10,B1420,mdr_rate_cleaned!$B$2:$B$10,"&lt;"&amp;C1420,mdr_rate_cleaned!$F$2:$F$10,"&gt;="&amp;C1420)</f>
        <v>1</v>
      </c>
      <c r="G1420">
        <v>1.9E-2</v>
      </c>
      <c r="H1420">
        <v>11.38</v>
      </c>
      <c r="I1420" t="s">
        <v>15</v>
      </c>
      <c r="J1420" t="s">
        <v>15</v>
      </c>
      <c r="K1420">
        <v>2.0499999999999998</v>
      </c>
      <c r="L1420">
        <v>0</v>
      </c>
    </row>
    <row r="1421" spans="1:12" x14ac:dyDescent="0.3">
      <c r="A1421" t="s">
        <v>1437</v>
      </c>
      <c r="B1421" t="s">
        <v>17</v>
      </c>
      <c r="C1421">
        <v>3499</v>
      </c>
      <c r="D1421">
        <v>55.98</v>
      </c>
      <c r="E1421">
        <v>10.08</v>
      </c>
      <c r="F1421">
        <f>COUNTIFS(mdr_rate_cleaned!$A$2:$A$10,B1421,mdr_rate_cleaned!$B$2:$B$10,"&lt;"&amp;C1421,mdr_rate_cleaned!$F$2:$F$10,"&gt;="&amp;C1421)</f>
        <v>1</v>
      </c>
      <c r="G1421">
        <v>1.6E-2</v>
      </c>
      <c r="H1421">
        <v>55.98</v>
      </c>
      <c r="I1421" t="s">
        <v>15</v>
      </c>
      <c r="J1421" t="s">
        <v>15</v>
      </c>
      <c r="K1421">
        <v>10.08</v>
      </c>
      <c r="L1421">
        <v>0</v>
      </c>
    </row>
    <row r="1422" spans="1:12" x14ac:dyDescent="0.3">
      <c r="A1422" t="s">
        <v>1438</v>
      </c>
      <c r="B1422" t="s">
        <v>17</v>
      </c>
      <c r="C1422">
        <v>2499</v>
      </c>
      <c r="D1422">
        <v>39.979999999999997</v>
      </c>
      <c r="E1422">
        <v>7.2</v>
      </c>
      <c r="F1422">
        <f>COUNTIFS(mdr_rate_cleaned!$A$2:$A$10,B1422,mdr_rate_cleaned!$B$2:$B$10,"&lt;"&amp;C1422,mdr_rate_cleaned!$F$2:$F$10,"&gt;="&amp;C1422)</f>
        <v>1</v>
      </c>
      <c r="G1422">
        <v>1.6E-2</v>
      </c>
      <c r="H1422">
        <v>39.979999999999997</v>
      </c>
      <c r="I1422" t="s">
        <v>15</v>
      </c>
      <c r="J1422" t="s">
        <v>15</v>
      </c>
      <c r="K1422">
        <v>7.2</v>
      </c>
      <c r="L1422">
        <v>0</v>
      </c>
    </row>
    <row r="1423" spans="1:12" x14ac:dyDescent="0.3">
      <c r="A1423" t="s">
        <v>1439</v>
      </c>
      <c r="B1423" t="s">
        <v>21</v>
      </c>
      <c r="C1423">
        <v>5298</v>
      </c>
      <c r="D1423">
        <v>15.89</v>
      </c>
      <c r="E1423">
        <v>2.86</v>
      </c>
      <c r="F1423">
        <f>COUNTIFS(mdr_rate_cleaned!$A$2:$A$10,B1423,mdr_rate_cleaned!$B$2:$B$10,"&lt;"&amp;C1423,mdr_rate_cleaned!$F$2:$F$10,"&gt;="&amp;C1423)</f>
        <v>1</v>
      </c>
      <c r="G1423">
        <v>3.0000000000000001E-3</v>
      </c>
      <c r="H1423">
        <v>15.89</v>
      </c>
      <c r="I1423" t="s">
        <v>15</v>
      </c>
      <c r="J1423" t="s">
        <v>15</v>
      </c>
      <c r="K1423">
        <v>2.86</v>
      </c>
      <c r="L1423">
        <v>0</v>
      </c>
    </row>
    <row r="1424" spans="1:12" x14ac:dyDescent="0.3">
      <c r="A1424" t="s">
        <v>1440</v>
      </c>
      <c r="B1424" t="s">
        <v>21</v>
      </c>
      <c r="C1424">
        <v>1148</v>
      </c>
      <c r="D1424">
        <v>0</v>
      </c>
      <c r="E1424">
        <v>0</v>
      </c>
      <c r="F1424">
        <f>COUNTIFS(mdr_rate_cleaned!$A$2:$A$10,B1424,mdr_rate_cleaned!$B$2:$B$10,"&lt;"&amp;C1424,mdr_rate_cleaned!$F$2:$F$10,"&gt;="&amp;C1424)</f>
        <v>1</v>
      </c>
      <c r="G1424">
        <v>0</v>
      </c>
      <c r="H1424">
        <v>0</v>
      </c>
      <c r="I1424" t="s">
        <v>15</v>
      </c>
      <c r="J1424" t="s">
        <v>15</v>
      </c>
      <c r="K1424">
        <v>0</v>
      </c>
      <c r="L1424">
        <v>0</v>
      </c>
    </row>
    <row r="1425" spans="1:12" x14ac:dyDescent="0.3">
      <c r="A1425" t="s">
        <v>1441</v>
      </c>
      <c r="B1425" t="s">
        <v>13</v>
      </c>
      <c r="C1425">
        <v>999</v>
      </c>
      <c r="D1425">
        <v>18.98</v>
      </c>
      <c r="E1425">
        <v>3.42</v>
      </c>
      <c r="F1425">
        <f>COUNTIFS(mdr_rate_cleaned!$A$2:$A$10,B1425,mdr_rate_cleaned!$B$2:$B$10,"&lt;"&amp;C1425,mdr_rate_cleaned!$F$2:$F$10,"&gt;="&amp;C1425)</f>
        <v>1</v>
      </c>
      <c r="G1425">
        <v>1.9E-2</v>
      </c>
      <c r="H1425">
        <v>18.98</v>
      </c>
      <c r="I1425" t="s">
        <v>15</v>
      </c>
      <c r="J1425" t="s">
        <v>15</v>
      </c>
      <c r="K1425">
        <v>3.42</v>
      </c>
      <c r="L1425">
        <v>0</v>
      </c>
    </row>
    <row r="1426" spans="1:12" x14ac:dyDescent="0.3">
      <c r="A1426" t="s">
        <v>1442</v>
      </c>
      <c r="B1426" t="s">
        <v>17</v>
      </c>
      <c r="C1426">
        <v>499</v>
      </c>
      <c r="D1426">
        <v>8.98</v>
      </c>
      <c r="E1426">
        <v>1.62</v>
      </c>
      <c r="F1426">
        <f>COUNTIFS(mdr_rate_cleaned!$A$2:$A$10,B1426,mdr_rate_cleaned!$B$2:$B$10,"&lt;"&amp;C1426,mdr_rate_cleaned!$F$2:$F$10,"&gt;="&amp;C1426)</f>
        <v>1</v>
      </c>
      <c r="G1426">
        <v>1.7999999999999999E-2</v>
      </c>
      <c r="H1426">
        <v>8.98</v>
      </c>
      <c r="I1426" t="s">
        <v>15</v>
      </c>
      <c r="J1426" t="s">
        <v>15</v>
      </c>
      <c r="K1426">
        <v>1.62</v>
      </c>
      <c r="L1426">
        <v>0</v>
      </c>
    </row>
    <row r="1427" spans="1:12" x14ac:dyDescent="0.3">
      <c r="A1427" t="s">
        <v>1443</v>
      </c>
      <c r="B1427" t="s">
        <v>21</v>
      </c>
      <c r="C1427">
        <v>4999</v>
      </c>
      <c r="D1427">
        <v>15</v>
      </c>
      <c r="E1427">
        <v>2.7</v>
      </c>
      <c r="F1427">
        <f>COUNTIFS(mdr_rate_cleaned!$A$2:$A$10,B1427,mdr_rate_cleaned!$B$2:$B$10,"&lt;"&amp;C1427,mdr_rate_cleaned!$F$2:$F$10,"&gt;="&amp;C1427)</f>
        <v>1</v>
      </c>
      <c r="G1427">
        <v>3.0000000000000001E-3</v>
      </c>
      <c r="H1427">
        <v>15</v>
      </c>
      <c r="I1427" t="s">
        <v>15</v>
      </c>
      <c r="J1427" t="s">
        <v>15</v>
      </c>
      <c r="K1427">
        <v>2.7</v>
      </c>
      <c r="L1427">
        <v>0</v>
      </c>
    </row>
    <row r="1428" spans="1:12" x14ac:dyDescent="0.3">
      <c r="A1428" t="s">
        <v>1444</v>
      </c>
      <c r="B1428" t="s">
        <v>21</v>
      </c>
      <c r="C1428">
        <v>3499</v>
      </c>
      <c r="D1428">
        <v>10.5</v>
      </c>
      <c r="E1428">
        <v>1.89</v>
      </c>
      <c r="F1428">
        <f>COUNTIFS(mdr_rate_cleaned!$A$2:$A$10,B1428,mdr_rate_cleaned!$B$2:$B$10,"&lt;"&amp;C1428,mdr_rate_cleaned!$F$2:$F$10,"&gt;="&amp;C1428)</f>
        <v>1</v>
      </c>
      <c r="G1428">
        <v>3.0000000000000001E-3</v>
      </c>
      <c r="H1428">
        <v>10.5</v>
      </c>
      <c r="I1428" t="s">
        <v>15</v>
      </c>
      <c r="J1428" t="s">
        <v>15</v>
      </c>
      <c r="K1428">
        <v>1.89</v>
      </c>
      <c r="L1428">
        <v>0</v>
      </c>
    </row>
    <row r="1429" spans="1:12" x14ac:dyDescent="0.3">
      <c r="A1429" t="s">
        <v>1445</v>
      </c>
      <c r="B1429" t="s">
        <v>21</v>
      </c>
      <c r="C1429">
        <v>2999</v>
      </c>
      <c r="D1429">
        <v>9</v>
      </c>
      <c r="E1429">
        <v>1.62</v>
      </c>
      <c r="F1429">
        <f>COUNTIFS(mdr_rate_cleaned!$A$2:$A$10,B1429,mdr_rate_cleaned!$B$2:$B$10,"&lt;"&amp;C1429,mdr_rate_cleaned!$F$2:$F$10,"&gt;="&amp;C1429)</f>
        <v>1</v>
      </c>
      <c r="G1429">
        <v>3.0000000000000001E-3</v>
      </c>
      <c r="H1429">
        <v>9</v>
      </c>
      <c r="I1429" t="s">
        <v>15</v>
      </c>
      <c r="J1429" t="s">
        <v>15</v>
      </c>
      <c r="K1429">
        <v>1.62</v>
      </c>
      <c r="L1429">
        <v>0</v>
      </c>
    </row>
    <row r="1430" spans="1:12" x14ac:dyDescent="0.3">
      <c r="A1430" t="s">
        <v>1446</v>
      </c>
      <c r="B1430" t="s">
        <v>21</v>
      </c>
      <c r="C1430">
        <v>1848</v>
      </c>
      <c r="D1430">
        <v>0</v>
      </c>
      <c r="E1430">
        <v>0</v>
      </c>
      <c r="F1430">
        <f>COUNTIFS(mdr_rate_cleaned!$A$2:$A$10,B1430,mdr_rate_cleaned!$B$2:$B$10,"&lt;"&amp;C1430,mdr_rate_cleaned!$F$2:$F$10,"&gt;="&amp;C1430)</f>
        <v>1</v>
      </c>
      <c r="G1430">
        <v>0</v>
      </c>
      <c r="H1430">
        <v>0</v>
      </c>
      <c r="I1430" t="s">
        <v>15</v>
      </c>
      <c r="J1430" t="s">
        <v>15</v>
      </c>
      <c r="K1430">
        <v>0</v>
      </c>
      <c r="L1430">
        <v>0</v>
      </c>
    </row>
    <row r="1431" spans="1:12" x14ac:dyDescent="0.3">
      <c r="A1431" t="s">
        <v>1447</v>
      </c>
      <c r="B1431" t="s">
        <v>17</v>
      </c>
      <c r="C1431">
        <v>1499</v>
      </c>
      <c r="D1431">
        <v>26.98</v>
      </c>
      <c r="E1431">
        <v>4.8600000000000003</v>
      </c>
      <c r="F1431">
        <f>COUNTIFS(mdr_rate_cleaned!$A$2:$A$10,B1431,mdr_rate_cleaned!$B$2:$B$10,"&lt;"&amp;C1431,mdr_rate_cleaned!$F$2:$F$10,"&gt;="&amp;C1431)</f>
        <v>1</v>
      </c>
      <c r="G1431">
        <v>1.7999999999999999E-2</v>
      </c>
      <c r="H1431">
        <v>26.98</v>
      </c>
      <c r="I1431" t="s">
        <v>15</v>
      </c>
      <c r="J1431" t="s">
        <v>15</v>
      </c>
      <c r="K1431">
        <v>4.8600000000000003</v>
      </c>
      <c r="L1431">
        <v>0</v>
      </c>
    </row>
    <row r="1432" spans="1:12" x14ac:dyDescent="0.3">
      <c r="A1432" t="s">
        <v>1448</v>
      </c>
      <c r="B1432" t="s">
        <v>17</v>
      </c>
      <c r="C1432">
        <v>1299</v>
      </c>
      <c r="D1432">
        <v>23.38</v>
      </c>
      <c r="E1432">
        <v>4.21</v>
      </c>
      <c r="F1432">
        <f>COUNTIFS(mdr_rate_cleaned!$A$2:$A$10,B1432,mdr_rate_cleaned!$B$2:$B$10,"&lt;"&amp;C1432,mdr_rate_cleaned!$F$2:$F$10,"&gt;="&amp;C1432)</f>
        <v>1</v>
      </c>
      <c r="G1432">
        <v>1.7999999999999999E-2</v>
      </c>
      <c r="H1432">
        <v>23.38</v>
      </c>
      <c r="I1432" t="s">
        <v>15</v>
      </c>
      <c r="J1432" t="s">
        <v>15</v>
      </c>
      <c r="K1432">
        <v>4.21</v>
      </c>
      <c r="L1432">
        <v>0</v>
      </c>
    </row>
    <row r="1433" spans="1:12" x14ac:dyDescent="0.3">
      <c r="A1433" t="s">
        <v>1449</v>
      </c>
      <c r="B1433" t="s">
        <v>17</v>
      </c>
      <c r="C1433">
        <v>5847</v>
      </c>
      <c r="D1433">
        <v>93.55</v>
      </c>
      <c r="E1433">
        <v>16.84</v>
      </c>
      <c r="F1433">
        <f>COUNTIFS(mdr_rate_cleaned!$A$2:$A$10,B1433,mdr_rate_cleaned!$B$2:$B$10,"&lt;"&amp;C1433,mdr_rate_cleaned!$F$2:$F$10,"&gt;="&amp;C1433)</f>
        <v>1</v>
      </c>
      <c r="G1433">
        <v>1.6E-2</v>
      </c>
      <c r="H1433">
        <v>93.55</v>
      </c>
      <c r="I1433" t="s">
        <v>15</v>
      </c>
      <c r="J1433" t="s">
        <v>15</v>
      </c>
      <c r="K1433">
        <v>16.84</v>
      </c>
      <c r="L1433">
        <v>0</v>
      </c>
    </row>
    <row r="1434" spans="1:12" x14ac:dyDescent="0.3">
      <c r="A1434" t="s">
        <v>1450</v>
      </c>
      <c r="B1434" t="s">
        <v>17</v>
      </c>
      <c r="C1434">
        <v>1799</v>
      </c>
      <c r="D1434">
        <v>32.380000000000003</v>
      </c>
      <c r="E1434">
        <v>5.83</v>
      </c>
      <c r="F1434">
        <f>COUNTIFS(mdr_rate_cleaned!$A$2:$A$10,B1434,mdr_rate_cleaned!$B$2:$B$10,"&lt;"&amp;C1434,mdr_rate_cleaned!$F$2:$F$10,"&gt;="&amp;C1434)</f>
        <v>1</v>
      </c>
      <c r="G1434">
        <v>1.7999999999999999E-2</v>
      </c>
      <c r="H1434">
        <v>32.380000000000003</v>
      </c>
      <c r="I1434" t="s">
        <v>15</v>
      </c>
      <c r="J1434" t="s">
        <v>15</v>
      </c>
      <c r="K1434">
        <v>5.83</v>
      </c>
      <c r="L1434">
        <v>0</v>
      </c>
    </row>
    <row r="1435" spans="1:12" x14ac:dyDescent="0.3">
      <c r="A1435" t="s">
        <v>1451</v>
      </c>
      <c r="B1435" t="s">
        <v>21</v>
      </c>
      <c r="C1435">
        <v>7999</v>
      </c>
      <c r="D1435">
        <v>24</v>
      </c>
      <c r="E1435">
        <v>4.32</v>
      </c>
      <c r="F1435">
        <f>COUNTIFS(mdr_rate_cleaned!$A$2:$A$10,B1435,mdr_rate_cleaned!$B$2:$B$10,"&lt;"&amp;C1435,mdr_rate_cleaned!$F$2:$F$10,"&gt;="&amp;C1435)</f>
        <v>1</v>
      </c>
      <c r="G1435">
        <v>3.0000000000000001E-3</v>
      </c>
      <c r="H1435">
        <v>24</v>
      </c>
      <c r="I1435" t="s">
        <v>15</v>
      </c>
      <c r="J1435" t="s">
        <v>15</v>
      </c>
      <c r="K1435">
        <v>4.32</v>
      </c>
      <c r="L1435">
        <v>0</v>
      </c>
    </row>
    <row r="1436" spans="1:12" x14ac:dyDescent="0.3">
      <c r="A1436" t="s">
        <v>1452</v>
      </c>
      <c r="B1436" t="s">
        <v>21</v>
      </c>
      <c r="C1436">
        <v>2999</v>
      </c>
      <c r="D1436">
        <v>9</v>
      </c>
      <c r="E1436">
        <v>1.62</v>
      </c>
      <c r="F1436">
        <f>COUNTIFS(mdr_rate_cleaned!$A$2:$A$10,B1436,mdr_rate_cleaned!$B$2:$B$10,"&lt;"&amp;C1436,mdr_rate_cleaned!$F$2:$F$10,"&gt;="&amp;C1436)</f>
        <v>1</v>
      </c>
      <c r="G1436">
        <v>3.0000000000000001E-3</v>
      </c>
      <c r="H1436">
        <v>9</v>
      </c>
      <c r="I1436" t="s">
        <v>15</v>
      </c>
      <c r="J1436" t="s">
        <v>15</v>
      </c>
      <c r="K1436">
        <v>1.62</v>
      </c>
      <c r="L1436">
        <v>0</v>
      </c>
    </row>
    <row r="1437" spans="1:12" x14ac:dyDescent="0.3">
      <c r="A1437" t="s">
        <v>1453</v>
      </c>
      <c r="B1437" t="s">
        <v>17</v>
      </c>
      <c r="C1437">
        <v>1299</v>
      </c>
      <c r="D1437">
        <v>23.38</v>
      </c>
      <c r="E1437">
        <v>4.21</v>
      </c>
      <c r="F1437">
        <f>COUNTIFS(mdr_rate_cleaned!$A$2:$A$10,B1437,mdr_rate_cleaned!$B$2:$B$10,"&lt;"&amp;C1437,mdr_rate_cleaned!$F$2:$F$10,"&gt;="&amp;C1437)</f>
        <v>1</v>
      </c>
      <c r="G1437">
        <v>1.7999999999999999E-2</v>
      </c>
      <c r="H1437">
        <v>23.38</v>
      </c>
      <c r="I1437" t="s">
        <v>15</v>
      </c>
      <c r="J1437" t="s">
        <v>15</v>
      </c>
      <c r="K1437">
        <v>4.21</v>
      </c>
      <c r="L1437">
        <v>0</v>
      </c>
    </row>
    <row r="1438" spans="1:12" x14ac:dyDescent="0.3">
      <c r="A1438" t="s">
        <v>1454</v>
      </c>
      <c r="B1438" t="s">
        <v>21</v>
      </c>
      <c r="C1438">
        <v>349</v>
      </c>
      <c r="D1438">
        <v>0</v>
      </c>
      <c r="E1438">
        <v>0</v>
      </c>
      <c r="F1438">
        <f>COUNTIFS(mdr_rate_cleaned!$A$2:$A$10,B1438,mdr_rate_cleaned!$B$2:$B$10,"&lt;"&amp;C1438,mdr_rate_cleaned!$F$2:$F$10,"&gt;="&amp;C1438)</f>
        <v>1</v>
      </c>
      <c r="G1438">
        <v>0</v>
      </c>
      <c r="H1438">
        <v>0</v>
      </c>
      <c r="I1438" t="s">
        <v>15</v>
      </c>
      <c r="J1438" t="s">
        <v>15</v>
      </c>
      <c r="K1438">
        <v>0</v>
      </c>
      <c r="L1438">
        <v>0</v>
      </c>
    </row>
    <row r="1439" spans="1:12" x14ac:dyDescent="0.3">
      <c r="A1439" t="s">
        <v>1455</v>
      </c>
      <c r="B1439" t="s">
        <v>21</v>
      </c>
      <c r="C1439">
        <v>2098</v>
      </c>
      <c r="D1439">
        <v>6.29</v>
      </c>
      <c r="E1439">
        <v>1.1299999999999999</v>
      </c>
      <c r="F1439">
        <f>COUNTIFS(mdr_rate_cleaned!$A$2:$A$10,B1439,mdr_rate_cleaned!$B$2:$B$10,"&lt;"&amp;C1439,mdr_rate_cleaned!$F$2:$F$10,"&gt;="&amp;C1439)</f>
        <v>1</v>
      </c>
      <c r="G1439">
        <v>3.0000000000000001E-3</v>
      </c>
      <c r="H1439">
        <v>6.29</v>
      </c>
      <c r="I1439" t="s">
        <v>15</v>
      </c>
      <c r="J1439" t="s">
        <v>15</v>
      </c>
      <c r="K1439">
        <v>1.1299999999999999</v>
      </c>
      <c r="L1439">
        <v>0</v>
      </c>
    </row>
    <row r="1440" spans="1:12" x14ac:dyDescent="0.3">
      <c r="A1440" t="s">
        <v>1456</v>
      </c>
      <c r="B1440" t="s">
        <v>21</v>
      </c>
      <c r="C1440">
        <v>3098</v>
      </c>
      <c r="D1440">
        <v>9.2899999999999991</v>
      </c>
      <c r="E1440">
        <v>1.67</v>
      </c>
      <c r="F1440">
        <f>COUNTIFS(mdr_rate_cleaned!$A$2:$A$10,B1440,mdr_rate_cleaned!$B$2:$B$10,"&lt;"&amp;C1440,mdr_rate_cleaned!$F$2:$F$10,"&gt;="&amp;C1440)</f>
        <v>1</v>
      </c>
      <c r="G1440">
        <v>3.0000000000000001E-3</v>
      </c>
      <c r="H1440">
        <v>9.2899999999999991</v>
      </c>
      <c r="I1440" t="s">
        <v>15</v>
      </c>
      <c r="J1440" t="s">
        <v>15</v>
      </c>
      <c r="K1440">
        <v>1.67</v>
      </c>
      <c r="L1440">
        <v>0</v>
      </c>
    </row>
    <row r="1441" spans="1:12" x14ac:dyDescent="0.3">
      <c r="A1441" t="s">
        <v>1457</v>
      </c>
      <c r="B1441" t="s">
        <v>21</v>
      </c>
      <c r="C1441">
        <v>7999</v>
      </c>
      <c r="D1441">
        <v>24</v>
      </c>
      <c r="E1441">
        <v>4.32</v>
      </c>
      <c r="F1441">
        <f>COUNTIFS(mdr_rate_cleaned!$A$2:$A$10,B1441,mdr_rate_cleaned!$B$2:$B$10,"&lt;"&amp;C1441,mdr_rate_cleaned!$F$2:$F$10,"&gt;="&amp;C1441)</f>
        <v>1</v>
      </c>
      <c r="G1441">
        <v>3.0000000000000001E-3</v>
      </c>
      <c r="H1441">
        <v>24</v>
      </c>
      <c r="I1441" t="s">
        <v>15</v>
      </c>
      <c r="J1441" t="s">
        <v>15</v>
      </c>
      <c r="K1441">
        <v>4.32</v>
      </c>
      <c r="L1441">
        <v>0</v>
      </c>
    </row>
    <row r="1442" spans="1:12" x14ac:dyDescent="0.3">
      <c r="A1442" t="s">
        <v>1458</v>
      </c>
      <c r="B1442" t="s">
        <v>21</v>
      </c>
      <c r="C1442">
        <v>2798</v>
      </c>
      <c r="D1442">
        <v>8.39</v>
      </c>
      <c r="E1442">
        <v>1.51</v>
      </c>
      <c r="F1442">
        <f>COUNTIFS(mdr_rate_cleaned!$A$2:$A$10,B1442,mdr_rate_cleaned!$B$2:$B$10,"&lt;"&amp;C1442,mdr_rate_cleaned!$F$2:$F$10,"&gt;="&amp;C1442)</f>
        <v>1</v>
      </c>
      <c r="G1442">
        <v>3.0000000000000001E-3</v>
      </c>
      <c r="H1442">
        <v>8.39</v>
      </c>
      <c r="I1442" t="s">
        <v>15</v>
      </c>
      <c r="J1442" t="s">
        <v>15</v>
      </c>
      <c r="K1442">
        <v>1.51</v>
      </c>
      <c r="L1442">
        <v>0</v>
      </c>
    </row>
    <row r="1443" spans="1:12" x14ac:dyDescent="0.3">
      <c r="A1443" t="s">
        <v>1459</v>
      </c>
      <c r="B1443" t="s">
        <v>39</v>
      </c>
      <c r="C1443">
        <v>299</v>
      </c>
      <c r="D1443">
        <v>4.49</v>
      </c>
      <c r="E1443">
        <v>0.81</v>
      </c>
      <c r="F1443">
        <f>COUNTIFS(mdr_rate_cleaned!$A$2:$A$10,B1443,mdr_rate_cleaned!$B$2:$B$10,"&lt;"&amp;C1443,mdr_rate_cleaned!$F$2:$F$10,"&gt;="&amp;C1443)</f>
        <v>1</v>
      </c>
      <c r="G1443">
        <v>1.4999999999999999E-2</v>
      </c>
      <c r="H1443">
        <v>4.49</v>
      </c>
      <c r="I1443" t="s">
        <v>15</v>
      </c>
      <c r="J1443" t="s">
        <v>15</v>
      </c>
      <c r="K1443">
        <v>0.81</v>
      </c>
      <c r="L1443">
        <v>0</v>
      </c>
    </row>
    <row r="1444" spans="1:12" x14ac:dyDescent="0.3">
      <c r="A1444" t="s">
        <v>1460</v>
      </c>
      <c r="B1444" t="s">
        <v>21</v>
      </c>
      <c r="C1444">
        <v>7999</v>
      </c>
      <c r="D1444">
        <v>24</v>
      </c>
      <c r="E1444">
        <v>4.32</v>
      </c>
      <c r="F1444">
        <f>COUNTIFS(mdr_rate_cleaned!$A$2:$A$10,B1444,mdr_rate_cleaned!$B$2:$B$10,"&lt;"&amp;C1444,mdr_rate_cleaned!$F$2:$F$10,"&gt;="&amp;C1444)</f>
        <v>1</v>
      </c>
      <c r="G1444">
        <v>3.0000000000000001E-3</v>
      </c>
      <c r="H1444">
        <v>24</v>
      </c>
      <c r="I1444" t="s">
        <v>15</v>
      </c>
      <c r="J1444" t="s">
        <v>15</v>
      </c>
      <c r="K1444">
        <v>4.32</v>
      </c>
      <c r="L1444">
        <v>0</v>
      </c>
    </row>
    <row r="1445" spans="1:12" x14ac:dyDescent="0.3">
      <c r="A1445" t="s">
        <v>1461</v>
      </c>
      <c r="B1445" t="s">
        <v>21</v>
      </c>
      <c r="C1445">
        <v>799</v>
      </c>
      <c r="D1445">
        <v>0</v>
      </c>
      <c r="E1445">
        <v>0</v>
      </c>
      <c r="F1445">
        <f>COUNTIFS(mdr_rate_cleaned!$A$2:$A$10,B1445,mdr_rate_cleaned!$B$2:$B$10,"&lt;"&amp;C1445,mdr_rate_cleaned!$F$2:$F$10,"&gt;="&amp;C1445)</f>
        <v>1</v>
      </c>
      <c r="G1445">
        <v>0</v>
      </c>
      <c r="H1445">
        <v>0</v>
      </c>
      <c r="I1445" t="s">
        <v>15</v>
      </c>
      <c r="J1445" t="s">
        <v>15</v>
      </c>
      <c r="K1445">
        <v>0</v>
      </c>
      <c r="L1445">
        <v>0</v>
      </c>
    </row>
    <row r="1446" spans="1:12" x14ac:dyDescent="0.3">
      <c r="A1446" t="s">
        <v>1462</v>
      </c>
      <c r="B1446" t="s">
        <v>21</v>
      </c>
      <c r="C1446">
        <v>999</v>
      </c>
      <c r="D1446">
        <v>0</v>
      </c>
      <c r="E1446">
        <v>0</v>
      </c>
      <c r="F1446">
        <f>COUNTIFS(mdr_rate_cleaned!$A$2:$A$10,B1446,mdr_rate_cleaned!$B$2:$B$10,"&lt;"&amp;C1446,mdr_rate_cleaned!$F$2:$F$10,"&gt;="&amp;C1446)</f>
        <v>1</v>
      </c>
      <c r="G1446">
        <v>0</v>
      </c>
      <c r="H1446">
        <v>0</v>
      </c>
      <c r="I1446" t="s">
        <v>15</v>
      </c>
      <c r="J1446" t="s">
        <v>15</v>
      </c>
      <c r="K1446">
        <v>0</v>
      </c>
      <c r="L1446">
        <v>0</v>
      </c>
    </row>
    <row r="1447" spans="1:12" x14ac:dyDescent="0.3">
      <c r="A1447" t="s">
        <v>1463</v>
      </c>
      <c r="B1447" t="s">
        <v>21</v>
      </c>
      <c r="C1447">
        <v>3499</v>
      </c>
      <c r="D1447">
        <v>10.5</v>
      </c>
      <c r="E1447">
        <v>1.89</v>
      </c>
      <c r="F1447">
        <f>COUNTIFS(mdr_rate_cleaned!$A$2:$A$10,B1447,mdr_rate_cleaned!$B$2:$B$10,"&lt;"&amp;C1447,mdr_rate_cleaned!$F$2:$F$10,"&gt;="&amp;C1447)</f>
        <v>1</v>
      </c>
      <c r="G1447">
        <v>3.0000000000000001E-3</v>
      </c>
      <c r="H1447">
        <v>10.5</v>
      </c>
      <c r="I1447" t="s">
        <v>15</v>
      </c>
      <c r="J1447" t="s">
        <v>15</v>
      </c>
      <c r="K1447">
        <v>1.89</v>
      </c>
      <c r="L1447">
        <v>0</v>
      </c>
    </row>
    <row r="1448" spans="1:12" x14ac:dyDescent="0.3">
      <c r="A1448" t="s">
        <v>1464</v>
      </c>
      <c r="B1448" t="s">
        <v>21</v>
      </c>
      <c r="C1448">
        <v>1499</v>
      </c>
      <c r="D1448">
        <v>0</v>
      </c>
      <c r="E1448">
        <v>0</v>
      </c>
      <c r="F1448">
        <f>COUNTIFS(mdr_rate_cleaned!$A$2:$A$10,B1448,mdr_rate_cleaned!$B$2:$B$10,"&lt;"&amp;C1448,mdr_rate_cleaned!$F$2:$F$10,"&gt;="&amp;C1448)</f>
        <v>1</v>
      </c>
      <c r="G1448">
        <v>0</v>
      </c>
      <c r="H1448">
        <v>0</v>
      </c>
      <c r="I1448" t="s">
        <v>15</v>
      </c>
      <c r="J1448" t="s">
        <v>15</v>
      </c>
      <c r="K1448">
        <v>0</v>
      </c>
      <c r="L1448">
        <v>0</v>
      </c>
    </row>
    <row r="1449" spans="1:12" x14ac:dyDescent="0.3">
      <c r="A1449" t="s">
        <v>1465</v>
      </c>
      <c r="B1449" t="s">
        <v>39</v>
      </c>
      <c r="C1449">
        <v>2798</v>
      </c>
      <c r="D1449">
        <v>33.58</v>
      </c>
      <c r="E1449">
        <v>6.04</v>
      </c>
      <c r="F1449">
        <f>COUNTIFS(mdr_rate_cleaned!$A$2:$A$10,B1449,mdr_rate_cleaned!$B$2:$B$10,"&lt;"&amp;C1449,mdr_rate_cleaned!$F$2:$F$10,"&gt;="&amp;C1449)</f>
        <v>1</v>
      </c>
      <c r="G1449">
        <v>1.2E-2</v>
      </c>
      <c r="H1449">
        <v>33.58</v>
      </c>
      <c r="I1449" t="s">
        <v>15</v>
      </c>
      <c r="J1449" t="s">
        <v>15</v>
      </c>
      <c r="K1449">
        <v>6.04</v>
      </c>
      <c r="L1449">
        <v>0</v>
      </c>
    </row>
    <row r="1450" spans="1:12" x14ac:dyDescent="0.3">
      <c r="A1450" t="s">
        <v>1466</v>
      </c>
      <c r="B1450" t="s">
        <v>17</v>
      </c>
      <c r="C1450">
        <v>499</v>
      </c>
      <c r="D1450">
        <v>8.98</v>
      </c>
      <c r="E1450">
        <v>1.62</v>
      </c>
      <c r="F1450">
        <f>COUNTIFS(mdr_rate_cleaned!$A$2:$A$10,B1450,mdr_rate_cleaned!$B$2:$B$10,"&lt;"&amp;C1450,mdr_rate_cleaned!$F$2:$F$10,"&gt;="&amp;C1450)</f>
        <v>1</v>
      </c>
      <c r="G1450">
        <v>1.7999999999999999E-2</v>
      </c>
      <c r="H1450">
        <v>8.98</v>
      </c>
      <c r="I1450" t="s">
        <v>15</v>
      </c>
      <c r="J1450" t="s">
        <v>15</v>
      </c>
      <c r="K1450">
        <v>1.62</v>
      </c>
      <c r="L1450">
        <v>0</v>
      </c>
    </row>
    <row r="1451" spans="1:12" x14ac:dyDescent="0.3">
      <c r="A1451" t="s">
        <v>1467</v>
      </c>
      <c r="B1451" t="s">
        <v>17</v>
      </c>
      <c r="C1451">
        <v>799</v>
      </c>
      <c r="D1451">
        <v>14.38</v>
      </c>
      <c r="E1451">
        <v>2.59</v>
      </c>
      <c r="F1451">
        <f>COUNTIFS(mdr_rate_cleaned!$A$2:$A$10,B1451,mdr_rate_cleaned!$B$2:$B$10,"&lt;"&amp;C1451,mdr_rate_cleaned!$F$2:$F$10,"&gt;="&amp;C1451)</f>
        <v>1</v>
      </c>
      <c r="G1451">
        <v>1.7999999999999999E-2</v>
      </c>
      <c r="H1451">
        <v>14.38</v>
      </c>
      <c r="I1451" t="s">
        <v>15</v>
      </c>
      <c r="J1451" t="s">
        <v>15</v>
      </c>
      <c r="K1451">
        <v>2.59</v>
      </c>
      <c r="L1451">
        <v>0</v>
      </c>
    </row>
    <row r="1452" spans="1:12" x14ac:dyDescent="0.3">
      <c r="A1452" t="s">
        <v>1468</v>
      </c>
      <c r="B1452" t="s">
        <v>39</v>
      </c>
      <c r="C1452">
        <v>799</v>
      </c>
      <c r="D1452">
        <v>11.99</v>
      </c>
      <c r="E1452">
        <v>2.16</v>
      </c>
      <c r="F1452">
        <f>COUNTIFS(mdr_rate_cleaned!$A$2:$A$10,B1452,mdr_rate_cleaned!$B$2:$B$10,"&lt;"&amp;C1452,mdr_rate_cleaned!$F$2:$F$10,"&gt;="&amp;C1452)</f>
        <v>1</v>
      </c>
      <c r="G1452">
        <v>1.4999999999999999E-2</v>
      </c>
      <c r="H1452">
        <v>11.99</v>
      </c>
      <c r="I1452" t="s">
        <v>15</v>
      </c>
      <c r="J1452" t="s">
        <v>15</v>
      </c>
      <c r="K1452">
        <v>2.16</v>
      </c>
      <c r="L1452">
        <v>0</v>
      </c>
    </row>
    <row r="1453" spans="1:12" x14ac:dyDescent="0.3">
      <c r="A1453" t="s">
        <v>1469</v>
      </c>
      <c r="B1453" t="s">
        <v>21</v>
      </c>
      <c r="C1453">
        <v>299</v>
      </c>
      <c r="D1453">
        <v>0</v>
      </c>
      <c r="E1453">
        <v>0</v>
      </c>
      <c r="F1453">
        <f>COUNTIFS(mdr_rate_cleaned!$A$2:$A$10,B1453,mdr_rate_cleaned!$B$2:$B$10,"&lt;"&amp;C1453,mdr_rate_cleaned!$F$2:$F$10,"&gt;="&amp;C1453)</f>
        <v>1</v>
      </c>
      <c r="G1453">
        <v>0</v>
      </c>
      <c r="H1453">
        <v>0</v>
      </c>
      <c r="I1453" t="s">
        <v>15</v>
      </c>
      <c r="J1453" t="s">
        <v>15</v>
      </c>
      <c r="K1453">
        <v>0</v>
      </c>
      <c r="L1453">
        <v>0</v>
      </c>
    </row>
    <row r="1454" spans="1:12" x14ac:dyDescent="0.3">
      <c r="A1454" t="s">
        <v>1470</v>
      </c>
      <c r="B1454" t="s">
        <v>13</v>
      </c>
      <c r="C1454">
        <v>599</v>
      </c>
      <c r="D1454">
        <v>11.38</v>
      </c>
      <c r="E1454">
        <v>2.0499999999999998</v>
      </c>
      <c r="F1454">
        <f>COUNTIFS(mdr_rate_cleaned!$A$2:$A$10,B1454,mdr_rate_cleaned!$B$2:$B$10,"&lt;"&amp;C1454,mdr_rate_cleaned!$F$2:$F$10,"&gt;="&amp;C1454)</f>
        <v>1</v>
      </c>
      <c r="G1454">
        <v>1.9E-2</v>
      </c>
      <c r="H1454">
        <v>11.38</v>
      </c>
      <c r="I1454" t="s">
        <v>15</v>
      </c>
      <c r="J1454" t="s">
        <v>15</v>
      </c>
      <c r="K1454">
        <v>2.0499999999999998</v>
      </c>
      <c r="L1454">
        <v>0</v>
      </c>
    </row>
    <row r="1455" spans="1:12" x14ac:dyDescent="0.3">
      <c r="A1455" t="s">
        <v>1471</v>
      </c>
      <c r="B1455" t="s">
        <v>21</v>
      </c>
      <c r="C1455">
        <v>2098</v>
      </c>
      <c r="D1455">
        <v>6.29</v>
      </c>
      <c r="E1455">
        <v>1.1299999999999999</v>
      </c>
      <c r="F1455">
        <f>COUNTIFS(mdr_rate_cleaned!$A$2:$A$10,B1455,mdr_rate_cleaned!$B$2:$B$10,"&lt;"&amp;C1455,mdr_rate_cleaned!$F$2:$F$10,"&gt;="&amp;C1455)</f>
        <v>1</v>
      </c>
      <c r="G1455">
        <v>3.0000000000000001E-3</v>
      </c>
      <c r="H1455">
        <v>6.29</v>
      </c>
      <c r="I1455" t="s">
        <v>15</v>
      </c>
      <c r="J1455" t="s">
        <v>15</v>
      </c>
      <c r="K1455">
        <v>1.1299999999999999</v>
      </c>
      <c r="L1455">
        <v>0</v>
      </c>
    </row>
    <row r="1456" spans="1:12" x14ac:dyDescent="0.3">
      <c r="A1456" t="s">
        <v>1472</v>
      </c>
      <c r="B1456" t="s">
        <v>39</v>
      </c>
      <c r="C1456">
        <v>4998</v>
      </c>
      <c r="D1456">
        <v>59.98</v>
      </c>
      <c r="E1456">
        <v>10.8</v>
      </c>
      <c r="F1456">
        <f>COUNTIFS(mdr_rate_cleaned!$A$2:$A$10,B1456,mdr_rate_cleaned!$B$2:$B$10,"&lt;"&amp;C1456,mdr_rate_cleaned!$F$2:$F$10,"&gt;="&amp;C1456)</f>
        <v>1</v>
      </c>
      <c r="G1456">
        <v>1.2E-2</v>
      </c>
      <c r="H1456">
        <v>59.98</v>
      </c>
      <c r="I1456" t="s">
        <v>15</v>
      </c>
      <c r="J1456" t="s">
        <v>15</v>
      </c>
      <c r="K1456">
        <v>10.8</v>
      </c>
      <c r="L1456">
        <v>0</v>
      </c>
    </row>
    <row r="1457" spans="1:12" x14ac:dyDescent="0.3">
      <c r="A1457" t="s">
        <v>1473</v>
      </c>
      <c r="B1457" t="s">
        <v>17</v>
      </c>
      <c r="C1457">
        <v>10847</v>
      </c>
      <c r="D1457">
        <v>173.55</v>
      </c>
      <c r="E1457">
        <v>31.24</v>
      </c>
      <c r="F1457">
        <f>COUNTIFS(mdr_rate_cleaned!$A$2:$A$10,B1457,mdr_rate_cleaned!$B$2:$B$10,"&lt;"&amp;C1457,mdr_rate_cleaned!$F$2:$F$10,"&gt;="&amp;C1457)</f>
        <v>1</v>
      </c>
      <c r="G1457">
        <v>1.6E-2</v>
      </c>
      <c r="H1457">
        <v>173.55</v>
      </c>
      <c r="I1457" t="s">
        <v>15</v>
      </c>
      <c r="J1457" t="s">
        <v>15</v>
      </c>
      <c r="K1457">
        <v>31.24</v>
      </c>
      <c r="L1457">
        <v>0</v>
      </c>
    </row>
    <row r="1458" spans="1:12" x14ac:dyDescent="0.3">
      <c r="A1458" t="s">
        <v>1474</v>
      </c>
      <c r="B1458" t="s">
        <v>21</v>
      </c>
      <c r="C1458">
        <v>11597</v>
      </c>
      <c r="D1458">
        <v>34.79</v>
      </c>
      <c r="E1458">
        <v>6.26</v>
      </c>
      <c r="F1458">
        <f>COUNTIFS(mdr_rate_cleaned!$A$2:$A$10,B1458,mdr_rate_cleaned!$B$2:$B$10,"&lt;"&amp;C1458,mdr_rate_cleaned!$F$2:$F$10,"&gt;="&amp;C1458)</f>
        <v>1</v>
      </c>
      <c r="G1458">
        <v>3.0000000000000001E-3</v>
      </c>
      <c r="H1458">
        <v>34.79</v>
      </c>
      <c r="I1458" t="s">
        <v>15</v>
      </c>
      <c r="J1458" t="s">
        <v>15</v>
      </c>
      <c r="K1458">
        <v>6.26</v>
      </c>
      <c r="L1458">
        <v>0</v>
      </c>
    </row>
    <row r="1459" spans="1:12" x14ac:dyDescent="0.3">
      <c r="A1459" t="s">
        <v>1475</v>
      </c>
      <c r="B1459" t="s">
        <v>21</v>
      </c>
      <c r="C1459">
        <v>999</v>
      </c>
      <c r="D1459">
        <v>0</v>
      </c>
      <c r="E1459">
        <v>0</v>
      </c>
      <c r="F1459">
        <f>COUNTIFS(mdr_rate_cleaned!$A$2:$A$10,B1459,mdr_rate_cleaned!$B$2:$B$10,"&lt;"&amp;C1459,mdr_rate_cleaned!$F$2:$F$10,"&gt;="&amp;C1459)</f>
        <v>1</v>
      </c>
      <c r="G1459">
        <v>0</v>
      </c>
      <c r="H1459">
        <v>0</v>
      </c>
      <c r="I1459" t="s">
        <v>15</v>
      </c>
      <c r="J1459" t="s">
        <v>15</v>
      </c>
      <c r="K1459">
        <v>0</v>
      </c>
      <c r="L1459">
        <v>0</v>
      </c>
    </row>
    <row r="1460" spans="1:12" x14ac:dyDescent="0.3">
      <c r="A1460" t="s">
        <v>1476</v>
      </c>
      <c r="B1460" t="s">
        <v>21</v>
      </c>
      <c r="C1460">
        <v>4798</v>
      </c>
      <c r="D1460">
        <v>14.39</v>
      </c>
      <c r="E1460">
        <v>2.59</v>
      </c>
      <c r="F1460">
        <f>COUNTIFS(mdr_rate_cleaned!$A$2:$A$10,B1460,mdr_rate_cleaned!$B$2:$B$10,"&lt;"&amp;C1460,mdr_rate_cleaned!$F$2:$F$10,"&gt;="&amp;C1460)</f>
        <v>1</v>
      </c>
      <c r="G1460">
        <v>3.0000000000000001E-3</v>
      </c>
      <c r="H1460">
        <v>14.39</v>
      </c>
      <c r="I1460" t="s">
        <v>15</v>
      </c>
      <c r="J1460" t="s">
        <v>15</v>
      </c>
      <c r="K1460">
        <v>2.59</v>
      </c>
      <c r="L1460">
        <v>0</v>
      </c>
    </row>
    <row r="1461" spans="1:12" x14ac:dyDescent="0.3">
      <c r="A1461" t="s">
        <v>1477</v>
      </c>
      <c r="B1461" t="s">
        <v>21</v>
      </c>
      <c r="C1461">
        <v>7999</v>
      </c>
      <c r="D1461">
        <v>24</v>
      </c>
      <c r="E1461">
        <v>4.32</v>
      </c>
      <c r="F1461">
        <f>COUNTIFS(mdr_rate_cleaned!$A$2:$A$10,B1461,mdr_rate_cleaned!$B$2:$B$10,"&lt;"&amp;C1461,mdr_rate_cleaned!$F$2:$F$10,"&gt;="&amp;C1461)</f>
        <v>1</v>
      </c>
      <c r="G1461">
        <v>3.0000000000000001E-3</v>
      </c>
      <c r="H1461">
        <v>24</v>
      </c>
      <c r="I1461" t="s">
        <v>15</v>
      </c>
      <c r="J1461" t="s">
        <v>15</v>
      </c>
      <c r="K1461">
        <v>4.32</v>
      </c>
      <c r="L1461">
        <v>0</v>
      </c>
    </row>
    <row r="1462" spans="1:12" x14ac:dyDescent="0.3">
      <c r="A1462" t="s">
        <v>1478</v>
      </c>
      <c r="B1462" t="s">
        <v>21</v>
      </c>
      <c r="C1462">
        <v>1499</v>
      </c>
      <c r="D1462">
        <v>0</v>
      </c>
      <c r="E1462">
        <v>0</v>
      </c>
      <c r="F1462">
        <f>COUNTIFS(mdr_rate_cleaned!$A$2:$A$10,B1462,mdr_rate_cleaned!$B$2:$B$10,"&lt;"&amp;C1462,mdr_rate_cleaned!$F$2:$F$10,"&gt;="&amp;C1462)</f>
        <v>1</v>
      </c>
      <c r="G1462">
        <v>0</v>
      </c>
      <c r="H1462">
        <v>0</v>
      </c>
      <c r="I1462" t="s">
        <v>15</v>
      </c>
      <c r="J1462" t="s">
        <v>15</v>
      </c>
      <c r="K1462">
        <v>0</v>
      </c>
      <c r="L1462">
        <v>0</v>
      </c>
    </row>
    <row r="1463" spans="1:12" x14ac:dyDescent="0.3">
      <c r="A1463" t="s">
        <v>1479</v>
      </c>
      <c r="B1463" t="s">
        <v>17</v>
      </c>
      <c r="C1463">
        <v>1799</v>
      </c>
      <c r="D1463">
        <v>32.380000000000003</v>
      </c>
      <c r="E1463">
        <v>5.83</v>
      </c>
      <c r="F1463">
        <f>COUNTIFS(mdr_rate_cleaned!$A$2:$A$10,B1463,mdr_rate_cleaned!$B$2:$B$10,"&lt;"&amp;C1463,mdr_rate_cleaned!$F$2:$F$10,"&gt;="&amp;C1463)</f>
        <v>1</v>
      </c>
      <c r="G1463">
        <v>1.7999999999999999E-2</v>
      </c>
      <c r="H1463">
        <v>32.380000000000003</v>
      </c>
      <c r="I1463" t="s">
        <v>15</v>
      </c>
      <c r="J1463" t="s">
        <v>15</v>
      </c>
      <c r="K1463">
        <v>5.83</v>
      </c>
      <c r="L1463">
        <v>0</v>
      </c>
    </row>
    <row r="1464" spans="1:12" x14ac:dyDescent="0.3">
      <c r="A1464" t="s">
        <v>1480</v>
      </c>
      <c r="B1464" t="s">
        <v>21</v>
      </c>
      <c r="C1464">
        <v>3298</v>
      </c>
      <c r="D1464">
        <v>9.89</v>
      </c>
      <c r="E1464">
        <v>1.78</v>
      </c>
      <c r="F1464">
        <f>COUNTIFS(mdr_rate_cleaned!$A$2:$A$10,B1464,mdr_rate_cleaned!$B$2:$B$10,"&lt;"&amp;C1464,mdr_rate_cleaned!$F$2:$F$10,"&gt;="&amp;C1464)</f>
        <v>1</v>
      </c>
      <c r="G1464">
        <v>3.0000000000000001E-3</v>
      </c>
      <c r="H1464">
        <v>9.89</v>
      </c>
      <c r="I1464" t="s">
        <v>15</v>
      </c>
      <c r="J1464" t="s">
        <v>15</v>
      </c>
      <c r="K1464">
        <v>1.78</v>
      </c>
      <c r="L1464">
        <v>0</v>
      </c>
    </row>
    <row r="1465" spans="1:12" x14ac:dyDescent="0.3">
      <c r="A1465" t="s">
        <v>1481</v>
      </c>
      <c r="B1465" t="s">
        <v>17</v>
      </c>
      <c r="C1465">
        <v>1799</v>
      </c>
      <c r="D1465">
        <v>32.380000000000003</v>
      </c>
      <c r="E1465">
        <v>5.83</v>
      </c>
      <c r="F1465">
        <f>COUNTIFS(mdr_rate_cleaned!$A$2:$A$10,B1465,mdr_rate_cleaned!$B$2:$B$10,"&lt;"&amp;C1465,mdr_rate_cleaned!$F$2:$F$10,"&gt;="&amp;C1465)</f>
        <v>1</v>
      </c>
      <c r="G1465">
        <v>1.7999999999999999E-2</v>
      </c>
      <c r="H1465">
        <v>32.380000000000003</v>
      </c>
      <c r="I1465" t="s">
        <v>15</v>
      </c>
      <c r="J1465" t="s">
        <v>15</v>
      </c>
      <c r="K1465">
        <v>5.83</v>
      </c>
      <c r="L1465">
        <v>0</v>
      </c>
    </row>
    <row r="1466" spans="1:12" x14ac:dyDescent="0.3">
      <c r="A1466" t="s">
        <v>1482</v>
      </c>
      <c r="B1466" t="s">
        <v>21</v>
      </c>
      <c r="C1466">
        <v>499</v>
      </c>
      <c r="D1466">
        <v>0</v>
      </c>
      <c r="E1466">
        <v>0</v>
      </c>
      <c r="F1466">
        <f>COUNTIFS(mdr_rate_cleaned!$A$2:$A$10,B1466,mdr_rate_cleaned!$B$2:$B$10,"&lt;"&amp;C1466,mdr_rate_cleaned!$F$2:$F$10,"&gt;="&amp;C1466)</f>
        <v>1</v>
      </c>
      <c r="G1466">
        <v>0</v>
      </c>
      <c r="H1466">
        <v>0</v>
      </c>
      <c r="I1466" t="s">
        <v>15</v>
      </c>
      <c r="J1466" t="s">
        <v>15</v>
      </c>
      <c r="K1466">
        <v>0</v>
      </c>
      <c r="L1466">
        <v>0</v>
      </c>
    </row>
    <row r="1467" spans="1:12" x14ac:dyDescent="0.3">
      <c r="A1467" t="s">
        <v>1483</v>
      </c>
      <c r="B1467" t="s">
        <v>21</v>
      </c>
      <c r="C1467">
        <v>8798</v>
      </c>
      <c r="D1467">
        <v>26.39</v>
      </c>
      <c r="E1467">
        <v>4.75</v>
      </c>
      <c r="F1467">
        <f>COUNTIFS(mdr_rate_cleaned!$A$2:$A$10,B1467,mdr_rate_cleaned!$B$2:$B$10,"&lt;"&amp;C1467,mdr_rate_cleaned!$F$2:$F$10,"&gt;="&amp;C1467)</f>
        <v>1</v>
      </c>
      <c r="G1467">
        <v>3.0000000000000001E-3</v>
      </c>
      <c r="H1467">
        <v>26.39</v>
      </c>
      <c r="I1467" t="s">
        <v>15</v>
      </c>
      <c r="J1467" t="s">
        <v>15</v>
      </c>
      <c r="K1467">
        <v>4.75</v>
      </c>
      <c r="L1467">
        <v>0</v>
      </c>
    </row>
    <row r="1468" spans="1:12" x14ac:dyDescent="0.3">
      <c r="A1468" t="s">
        <v>1484</v>
      </c>
      <c r="B1468" t="s">
        <v>21</v>
      </c>
      <c r="C1468">
        <v>7999</v>
      </c>
      <c r="D1468">
        <v>24</v>
      </c>
      <c r="E1468">
        <v>4.32</v>
      </c>
      <c r="F1468">
        <f>COUNTIFS(mdr_rate_cleaned!$A$2:$A$10,B1468,mdr_rate_cleaned!$B$2:$B$10,"&lt;"&amp;C1468,mdr_rate_cleaned!$F$2:$F$10,"&gt;="&amp;C1468)</f>
        <v>1</v>
      </c>
      <c r="G1468">
        <v>3.0000000000000001E-3</v>
      </c>
      <c r="H1468">
        <v>24</v>
      </c>
      <c r="I1468" t="s">
        <v>15</v>
      </c>
      <c r="J1468" t="s">
        <v>15</v>
      </c>
      <c r="K1468">
        <v>4.32</v>
      </c>
      <c r="L1468">
        <v>0</v>
      </c>
    </row>
    <row r="1469" spans="1:12" x14ac:dyDescent="0.3">
      <c r="A1469" t="s">
        <v>1485</v>
      </c>
      <c r="B1469" t="s">
        <v>21</v>
      </c>
      <c r="C1469">
        <v>1447</v>
      </c>
      <c r="D1469">
        <v>0</v>
      </c>
      <c r="E1469">
        <v>0</v>
      </c>
      <c r="F1469">
        <f>COUNTIFS(mdr_rate_cleaned!$A$2:$A$10,B1469,mdr_rate_cleaned!$B$2:$B$10,"&lt;"&amp;C1469,mdr_rate_cleaned!$F$2:$F$10,"&gt;="&amp;C1469)</f>
        <v>1</v>
      </c>
      <c r="G1469">
        <v>0</v>
      </c>
      <c r="H1469">
        <v>0</v>
      </c>
      <c r="I1469" t="s">
        <v>15</v>
      </c>
      <c r="J1469" t="s">
        <v>15</v>
      </c>
      <c r="K1469">
        <v>0</v>
      </c>
      <c r="L1469">
        <v>0</v>
      </c>
    </row>
    <row r="1470" spans="1:12" x14ac:dyDescent="0.3">
      <c r="A1470" t="s">
        <v>1486</v>
      </c>
      <c r="B1470" t="s">
        <v>17</v>
      </c>
      <c r="C1470">
        <v>349</v>
      </c>
      <c r="D1470">
        <v>6.28</v>
      </c>
      <c r="E1470">
        <v>1.1299999999999999</v>
      </c>
      <c r="F1470">
        <f>COUNTIFS(mdr_rate_cleaned!$A$2:$A$10,B1470,mdr_rate_cleaned!$B$2:$B$10,"&lt;"&amp;C1470,mdr_rate_cleaned!$F$2:$F$10,"&gt;="&amp;C1470)</f>
        <v>1</v>
      </c>
      <c r="G1470">
        <v>1.7999999999999999E-2</v>
      </c>
      <c r="H1470">
        <v>6.28</v>
      </c>
      <c r="I1470" t="s">
        <v>15</v>
      </c>
      <c r="J1470" t="s">
        <v>15</v>
      </c>
      <c r="K1470">
        <v>1.1299999999999999</v>
      </c>
      <c r="L1470">
        <v>0</v>
      </c>
    </row>
    <row r="1471" spans="1:12" x14ac:dyDescent="0.3">
      <c r="A1471" t="s">
        <v>1487</v>
      </c>
      <c r="B1471" t="s">
        <v>17</v>
      </c>
      <c r="C1471">
        <v>1298</v>
      </c>
      <c r="D1471">
        <v>23.36</v>
      </c>
      <c r="E1471">
        <v>4.2</v>
      </c>
      <c r="F1471">
        <f>COUNTIFS(mdr_rate_cleaned!$A$2:$A$10,B1471,mdr_rate_cleaned!$B$2:$B$10,"&lt;"&amp;C1471,mdr_rate_cleaned!$F$2:$F$10,"&gt;="&amp;C1471)</f>
        <v>1</v>
      </c>
      <c r="G1471">
        <v>1.7999999999999999E-2</v>
      </c>
      <c r="H1471">
        <v>23.36</v>
      </c>
      <c r="I1471" t="s">
        <v>15</v>
      </c>
      <c r="J1471" t="s">
        <v>15</v>
      </c>
      <c r="K1471">
        <v>4.2</v>
      </c>
      <c r="L1471">
        <v>0</v>
      </c>
    </row>
    <row r="1472" spans="1:12" x14ac:dyDescent="0.3">
      <c r="A1472" t="s">
        <v>1488</v>
      </c>
      <c r="B1472" t="s">
        <v>39</v>
      </c>
      <c r="C1472">
        <v>9798</v>
      </c>
      <c r="D1472">
        <v>117.58</v>
      </c>
      <c r="E1472">
        <v>21.16</v>
      </c>
      <c r="F1472">
        <f>COUNTIFS(mdr_rate_cleaned!$A$2:$A$10,B1472,mdr_rate_cleaned!$B$2:$B$10,"&lt;"&amp;C1472,mdr_rate_cleaned!$F$2:$F$10,"&gt;="&amp;C1472)</f>
        <v>1</v>
      </c>
      <c r="G1472">
        <v>1.2E-2</v>
      </c>
      <c r="H1472">
        <v>117.58</v>
      </c>
      <c r="I1472" t="s">
        <v>15</v>
      </c>
      <c r="J1472" t="s">
        <v>15</v>
      </c>
      <c r="K1472">
        <v>21.16</v>
      </c>
      <c r="L1472">
        <v>0</v>
      </c>
    </row>
    <row r="1473" spans="1:12" x14ac:dyDescent="0.3">
      <c r="A1473" t="s">
        <v>1489</v>
      </c>
      <c r="B1473" t="s">
        <v>21</v>
      </c>
      <c r="C1473">
        <v>4298</v>
      </c>
      <c r="D1473">
        <v>12.89</v>
      </c>
      <c r="E1473">
        <v>2.3199999999999998</v>
      </c>
      <c r="F1473">
        <f>COUNTIFS(mdr_rate_cleaned!$A$2:$A$10,B1473,mdr_rate_cleaned!$B$2:$B$10,"&lt;"&amp;C1473,mdr_rate_cleaned!$F$2:$F$10,"&gt;="&amp;C1473)</f>
        <v>1</v>
      </c>
      <c r="G1473">
        <v>3.0000000000000001E-3</v>
      </c>
      <c r="H1473">
        <v>12.89</v>
      </c>
      <c r="I1473" t="s">
        <v>15</v>
      </c>
      <c r="J1473" t="s">
        <v>15</v>
      </c>
      <c r="K1473">
        <v>2.3199999999999998</v>
      </c>
      <c r="L1473">
        <v>0</v>
      </c>
    </row>
    <row r="1474" spans="1:12" x14ac:dyDescent="0.3">
      <c r="A1474" t="s">
        <v>1490</v>
      </c>
      <c r="B1474" t="s">
        <v>13</v>
      </c>
      <c r="C1474">
        <v>3499</v>
      </c>
      <c r="D1474">
        <v>59.48</v>
      </c>
      <c r="E1474">
        <v>10.71</v>
      </c>
      <c r="F1474">
        <f>COUNTIFS(mdr_rate_cleaned!$A$2:$A$10,B1474,mdr_rate_cleaned!$B$2:$B$10,"&lt;"&amp;C1474,mdr_rate_cleaned!$F$2:$F$10,"&gt;="&amp;C1474)</f>
        <v>1</v>
      </c>
      <c r="G1474">
        <v>1.7000000000000001E-2</v>
      </c>
      <c r="H1474">
        <v>59.48</v>
      </c>
      <c r="I1474" t="s">
        <v>15</v>
      </c>
      <c r="J1474" t="s">
        <v>15</v>
      </c>
      <c r="K1474">
        <v>10.71</v>
      </c>
      <c r="L1474">
        <v>0</v>
      </c>
    </row>
    <row r="1475" spans="1:12" x14ac:dyDescent="0.3">
      <c r="A1475" t="s">
        <v>1491</v>
      </c>
      <c r="B1475" t="s">
        <v>13</v>
      </c>
      <c r="C1475">
        <v>1598</v>
      </c>
      <c r="D1475">
        <v>30.36</v>
      </c>
      <c r="E1475">
        <v>5.46</v>
      </c>
      <c r="F1475">
        <f>COUNTIFS(mdr_rate_cleaned!$A$2:$A$10,B1475,mdr_rate_cleaned!$B$2:$B$10,"&lt;"&amp;C1475,mdr_rate_cleaned!$F$2:$F$10,"&gt;="&amp;C1475)</f>
        <v>1</v>
      </c>
      <c r="G1475">
        <v>1.9E-2</v>
      </c>
      <c r="H1475">
        <v>30.36</v>
      </c>
      <c r="I1475" t="s">
        <v>15</v>
      </c>
      <c r="J1475" t="s">
        <v>15</v>
      </c>
      <c r="K1475">
        <v>5.46</v>
      </c>
      <c r="L1475">
        <v>0</v>
      </c>
    </row>
    <row r="1476" spans="1:12" x14ac:dyDescent="0.3">
      <c r="A1476" t="s">
        <v>1492</v>
      </c>
      <c r="B1476" t="s">
        <v>21</v>
      </c>
      <c r="C1476">
        <v>4998</v>
      </c>
      <c r="D1476">
        <v>14.99</v>
      </c>
      <c r="E1476">
        <v>2.7</v>
      </c>
      <c r="F1476">
        <f>COUNTIFS(mdr_rate_cleaned!$A$2:$A$10,B1476,mdr_rate_cleaned!$B$2:$B$10,"&lt;"&amp;C1476,mdr_rate_cleaned!$F$2:$F$10,"&gt;="&amp;C1476)</f>
        <v>1</v>
      </c>
      <c r="G1476">
        <v>3.0000000000000001E-3</v>
      </c>
      <c r="H1476">
        <v>14.99</v>
      </c>
      <c r="I1476" t="s">
        <v>15</v>
      </c>
      <c r="J1476" t="s">
        <v>15</v>
      </c>
      <c r="K1476">
        <v>2.7</v>
      </c>
      <c r="L1476">
        <v>0</v>
      </c>
    </row>
    <row r="1477" spans="1:12" x14ac:dyDescent="0.3">
      <c r="A1477" t="s">
        <v>1493</v>
      </c>
      <c r="B1477" t="s">
        <v>17</v>
      </c>
      <c r="C1477">
        <v>10498</v>
      </c>
      <c r="D1477">
        <v>167.97</v>
      </c>
      <c r="E1477">
        <v>30.23</v>
      </c>
      <c r="F1477">
        <f>COUNTIFS(mdr_rate_cleaned!$A$2:$A$10,B1477,mdr_rate_cleaned!$B$2:$B$10,"&lt;"&amp;C1477,mdr_rate_cleaned!$F$2:$F$10,"&gt;="&amp;C1477)</f>
        <v>1</v>
      </c>
      <c r="G1477">
        <v>1.6E-2</v>
      </c>
      <c r="H1477">
        <v>167.97</v>
      </c>
      <c r="I1477" t="s">
        <v>15</v>
      </c>
      <c r="J1477" t="s">
        <v>15</v>
      </c>
      <c r="K1477">
        <v>30.23</v>
      </c>
      <c r="L1477">
        <v>0</v>
      </c>
    </row>
    <row r="1478" spans="1:12" x14ac:dyDescent="0.3">
      <c r="A1478" t="s">
        <v>1494</v>
      </c>
      <c r="B1478" t="s">
        <v>21</v>
      </c>
      <c r="C1478">
        <v>6498</v>
      </c>
      <c r="D1478">
        <v>19.489999999999998</v>
      </c>
      <c r="E1478">
        <v>3.51</v>
      </c>
      <c r="F1478">
        <f>COUNTIFS(mdr_rate_cleaned!$A$2:$A$10,B1478,mdr_rate_cleaned!$B$2:$B$10,"&lt;"&amp;C1478,mdr_rate_cleaned!$F$2:$F$10,"&gt;="&amp;C1478)</f>
        <v>1</v>
      </c>
      <c r="G1478">
        <v>3.0000000000000001E-3</v>
      </c>
      <c r="H1478">
        <v>19.489999999999998</v>
      </c>
      <c r="I1478" t="s">
        <v>15</v>
      </c>
      <c r="J1478" t="s">
        <v>15</v>
      </c>
      <c r="K1478">
        <v>3.51</v>
      </c>
      <c r="L1478">
        <v>0</v>
      </c>
    </row>
    <row r="1479" spans="1:12" x14ac:dyDescent="0.3">
      <c r="A1479" t="s">
        <v>1495</v>
      </c>
      <c r="B1479" t="s">
        <v>21</v>
      </c>
      <c r="C1479">
        <v>799</v>
      </c>
      <c r="D1479">
        <v>0</v>
      </c>
      <c r="E1479">
        <v>0</v>
      </c>
      <c r="F1479">
        <f>COUNTIFS(mdr_rate_cleaned!$A$2:$A$10,B1479,mdr_rate_cleaned!$B$2:$B$10,"&lt;"&amp;C1479,mdr_rate_cleaned!$F$2:$F$10,"&gt;="&amp;C1479)</f>
        <v>1</v>
      </c>
      <c r="G1479">
        <v>0</v>
      </c>
      <c r="H1479">
        <v>0</v>
      </c>
      <c r="I1479" t="s">
        <v>15</v>
      </c>
      <c r="J1479" t="s">
        <v>15</v>
      </c>
      <c r="K1479">
        <v>0</v>
      </c>
      <c r="L1479">
        <v>0</v>
      </c>
    </row>
    <row r="1480" spans="1:12" x14ac:dyDescent="0.3">
      <c r="A1480" t="s">
        <v>1496</v>
      </c>
      <c r="B1480" t="s">
        <v>39</v>
      </c>
      <c r="C1480">
        <v>4999</v>
      </c>
      <c r="D1480">
        <v>59.99</v>
      </c>
      <c r="E1480">
        <v>10.8</v>
      </c>
      <c r="F1480">
        <f>COUNTIFS(mdr_rate_cleaned!$A$2:$A$10,B1480,mdr_rate_cleaned!$B$2:$B$10,"&lt;"&amp;C1480,mdr_rate_cleaned!$F$2:$F$10,"&gt;="&amp;C1480)</f>
        <v>1</v>
      </c>
      <c r="G1480">
        <v>1.2E-2</v>
      </c>
      <c r="H1480">
        <v>59.99</v>
      </c>
      <c r="I1480" t="s">
        <v>15</v>
      </c>
      <c r="J1480" t="s">
        <v>15</v>
      </c>
      <c r="K1480">
        <v>10.8</v>
      </c>
      <c r="L1480">
        <v>0</v>
      </c>
    </row>
    <row r="1481" spans="1:12" x14ac:dyDescent="0.3">
      <c r="A1481" t="s">
        <v>1497</v>
      </c>
      <c r="B1481" t="s">
        <v>21</v>
      </c>
      <c r="C1481">
        <v>4498</v>
      </c>
      <c r="D1481">
        <v>13.49</v>
      </c>
      <c r="E1481">
        <v>2.4300000000000002</v>
      </c>
      <c r="F1481">
        <f>COUNTIFS(mdr_rate_cleaned!$A$2:$A$10,B1481,mdr_rate_cleaned!$B$2:$B$10,"&lt;"&amp;C1481,mdr_rate_cleaned!$F$2:$F$10,"&gt;="&amp;C1481)</f>
        <v>1</v>
      </c>
      <c r="G1481">
        <v>3.0000000000000001E-3</v>
      </c>
      <c r="H1481">
        <v>13.49</v>
      </c>
      <c r="I1481" t="s">
        <v>15</v>
      </c>
      <c r="J1481" t="s">
        <v>15</v>
      </c>
      <c r="K1481">
        <v>2.4300000000000002</v>
      </c>
      <c r="L1481">
        <v>0</v>
      </c>
    </row>
    <row r="1482" spans="1:12" x14ac:dyDescent="0.3">
      <c r="A1482" t="s">
        <v>1498</v>
      </c>
      <c r="B1482" t="s">
        <v>17</v>
      </c>
      <c r="C1482">
        <v>5798</v>
      </c>
      <c r="D1482">
        <v>92.77</v>
      </c>
      <c r="E1482">
        <v>16.7</v>
      </c>
      <c r="F1482">
        <f>COUNTIFS(mdr_rate_cleaned!$A$2:$A$10,B1482,mdr_rate_cleaned!$B$2:$B$10,"&lt;"&amp;C1482,mdr_rate_cleaned!$F$2:$F$10,"&gt;="&amp;C1482)</f>
        <v>1</v>
      </c>
      <c r="G1482">
        <v>1.6E-2</v>
      </c>
      <c r="H1482">
        <v>92.77</v>
      </c>
      <c r="I1482" t="s">
        <v>15</v>
      </c>
      <c r="J1482" t="s">
        <v>15</v>
      </c>
      <c r="K1482">
        <v>16.7</v>
      </c>
      <c r="L1482">
        <v>0</v>
      </c>
    </row>
    <row r="1483" spans="1:12" x14ac:dyDescent="0.3">
      <c r="A1483" t="s">
        <v>1499</v>
      </c>
      <c r="B1483" t="s">
        <v>17</v>
      </c>
      <c r="C1483">
        <v>9797</v>
      </c>
      <c r="D1483">
        <v>156.75</v>
      </c>
      <c r="E1483">
        <v>28.22</v>
      </c>
      <c r="F1483">
        <f>COUNTIFS(mdr_rate_cleaned!$A$2:$A$10,B1483,mdr_rate_cleaned!$B$2:$B$10,"&lt;"&amp;C1483,mdr_rate_cleaned!$F$2:$F$10,"&gt;="&amp;C1483)</f>
        <v>1</v>
      </c>
      <c r="G1483">
        <v>1.6E-2</v>
      </c>
      <c r="H1483">
        <v>156.75</v>
      </c>
      <c r="I1483" t="s">
        <v>15</v>
      </c>
      <c r="J1483" t="s">
        <v>15</v>
      </c>
      <c r="K1483">
        <v>28.22</v>
      </c>
      <c r="L1483">
        <v>0</v>
      </c>
    </row>
    <row r="1484" spans="1:12" x14ac:dyDescent="0.3">
      <c r="A1484" t="s">
        <v>1500</v>
      </c>
      <c r="B1484" t="s">
        <v>17</v>
      </c>
      <c r="C1484">
        <v>2598</v>
      </c>
      <c r="D1484">
        <v>41.57</v>
      </c>
      <c r="E1484">
        <v>7.48</v>
      </c>
      <c r="F1484">
        <f>COUNTIFS(mdr_rate_cleaned!$A$2:$A$10,B1484,mdr_rate_cleaned!$B$2:$B$10,"&lt;"&amp;C1484,mdr_rate_cleaned!$F$2:$F$10,"&gt;="&amp;C1484)</f>
        <v>1</v>
      </c>
      <c r="G1484">
        <v>1.6E-2</v>
      </c>
      <c r="H1484">
        <v>41.57</v>
      </c>
      <c r="I1484" t="s">
        <v>15</v>
      </c>
      <c r="J1484" t="s">
        <v>15</v>
      </c>
      <c r="K1484">
        <v>7.48</v>
      </c>
      <c r="L1484">
        <v>0</v>
      </c>
    </row>
    <row r="1485" spans="1:12" x14ac:dyDescent="0.3">
      <c r="A1485" t="s">
        <v>1501</v>
      </c>
      <c r="B1485" t="s">
        <v>21</v>
      </c>
      <c r="C1485">
        <v>3499</v>
      </c>
      <c r="D1485">
        <v>10.5</v>
      </c>
      <c r="E1485">
        <v>1.89</v>
      </c>
      <c r="F1485">
        <f>COUNTIFS(mdr_rate_cleaned!$A$2:$A$10,B1485,mdr_rate_cleaned!$B$2:$B$10,"&lt;"&amp;C1485,mdr_rate_cleaned!$F$2:$F$10,"&gt;="&amp;C1485)</f>
        <v>1</v>
      </c>
      <c r="G1485">
        <v>3.0000000000000001E-3</v>
      </c>
      <c r="H1485">
        <v>10.5</v>
      </c>
      <c r="I1485" t="s">
        <v>15</v>
      </c>
      <c r="J1485" t="s">
        <v>15</v>
      </c>
      <c r="K1485">
        <v>1.89</v>
      </c>
      <c r="L1485">
        <v>0</v>
      </c>
    </row>
    <row r="1486" spans="1:12" x14ac:dyDescent="0.3">
      <c r="A1486" t="s">
        <v>1502</v>
      </c>
      <c r="B1486" t="s">
        <v>21</v>
      </c>
      <c r="C1486">
        <v>499</v>
      </c>
      <c r="D1486">
        <v>0</v>
      </c>
      <c r="E1486">
        <v>0</v>
      </c>
      <c r="F1486">
        <f>COUNTIFS(mdr_rate_cleaned!$A$2:$A$10,B1486,mdr_rate_cleaned!$B$2:$B$10,"&lt;"&amp;C1486,mdr_rate_cleaned!$F$2:$F$10,"&gt;="&amp;C1486)</f>
        <v>1</v>
      </c>
      <c r="G1486">
        <v>0</v>
      </c>
      <c r="H1486">
        <v>0</v>
      </c>
      <c r="I1486" t="s">
        <v>15</v>
      </c>
      <c r="J1486" t="s">
        <v>15</v>
      </c>
      <c r="K1486">
        <v>0</v>
      </c>
      <c r="L1486">
        <v>0</v>
      </c>
    </row>
    <row r="1487" spans="1:12" x14ac:dyDescent="0.3">
      <c r="A1487" t="s">
        <v>1503</v>
      </c>
      <c r="B1487" t="s">
        <v>21</v>
      </c>
      <c r="C1487">
        <v>3298</v>
      </c>
      <c r="D1487">
        <v>9.89</v>
      </c>
      <c r="E1487">
        <v>1.78</v>
      </c>
      <c r="F1487">
        <f>COUNTIFS(mdr_rate_cleaned!$A$2:$A$10,B1487,mdr_rate_cleaned!$B$2:$B$10,"&lt;"&amp;C1487,mdr_rate_cleaned!$F$2:$F$10,"&gt;="&amp;C1487)</f>
        <v>1</v>
      </c>
      <c r="G1487">
        <v>3.0000000000000001E-3</v>
      </c>
      <c r="H1487">
        <v>9.89</v>
      </c>
      <c r="I1487" t="s">
        <v>15</v>
      </c>
      <c r="J1487" t="s">
        <v>15</v>
      </c>
      <c r="K1487">
        <v>1.78</v>
      </c>
      <c r="L1487">
        <v>0</v>
      </c>
    </row>
    <row r="1488" spans="1:12" x14ac:dyDescent="0.3">
      <c r="A1488" t="s">
        <v>1504</v>
      </c>
      <c r="B1488" t="s">
        <v>21</v>
      </c>
      <c r="C1488">
        <v>5297</v>
      </c>
      <c r="D1488">
        <v>15.89</v>
      </c>
      <c r="E1488">
        <v>2.86</v>
      </c>
      <c r="F1488">
        <f>COUNTIFS(mdr_rate_cleaned!$A$2:$A$10,B1488,mdr_rate_cleaned!$B$2:$B$10,"&lt;"&amp;C1488,mdr_rate_cleaned!$F$2:$F$10,"&gt;="&amp;C1488)</f>
        <v>1</v>
      </c>
      <c r="G1488">
        <v>3.0000000000000001E-3</v>
      </c>
      <c r="H1488">
        <v>15.89</v>
      </c>
      <c r="I1488" t="s">
        <v>15</v>
      </c>
      <c r="J1488" t="s">
        <v>15</v>
      </c>
      <c r="K1488">
        <v>2.86</v>
      </c>
      <c r="L1488">
        <v>0</v>
      </c>
    </row>
    <row r="1489" spans="1:12" x14ac:dyDescent="0.3">
      <c r="A1489" t="s">
        <v>1505</v>
      </c>
      <c r="B1489" t="s">
        <v>17</v>
      </c>
      <c r="C1489">
        <v>799</v>
      </c>
      <c r="D1489">
        <v>14.38</v>
      </c>
      <c r="E1489">
        <v>2.59</v>
      </c>
      <c r="F1489">
        <f>COUNTIFS(mdr_rate_cleaned!$A$2:$A$10,B1489,mdr_rate_cleaned!$B$2:$B$10,"&lt;"&amp;C1489,mdr_rate_cleaned!$F$2:$F$10,"&gt;="&amp;C1489)</f>
        <v>1</v>
      </c>
      <c r="G1489">
        <v>1.7999999999999999E-2</v>
      </c>
      <c r="H1489">
        <v>14.38</v>
      </c>
      <c r="I1489" t="s">
        <v>15</v>
      </c>
      <c r="J1489" t="s">
        <v>15</v>
      </c>
      <c r="K1489">
        <v>2.59</v>
      </c>
      <c r="L1489">
        <v>0</v>
      </c>
    </row>
    <row r="1490" spans="1:12" x14ac:dyDescent="0.3">
      <c r="A1490" t="s">
        <v>1506</v>
      </c>
      <c r="B1490" t="s">
        <v>21</v>
      </c>
      <c r="C1490">
        <v>1499</v>
      </c>
      <c r="D1490">
        <v>0</v>
      </c>
      <c r="E1490">
        <v>0</v>
      </c>
      <c r="F1490">
        <f>COUNTIFS(mdr_rate_cleaned!$A$2:$A$10,B1490,mdr_rate_cleaned!$B$2:$B$10,"&lt;"&amp;C1490,mdr_rate_cleaned!$F$2:$F$10,"&gt;="&amp;C1490)</f>
        <v>1</v>
      </c>
      <c r="G1490">
        <v>0</v>
      </c>
      <c r="H1490">
        <v>0</v>
      </c>
      <c r="I1490" t="s">
        <v>15</v>
      </c>
      <c r="J1490" t="s">
        <v>15</v>
      </c>
      <c r="K1490">
        <v>0</v>
      </c>
      <c r="L1490">
        <v>0</v>
      </c>
    </row>
    <row r="1491" spans="1:12" x14ac:dyDescent="0.3">
      <c r="A1491" t="s">
        <v>1507</v>
      </c>
      <c r="B1491" t="s">
        <v>21</v>
      </c>
      <c r="C1491">
        <v>8498</v>
      </c>
      <c r="D1491">
        <v>25.49</v>
      </c>
      <c r="E1491">
        <v>4.59</v>
      </c>
      <c r="F1491">
        <f>COUNTIFS(mdr_rate_cleaned!$A$2:$A$10,B1491,mdr_rate_cleaned!$B$2:$B$10,"&lt;"&amp;C1491,mdr_rate_cleaned!$F$2:$F$10,"&gt;="&amp;C1491)</f>
        <v>1</v>
      </c>
      <c r="G1491">
        <v>3.0000000000000001E-3</v>
      </c>
      <c r="H1491">
        <v>25.49</v>
      </c>
      <c r="I1491" t="s">
        <v>15</v>
      </c>
      <c r="J1491" t="s">
        <v>15</v>
      </c>
      <c r="K1491">
        <v>4.59</v>
      </c>
      <c r="L1491">
        <v>0</v>
      </c>
    </row>
    <row r="1492" spans="1:12" x14ac:dyDescent="0.3">
      <c r="A1492" t="s">
        <v>1508</v>
      </c>
      <c r="B1492" t="s">
        <v>21</v>
      </c>
      <c r="C1492">
        <v>5798</v>
      </c>
      <c r="D1492">
        <v>17.39</v>
      </c>
      <c r="E1492">
        <v>3.13</v>
      </c>
      <c r="F1492">
        <f>COUNTIFS(mdr_rate_cleaned!$A$2:$A$10,B1492,mdr_rate_cleaned!$B$2:$B$10,"&lt;"&amp;C1492,mdr_rate_cleaned!$F$2:$F$10,"&gt;="&amp;C1492)</f>
        <v>1</v>
      </c>
      <c r="G1492">
        <v>3.0000000000000001E-3</v>
      </c>
      <c r="H1492">
        <v>17.39</v>
      </c>
      <c r="I1492" t="s">
        <v>15</v>
      </c>
      <c r="J1492" t="s">
        <v>15</v>
      </c>
      <c r="K1492">
        <v>3.13</v>
      </c>
      <c r="L1492">
        <v>0</v>
      </c>
    </row>
    <row r="1493" spans="1:12" x14ac:dyDescent="0.3">
      <c r="A1493" t="s">
        <v>1509</v>
      </c>
      <c r="B1493" t="s">
        <v>17</v>
      </c>
      <c r="C1493">
        <v>999</v>
      </c>
      <c r="D1493">
        <v>17.98</v>
      </c>
      <c r="E1493">
        <v>3.24</v>
      </c>
      <c r="F1493">
        <f>COUNTIFS(mdr_rate_cleaned!$A$2:$A$10,B1493,mdr_rate_cleaned!$B$2:$B$10,"&lt;"&amp;C1493,mdr_rate_cleaned!$F$2:$F$10,"&gt;="&amp;C1493)</f>
        <v>1</v>
      </c>
      <c r="G1493">
        <v>1.7999999999999999E-2</v>
      </c>
      <c r="H1493">
        <v>17.98</v>
      </c>
      <c r="I1493" t="s">
        <v>15</v>
      </c>
      <c r="J1493" t="s">
        <v>15</v>
      </c>
      <c r="K1493">
        <v>3.24</v>
      </c>
      <c r="L1493">
        <v>0</v>
      </c>
    </row>
    <row r="1494" spans="1:12" x14ac:dyDescent="0.3">
      <c r="A1494" t="s">
        <v>1510</v>
      </c>
      <c r="B1494" t="s">
        <v>21</v>
      </c>
      <c r="C1494">
        <v>5998</v>
      </c>
      <c r="D1494">
        <v>17.989999999999998</v>
      </c>
      <c r="E1494">
        <v>3.24</v>
      </c>
      <c r="F1494">
        <f>COUNTIFS(mdr_rate_cleaned!$A$2:$A$10,B1494,mdr_rate_cleaned!$B$2:$B$10,"&lt;"&amp;C1494,mdr_rate_cleaned!$F$2:$F$10,"&gt;="&amp;C1494)</f>
        <v>1</v>
      </c>
      <c r="G1494">
        <v>3.0000000000000001E-3</v>
      </c>
      <c r="H1494">
        <v>17.989999999999998</v>
      </c>
      <c r="I1494" t="s">
        <v>15</v>
      </c>
      <c r="J1494" t="s">
        <v>15</v>
      </c>
      <c r="K1494">
        <v>3.24</v>
      </c>
      <c r="L1494">
        <v>0</v>
      </c>
    </row>
    <row r="1495" spans="1:12" x14ac:dyDescent="0.3">
      <c r="A1495" t="s">
        <v>1511</v>
      </c>
      <c r="B1495" t="s">
        <v>13</v>
      </c>
      <c r="C1495">
        <v>349</v>
      </c>
      <c r="D1495">
        <v>6.63</v>
      </c>
      <c r="E1495">
        <v>1.19</v>
      </c>
      <c r="F1495">
        <f>COUNTIFS(mdr_rate_cleaned!$A$2:$A$10,B1495,mdr_rate_cleaned!$B$2:$B$10,"&lt;"&amp;C1495,mdr_rate_cleaned!$F$2:$F$10,"&gt;="&amp;C1495)</f>
        <v>1</v>
      </c>
      <c r="G1495">
        <v>1.9E-2</v>
      </c>
      <c r="H1495">
        <v>6.63</v>
      </c>
      <c r="I1495" t="s">
        <v>15</v>
      </c>
      <c r="J1495" t="s">
        <v>15</v>
      </c>
      <c r="K1495">
        <v>1.19</v>
      </c>
      <c r="L1495">
        <v>0</v>
      </c>
    </row>
    <row r="1496" spans="1:12" x14ac:dyDescent="0.3">
      <c r="A1496" t="s">
        <v>1512</v>
      </c>
      <c r="B1496" t="s">
        <v>17</v>
      </c>
      <c r="C1496">
        <v>299</v>
      </c>
      <c r="D1496">
        <v>5.38</v>
      </c>
      <c r="E1496">
        <v>0.97</v>
      </c>
      <c r="F1496">
        <f>COUNTIFS(mdr_rate_cleaned!$A$2:$A$10,B1496,mdr_rate_cleaned!$B$2:$B$10,"&lt;"&amp;C1496,mdr_rate_cleaned!$F$2:$F$10,"&gt;="&amp;C1496)</f>
        <v>1</v>
      </c>
      <c r="G1496">
        <v>1.7999999999999999E-2</v>
      </c>
      <c r="H1496">
        <v>5.38</v>
      </c>
      <c r="I1496" t="s">
        <v>15</v>
      </c>
      <c r="J1496" t="s">
        <v>15</v>
      </c>
      <c r="K1496">
        <v>0.97</v>
      </c>
      <c r="L1496">
        <v>0</v>
      </c>
    </row>
    <row r="1497" spans="1:12" x14ac:dyDescent="0.3">
      <c r="A1497" t="s">
        <v>1513</v>
      </c>
      <c r="B1497" t="s">
        <v>21</v>
      </c>
      <c r="C1497">
        <v>299</v>
      </c>
      <c r="D1497">
        <v>0</v>
      </c>
      <c r="E1497">
        <v>0</v>
      </c>
      <c r="F1497">
        <f>COUNTIFS(mdr_rate_cleaned!$A$2:$A$10,B1497,mdr_rate_cleaned!$B$2:$B$10,"&lt;"&amp;C1497,mdr_rate_cleaned!$F$2:$F$10,"&gt;="&amp;C1497)</f>
        <v>1</v>
      </c>
      <c r="G1497">
        <v>0</v>
      </c>
      <c r="H1497">
        <v>0</v>
      </c>
      <c r="I1497" t="s">
        <v>15</v>
      </c>
      <c r="J1497" t="s">
        <v>15</v>
      </c>
      <c r="K1497">
        <v>0</v>
      </c>
      <c r="L1497">
        <v>0</v>
      </c>
    </row>
    <row r="1498" spans="1:12" x14ac:dyDescent="0.3">
      <c r="A1498" t="s">
        <v>1514</v>
      </c>
      <c r="B1498" t="s">
        <v>21</v>
      </c>
      <c r="C1498">
        <v>499</v>
      </c>
      <c r="D1498">
        <v>0</v>
      </c>
      <c r="E1498">
        <v>0</v>
      </c>
      <c r="F1498">
        <f>COUNTIFS(mdr_rate_cleaned!$A$2:$A$10,B1498,mdr_rate_cleaned!$B$2:$B$10,"&lt;"&amp;C1498,mdr_rate_cleaned!$F$2:$F$10,"&gt;="&amp;C1498)</f>
        <v>1</v>
      </c>
      <c r="G1498">
        <v>0</v>
      </c>
      <c r="H1498">
        <v>0</v>
      </c>
      <c r="I1498" t="s">
        <v>15</v>
      </c>
      <c r="J1498" t="s">
        <v>15</v>
      </c>
      <c r="K1498">
        <v>0</v>
      </c>
      <c r="L1498">
        <v>0</v>
      </c>
    </row>
    <row r="1499" spans="1:12" x14ac:dyDescent="0.3">
      <c r="A1499" t="s">
        <v>1515</v>
      </c>
      <c r="B1499" t="s">
        <v>21</v>
      </c>
      <c r="C1499">
        <v>2999</v>
      </c>
      <c r="D1499">
        <v>9</v>
      </c>
      <c r="E1499">
        <v>1.62</v>
      </c>
      <c r="F1499">
        <f>COUNTIFS(mdr_rate_cleaned!$A$2:$A$10,B1499,mdr_rate_cleaned!$B$2:$B$10,"&lt;"&amp;C1499,mdr_rate_cleaned!$F$2:$F$10,"&gt;="&amp;C1499)</f>
        <v>1</v>
      </c>
      <c r="G1499">
        <v>3.0000000000000001E-3</v>
      </c>
      <c r="H1499">
        <v>9</v>
      </c>
      <c r="I1499" t="s">
        <v>15</v>
      </c>
      <c r="J1499" t="s">
        <v>15</v>
      </c>
      <c r="K1499">
        <v>1.62</v>
      </c>
      <c r="L1499">
        <v>0</v>
      </c>
    </row>
    <row r="1500" spans="1:12" x14ac:dyDescent="0.3">
      <c r="A1500" t="s">
        <v>1516</v>
      </c>
      <c r="B1500" t="s">
        <v>21</v>
      </c>
      <c r="C1500">
        <v>2098</v>
      </c>
      <c r="D1500">
        <v>6.29</v>
      </c>
      <c r="E1500">
        <v>1.1299999999999999</v>
      </c>
      <c r="F1500">
        <f>COUNTIFS(mdr_rate_cleaned!$A$2:$A$10,B1500,mdr_rate_cleaned!$B$2:$B$10,"&lt;"&amp;C1500,mdr_rate_cleaned!$F$2:$F$10,"&gt;="&amp;C1500)</f>
        <v>1</v>
      </c>
      <c r="G1500">
        <v>3.0000000000000001E-3</v>
      </c>
      <c r="H1500">
        <v>6.29</v>
      </c>
      <c r="I1500" t="s">
        <v>15</v>
      </c>
      <c r="J1500" t="s">
        <v>15</v>
      </c>
      <c r="K1500">
        <v>1.1299999999999999</v>
      </c>
      <c r="L1500">
        <v>0</v>
      </c>
    </row>
    <row r="1501" spans="1:12" x14ac:dyDescent="0.3">
      <c r="A1501" t="s">
        <v>1517</v>
      </c>
      <c r="B1501" t="s">
        <v>13</v>
      </c>
      <c r="C1501">
        <v>3797</v>
      </c>
      <c r="D1501">
        <v>64.55</v>
      </c>
      <c r="E1501">
        <v>11.62</v>
      </c>
      <c r="F1501">
        <f>COUNTIFS(mdr_rate_cleaned!$A$2:$A$10,B1501,mdr_rate_cleaned!$B$2:$B$10,"&lt;"&amp;C1501,mdr_rate_cleaned!$F$2:$F$10,"&gt;="&amp;C1501)</f>
        <v>1</v>
      </c>
      <c r="G1501">
        <v>1.7000000000000001E-2</v>
      </c>
      <c r="H1501">
        <v>64.55</v>
      </c>
      <c r="I1501" t="s">
        <v>15</v>
      </c>
      <c r="J1501" t="s">
        <v>15</v>
      </c>
      <c r="K1501">
        <v>11.62</v>
      </c>
      <c r="L1501">
        <v>0</v>
      </c>
    </row>
    <row r="1502" spans="1:12" x14ac:dyDescent="0.3">
      <c r="A1502" t="s">
        <v>1518</v>
      </c>
      <c r="B1502" t="s">
        <v>21</v>
      </c>
      <c r="C1502">
        <v>4999</v>
      </c>
      <c r="D1502">
        <v>15</v>
      </c>
      <c r="E1502">
        <v>2.7</v>
      </c>
      <c r="F1502">
        <f>COUNTIFS(mdr_rate_cleaned!$A$2:$A$10,B1502,mdr_rate_cleaned!$B$2:$B$10,"&lt;"&amp;C1502,mdr_rate_cleaned!$F$2:$F$10,"&gt;="&amp;C1502)</f>
        <v>1</v>
      </c>
      <c r="G1502">
        <v>3.0000000000000001E-3</v>
      </c>
      <c r="H1502">
        <v>15</v>
      </c>
      <c r="I1502" t="s">
        <v>15</v>
      </c>
      <c r="J1502" t="s">
        <v>15</v>
      </c>
      <c r="K1502">
        <v>2.7</v>
      </c>
      <c r="L1502">
        <v>0</v>
      </c>
    </row>
    <row r="1503" spans="1:12" x14ac:dyDescent="0.3">
      <c r="A1503" t="s">
        <v>1519</v>
      </c>
      <c r="B1503" t="s">
        <v>17</v>
      </c>
      <c r="C1503">
        <v>1798</v>
      </c>
      <c r="D1503">
        <v>32.36</v>
      </c>
      <c r="E1503">
        <v>5.82</v>
      </c>
      <c r="F1503">
        <f>COUNTIFS(mdr_rate_cleaned!$A$2:$A$10,B1503,mdr_rate_cleaned!$B$2:$B$10,"&lt;"&amp;C1503,mdr_rate_cleaned!$F$2:$F$10,"&gt;="&amp;C1503)</f>
        <v>1</v>
      </c>
      <c r="G1503">
        <v>1.7999999999999999E-2</v>
      </c>
      <c r="H1503">
        <v>32.36</v>
      </c>
      <c r="I1503" t="s">
        <v>15</v>
      </c>
      <c r="J1503" t="s">
        <v>15</v>
      </c>
      <c r="K1503">
        <v>5.82</v>
      </c>
      <c r="L1503">
        <v>0</v>
      </c>
    </row>
    <row r="1504" spans="1:12" x14ac:dyDescent="0.3">
      <c r="A1504" t="s">
        <v>1520</v>
      </c>
      <c r="B1504" t="s">
        <v>21</v>
      </c>
      <c r="C1504">
        <v>7998</v>
      </c>
      <c r="D1504">
        <v>23.99</v>
      </c>
      <c r="E1504">
        <v>4.32</v>
      </c>
      <c r="F1504">
        <f>COUNTIFS(mdr_rate_cleaned!$A$2:$A$10,B1504,mdr_rate_cleaned!$B$2:$B$10,"&lt;"&amp;C1504,mdr_rate_cleaned!$F$2:$F$10,"&gt;="&amp;C1504)</f>
        <v>1</v>
      </c>
      <c r="G1504">
        <v>3.0000000000000001E-3</v>
      </c>
      <c r="H1504">
        <v>23.99</v>
      </c>
      <c r="I1504" t="s">
        <v>15</v>
      </c>
      <c r="J1504" t="s">
        <v>15</v>
      </c>
      <c r="K1504">
        <v>4.32</v>
      </c>
      <c r="L1504">
        <v>0</v>
      </c>
    </row>
    <row r="1505" spans="1:12" x14ac:dyDescent="0.3">
      <c r="A1505" t="s">
        <v>1521</v>
      </c>
      <c r="B1505" t="s">
        <v>17</v>
      </c>
      <c r="C1505">
        <v>2999</v>
      </c>
      <c r="D1505">
        <v>47.98</v>
      </c>
      <c r="E1505">
        <v>8.64</v>
      </c>
      <c r="F1505">
        <f>COUNTIFS(mdr_rate_cleaned!$A$2:$A$10,B1505,mdr_rate_cleaned!$B$2:$B$10,"&lt;"&amp;C1505,mdr_rate_cleaned!$F$2:$F$10,"&gt;="&amp;C1505)</f>
        <v>1</v>
      </c>
      <c r="G1505">
        <v>1.6E-2</v>
      </c>
      <c r="H1505">
        <v>47.98</v>
      </c>
      <c r="I1505" t="s">
        <v>15</v>
      </c>
      <c r="J1505" t="s">
        <v>15</v>
      </c>
      <c r="K1505">
        <v>8.64</v>
      </c>
      <c r="L1505">
        <v>0</v>
      </c>
    </row>
    <row r="1506" spans="1:12" x14ac:dyDescent="0.3">
      <c r="A1506" t="s">
        <v>1522</v>
      </c>
      <c r="B1506" t="s">
        <v>21</v>
      </c>
      <c r="C1506">
        <v>1348</v>
      </c>
      <c r="D1506">
        <v>0</v>
      </c>
      <c r="E1506">
        <v>0</v>
      </c>
      <c r="F1506">
        <f>COUNTIFS(mdr_rate_cleaned!$A$2:$A$10,B1506,mdr_rate_cleaned!$B$2:$B$10,"&lt;"&amp;C1506,mdr_rate_cleaned!$F$2:$F$10,"&gt;="&amp;C1506)</f>
        <v>1</v>
      </c>
      <c r="G1506">
        <v>0</v>
      </c>
      <c r="H1506">
        <v>0</v>
      </c>
      <c r="I1506" t="s">
        <v>15</v>
      </c>
      <c r="J1506" t="s">
        <v>15</v>
      </c>
      <c r="K1506">
        <v>0</v>
      </c>
      <c r="L1506">
        <v>0</v>
      </c>
    </row>
    <row r="1507" spans="1:12" x14ac:dyDescent="0.3">
      <c r="A1507" t="s">
        <v>1523</v>
      </c>
      <c r="B1507" t="s">
        <v>21</v>
      </c>
      <c r="C1507">
        <v>5498</v>
      </c>
      <c r="D1507">
        <v>16.489999999999998</v>
      </c>
      <c r="E1507">
        <v>2.97</v>
      </c>
      <c r="F1507">
        <f>COUNTIFS(mdr_rate_cleaned!$A$2:$A$10,B1507,mdr_rate_cleaned!$B$2:$B$10,"&lt;"&amp;C1507,mdr_rate_cleaned!$F$2:$F$10,"&gt;="&amp;C1507)</f>
        <v>1</v>
      </c>
      <c r="G1507">
        <v>3.0000000000000001E-3</v>
      </c>
      <c r="H1507">
        <v>16.489999999999998</v>
      </c>
      <c r="I1507" t="s">
        <v>15</v>
      </c>
      <c r="J1507" t="s">
        <v>15</v>
      </c>
      <c r="K1507">
        <v>2.97</v>
      </c>
      <c r="L1507">
        <v>0</v>
      </c>
    </row>
    <row r="1508" spans="1:12" x14ac:dyDescent="0.3">
      <c r="A1508" t="s">
        <v>1524</v>
      </c>
      <c r="B1508" t="s">
        <v>21</v>
      </c>
      <c r="C1508">
        <v>4397</v>
      </c>
      <c r="D1508">
        <v>13.19</v>
      </c>
      <c r="E1508">
        <v>2.37</v>
      </c>
      <c r="F1508">
        <f>COUNTIFS(mdr_rate_cleaned!$A$2:$A$10,B1508,mdr_rate_cleaned!$B$2:$B$10,"&lt;"&amp;C1508,mdr_rate_cleaned!$F$2:$F$10,"&gt;="&amp;C1508)</f>
        <v>1</v>
      </c>
      <c r="G1508">
        <v>3.0000000000000001E-3</v>
      </c>
      <c r="H1508">
        <v>13.19</v>
      </c>
      <c r="I1508" t="s">
        <v>15</v>
      </c>
      <c r="J1508" t="s">
        <v>15</v>
      </c>
      <c r="K1508">
        <v>2.37</v>
      </c>
      <c r="L1508">
        <v>0</v>
      </c>
    </row>
    <row r="1509" spans="1:12" x14ac:dyDescent="0.3">
      <c r="A1509" t="s">
        <v>1525</v>
      </c>
      <c r="B1509" t="s">
        <v>21</v>
      </c>
      <c r="C1509">
        <v>5397</v>
      </c>
      <c r="D1509">
        <v>16.190000000000001</v>
      </c>
      <c r="E1509">
        <v>2.91</v>
      </c>
      <c r="F1509">
        <f>COUNTIFS(mdr_rate_cleaned!$A$2:$A$10,B1509,mdr_rate_cleaned!$B$2:$B$10,"&lt;"&amp;C1509,mdr_rate_cleaned!$F$2:$F$10,"&gt;="&amp;C1509)</f>
        <v>1</v>
      </c>
      <c r="G1509">
        <v>3.0000000000000001E-3</v>
      </c>
      <c r="H1509">
        <v>16.190000000000001</v>
      </c>
      <c r="I1509" t="s">
        <v>15</v>
      </c>
      <c r="J1509" t="s">
        <v>15</v>
      </c>
      <c r="K1509">
        <v>2.91</v>
      </c>
      <c r="L1509">
        <v>0</v>
      </c>
    </row>
    <row r="1510" spans="1:12" x14ac:dyDescent="0.3">
      <c r="A1510" t="s">
        <v>1526</v>
      </c>
      <c r="B1510" t="s">
        <v>21</v>
      </c>
      <c r="C1510">
        <v>2097</v>
      </c>
      <c r="D1510">
        <v>6.29</v>
      </c>
      <c r="E1510">
        <v>1.1299999999999999</v>
      </c>
      <c r="F1510">
        <f>COUNTIFS(mdr_rate_cleaned!$A$2:$A$10,B1510,mdr_rate_cleaned!$B$2:$B$10,"&lt;"&amp;C1510,mdr_rate_cleaned!$F$2:$F$10,"&gt;="&amp;C1510)</f>
        <v>1</v>
      </c>
      <c r="G1510">
        <v>3.0000000000000001E-3</v>
      </c>
      <c r="H1510">
        <v>6.29</v>
      </c>
      <c r="I1510" t="s">
        <v>15</v>
      </c>
      <c r="J1510" t="s">
        <v>15</v>
      </c>
      <c r="K1510">
        <v>1.1299999999999999</v>
      </c>
      <c r="L1510">
        <v>0</v>
      </c>
    </row>
    <row r="1511" spans="1:12" x14ac:dyDescent="0.3">
      <c r="A1511" t="s">
        <v>1527</v>
      </c>
      <c r="B1511" t="s">
        <v>39</v>
      </c>
      <c r="C1511">
        <v>299</v>
      </c>
      <c r="D1511">
        <v>4.49</v>
      </c>
      <c r="E1511">
        <v>0.81</v>
      </c>
      <c r="F1511">
        <f>COUNTIFS(mdr_rate_cleaned!$A$2:$A$10,B1511,mdr_rate_cleaned!$B$2:$B$10,"&lt;"&amp;C1511,mdr_rate_cleaned!$F$2:$F$10,"&gt;="&amp;C1511)</f>
        <v>1</v>
      </c>
      <c r="G1511">
        <v>1.4999999999999999E-2</v>
      </c>
      <c r="H1511">
        <v>4.49</v>
      </c>
      <c r="I1511" t="s">
        <v>15</v>
      </c>
      <c r="J1511" t="s">
        <v>15</v>
      </c>
      <c r="K1511">
        <v>0.81</v>
      </c>
      <c r="L1511">
        <v>0</v>
      </c>
    </row>
    <row r="1512" spans="1:12" x14ac:dyDescent="0.3">
      <c r="A1512" t="s">
        <v>1528</v>
      </c>
      <c r="B1512" t="s">
        <v>17</v>
      </c>
      <c r="C1512">
        <v>5798</v>
      </c>
      <c r="D1512">
        <v>92.77</v>
      </c>
      <c r="E1512">
        <v>16.7</v>
      </c>
      <c r="F1512">
        <f>COUNTIFS(mdr_rate_cleaned!$A$2:$A$10,B1512,mdr_rate_cleaned!$B$2:$B$10,"&lt;"&amp;C1512,mdr_rate_cleaned!$F$2:$F$10,"&gt;="&amp;C1512)</f>
        <v>1</v>
      </c>
      <c r="G1512">
        <v>1.6E-2</v>
      </c>
      <c r="H1512">
        <v>92.77</v>
      </c>
      <c r="I1512" t="s">
        <v>15</v>
      </c>
      <c r="J1512" t="s">
        <v>15</v>
      </c>
      <c r="K1512">
        <v>16.7</v>
      </c>
      <c r="L1512">
        <v>0</v>
      </c>
    </row>
    <row r="1513" spans="1:12" x14ac:dyDescent="0.3">
      <c r="A1513" t="s">
        <v>1529</v>
      </c>
      <c r="B1513" t="s">
        <v>13</v>
      </c>
      <c r="C1513">
        <v>3798</v>
      </c>
      <c r="D1513">
        <v>64.569999999999993</v>
      </c>
      <c r="E1513">
        <v>11.62</v>
      </c>
      <c r="F1513">
        <f>COUNTIFS(mdr_rate_cleaned!$A$2:$A$10,B1513,mdr_rate_cleaned!$B$2:$B$10,"&lt;"&amp;C1513,mdr_rate_cleaned!$F$2:$F$10,"&gt;="&amp;C1513)</f>
        <v>1</v>
      </c>
      <c r="G1513">
        <v>1.7000000000000001E-2</v>
      </c>
      <c r="H1513">
        <v>64.569999999999993</v>
      </c>
      <c r="I1513" t="s">
        <v>15</v>
      </c>
      <c r="J1513" t="s">
        <v>15</v>
      </c>
      <c r="K1513">
        <v>11.62</v>
      </c>
      <c r="L1513">
        <v>0</v>
      </c>
    </row>
    <row r="1514" spans="1:12" x14ac:dyDescent="0.3">
      <c r="A1514" t="s">
        <v>1530</v>
      </c>
      <c r="B1514" t="s">
        <v>39</v>
      </c>
      <c r="C1514">
        <v>3098</v>
      </c>
      <c r="D1514">
        <v>37.18</v>
      </c>
      <c r="E1514">
        <v>6.69</v>
      </c>
      <c r="F1514">
        <f>COUNTIFS(mdr_rate_cleaned!$A$2:$A$10,B1514,mdr_rate_cleaned!$B$2:$B$10,"&lt;"&amp;C1514,mdr_rate_cleaned!$F$2:$F$10,"&gt;="&amp;C1514)</f>
        <v>1</v>
      </c>
      <c r="G1514">
        <v>1.2E-2</v>
      </c>
      <c r="H1514">
        <v>37.18</v>
      </c>
      <c r="I1514" t="s">
        <v>15</v>
      </c>
      <c r="J1514" t="s">
        <v>15</v>
      </c>
      <c r="K1514">
        <v>6.69</v>
      </c>
      <c r="L1514">
        <v>0</v>
      </c>
    </row>
    <row r="1515" spans="1:12" x14ac:dyDescent="0.3">
      <c r="A1515" t="s">
        <v>1531</v>
      </c>
      <c r="B1515" t="s">
        <v>21</v>
      </c>
      <c r="C1515">
        <v>2299</v>
      </c>
      <c r="D1515">
        <v>6.9</v>
      </c>
      <c r="E1515">
        <v>1.24</v>
      </c>
      <c r="F1515">
        <f>COUNTIFS(mdr_rate_cleaned!$A$2:$A$10,B1515,mdr_rate_cleaned!$B$2:$B$10,"&lt;"&amp;C1515,mdr_rate_cleaned!$F$2:$F$10,"&gt;="&amp;C1515)</f>
        <v>1</v>
      </c>
      <c r="G1515">
        <v>3.0000000000000001E-3</v>
      </c>
      <c r="H1515">
        <v>6.9</v>
      </c>
      <c r="I1515" t="s">
        <v>15</v>
      </c>
      <c r="J1515" t="s">
        <v>15</v>
      </c>
      <c r="K1515">
        <v>1.24</v>
      </c>
      <c r="L1515">
        <v>0</v>
      </c>
    </row>
    <row r="1516" spans="1:12" x14ac:dyDescent="0.3">
      <c r="A1516" t="s">
        <v>1532</v>
      </c>
      <c r="B1516" t="s">
        <v>21</v>
      </c>
      <c r="C1516">
        <v>1499</v>
      </c>
      <c r="D1516">
        <v>0</v>
      </c>
      <c r="E1516">
        <v>0</v>
      </c>
      <c r="F1516">
        <f>COUNTIFS(mdr_rate_cleaned!$A$2:$A$10,B1516,mdr_rate_cleaned!$B$2:$B$10,"&lt;"&amp;C1516,mdr_rate_cleaned!$F$2:$F$10,"&gt;="&amp;C1516)</f>
        <v>1</v>
      </c>
      <c r="G1516">
        <v>0</v>
      </c>
      <c r="H1516">
        <v>0</v>
      </c>
      <c r="I1516" t="s">
        <v>15</v>
      </c>
      <c r="J1516" t="s">
        <v>15</v>
      </c>
      <c r="K1516">
        <v>0</v>
      </c>
      <c r="L1516">
        <v>0</v>
      </c>
    </row>
    <row r="1517" spans="1:12" x14ac:dyDescent="0.3">
      <c r="A1517" t="s">
        <v>1533</v>
      </c>
      <c r="B1517" t="s">
        <v>17</v>
      </c>
      <c r="C1517">
        <v>999</v>
      </c>
      <c r="D1517">
        <v>17.98</v>
      </c>
      <c r="E1517">
        <v>3.24</v>
      </c>
      <c r="F1517">
        <f>COUNTIFS(mdr_rate_cleaned!$A$2:$A$10,B1517,mdr_rate_cleaned!$B$2:$B$10,"&lt;"&amp;C1517,mdr_rate_cleaned!$F$2:$F$10,"&gt;="&amp;C1517)</f>
        <v>1</v>
      </c>
      <c r="G1517">
        <v>1.7999999999999999E-2</v>
      </c>
      <c r="H1517">
        <v>17.98</v>
      </c>
      <c r="I1517" t="s">
        <v>15</v>
      </c>
      <c r="J1517" t="s">
        <v>15</v>
      </c>
      <c r="K1517">
        <v>3.24</v>
      </c>
      <c r="L1517">
        <v>0</v>
      </c>
    </row>
    <row r="1518" spans="1:12" x14ac:dyDescent="0.3">
      <c r="A1518" t="s">
        <v>1534</v>
      </c>
      <c r="B1518" t="s">
        <v>17</v>
      </c>
      <c r="C1518">
        <v>4498</v>
      </c>
      <c r="D1518">
        <v>71.97</v>
      </c>
      <c r="E1518">
        <v>12.95</v>
      </c>
      <c r="F1518">
        <f>COUNTIFS(mdr_rate_cleaned!$A$2:$A$10,B1518,mdr_rate_cleaned!$B$2:$B$10,"&lt;"&amp;C1518,mdr_rate_cleaned!$F$2:$F$10,"&gt;="&amp;C1518)</f>
        <v>1</v>
      </c>
      <c r="G1518">
        <v>1.6E-2</v>
      </c>
      <c r="H1518">
        <v>71.97</v>
      </c>
      <c r="I1518" t="s">
        <v>15</v>
      </c>
      <c r="J1518" t="s">
        <v>15</v>
      </c>
      <c r="K1518">
        <v>12.95</v>
      </c>
      <c r="L1518">
        <v>0</v>
      </c>
    </row>
    <row r="1519" spans="1:12" x14ac:dyDescent="0.3">
      <c r="A1519" t="s">
        <v>1535</v>
      </c>
      <c r="B1519" t="s">
        <v>13</v>
      </c>
      <c r="C1519">
        <v>3499</v>
      </c>
      <c r="D1519">
        <v>59.48</v>
      </c>
      <c r="E1519">
        <v>10.71</v>
      </c>
      <c r="F1519">
        <f>COUNTIFS(mdr_rate_cleaned!$A$2:$A$10,B1519,mdr_rate_cleaned!$B$2:$B$10,"&lt;"&amp;C1519,mdr_rate_cleaned!$F$2:$F$10,"&gt;="&amp;C1519)</f>
        <v>1</v>
      </c>
      <c r="G1519">
        <v>1.7000000000000001E-2</v>
      </c>
      <c r="H1519">
        <v>59.48</v>
      </c>
      <c r="I1519" t="s">
        <v>15</v>
      </c>
      <c r="J1519" t="s">
        <v>15</v>
      </c>
      <c r="K1519">
        <v>10.71</v>
      </c>
      <c r="L1519">
        <v>0</v>
      </c>
    </row>
    <row r="1520" spans="1:12" x14ac:dyDescent="0.3">
      <c r="A1520" t="s">
        <v>1536</v>
      </c>
      <c r="B1520" t="s">
        <v>39</v>
      </c>
      <c r="C1520">
        <v>2499</v>
      </c>
      <c r="D1520">
        <v>29.99</v>
      </c>
      <c r="E1520">
        <v>5.4</v>
      </c>
      <c r="F1520">
        <f>COUNTIFS(mdr_rate_cleaned!$A$2:$A$10,B1520,mdr_rate_cleaned!$B$2:$B$10,"&lt;"&amp;C1520,mdr_rate_cleaned!$F$2:$F$10,"&gt;="&amp;C1520)</f>
        <v>1</v>
      </c>
      <c r="G1520">
        <v>1.2E-2</v>
      </c>
      <c r="H1520">
        <v>29.99</v>
      </c>
      <c r="I1520" t="s">
        <v>15</v>
      </c>
      <c r="J1520" t="s">
        <v>15</v>
      </c>
      <c r="K1520">
        <v>5.4</v>
      </c>
      <c r="L1520">
        <v>0</v>
      </c>
    </row>
    <row r="1521" spans="1:12" x14ac:dyDescent="0.3">
      <c r="A1521" t="s">
        <v>1537</v>
      </c>
      <c r="B1521" t="s">
        <v>21</v>
      </c>
      <c r="C1521">
        <v>2798</v>
      </c>
      <c r="D1521">
        <v>8.39</v>
      </c>
      <c r="E1521">
        <v>1.51</v>
      </c>
      <c r="F1521">
        <f>COUNTIFS(mdr_rate_cleaned!$A$2:$A$10,B1521,mdr_rate_cleaned!$B$2:$B$10,"&lt;"&amp;C1521,mdr_rate_cleaned!$F$2:$F$10,"&gt;="&amp;C1521)</f>
        <v>1</v>
      </c>
      <c r="G1521">
        <v>3.0000000000000001E-3</v>
      </c>
      <c r="H1521">
        <v>8.39</v>
      </c>
      <c r="I1521" t="s">
        <v>15</v>
      </c>
      <c r="J1521" t="s">
        <v>15</v>
      </c>
      <c r="K1521">
        <v>1.51</v>
      </c>
      <c r="L1521">
        <v>0</v>
      </c>
    </row>
    <row r="1522" spans="1:12" x14ac:dyDescent="0.3">
      <c r="A1522" t="s">
        <v>1538</v>
      </c>
      <c r="B1522" t="s">
        <v>21</v>
      </c>
      <c r="C1522">
        <v>1299</v>
      </c>
      <c r="D1522">
        <v>0</v>
      </c>
      <c r="E1522">
        <v>0</v>
      </c>
      <c r="F1522">
        <f>COUNTIFS(mdr_rate_cleaned!$A$2:$A$10,B1522,mdr_rate_cleaned!$B$2:$B$10,"&lt;"&amp;C1522,mdr_rate_cleaned!$F$2:$F$10,"&gt;="&amp;C1522)</f>
        <v>1</v>
      </c>
      <c r="G1522">
        <v>0</v>
      </c>
      <c r="H1522">
        <v>0</v>
      </c>
      <c r="I1522" t="s">
        <v>15</v>
      </c>
      <c r="J1522" t="s">
        <v>15</v>
      </c>
      <c r="K1522">
        <v>0</v>
      </c>
      <c r="L1522">
        <v>0</v>
      </c>
    </row>
    <row r="1523" spans="1:12" x14ac:dyDescent="0.3">
      <c r="A1523" t="s">
        <v>1539</v>
      </c>
      <c r="B1523" t="s">
        <v>17</v>
      </c>
      <c r="C1523">
        <v>8797</v>
      </c>
      <c r="D1523">
        <v>140.75</v>
      </c>
      <c r="E1523">
        <v>25.34</v>
      </c>
      <c r="F1523">
        <f>COUNTIFS(mdr_rate_cleaned!$A$2:$A$10,B1523,mdr_rate_cleaned!$B$2:$B$10,"&lt;"&amp;C1523,mdr_rate_cleaned!$F$2:$F$10,"&gt;="&amp;C1523)</f>
        <v>1</v>
      </c>
      <c r="G1523">
        <v>1.6E-2</v>
      </c>
      <c r="H1523">
        <v>140.75</v>
      </c>
      <c r="I1523" t="s">
        <v>15</v>
      </c>
      <c r="J1523" t="s">
        <v>15</v>
      </c>
      <c r="K1523">
        <v>25.34</v>
      </c>
      <c r="L1523">
        <v>0</v>
      </c>
    </row>
    <row r="1524" spans="1:12" x14ac:dyDescent="0.3">
      <c r="A1524" t="s">
        <v>1540</v>
      </c>
      <c r="B1524" t="s">
        <v>21</v>
      </c>
      <c r="C1524">
        <v>8997</v>
      </c>
      <c r="D1524">
        <v>26.99</v>
      </c>
      <c r="E1524">
        <v>4.8600000000000003</v>
      </c>
      <c r="F1524">
        <f>COUNTIFS(mdr_rate_cleaned!$A$2:$A$10,B1524,mdr_rate_cleaned!$B$2:$B$10,"&lt;"&amp;C1524,mdr_rate_cleaned!$F$2:$F$10,"&gt;="&amp;C1524)</f>
        <v>1</v>
      </c>
      <c r="G1524">
        <v>3.0000000000000001E-3</v>
      </c>
      <c r="H1524">
        <v>26.99</v>
      </c>
      <c r="I1524" t="s">
        <v>15</v>
      </c>
      <c r="J1524" t="s">
        <v>15</v>
      </c>
      <c r="K1524">
        <v>4.8600000000000003</v>
      </c>
      <c r="L1524">
        <v>0</v>
      </c>
    </row>
    <row r="1525" spans="1:12" x14ac:dyDescent="0.3">
      <c r="A1525" t="s">
        <v>1541</v>
      </c>
      <c r="B1525" t="s">
        <v>13</v>
      </c>
      <c r="C1525">
        <v>7999</v>
      </c>
      <c r="D1525">
        <v>135.97999999999999</v>
      </c>
      <c r="E1525">
        <v>24.48</v>
      </c>
      <c r="F1525">
        <f>COUNTIFS(mdr_rate_cleaned!$A$2:$A$10,B1525,mdr_rate_cleaned!$B$2:$B$10,"&lt;"&amp;C1525,mdr_rate_cleaned!$F$2:$F$10,"&gt;="&amp;C1525)</f>
        <v>1</v>
      </c>
      <c r="G1525">
        <v>1.7000000000000001E-2</v>
      </c>
      <c r="H1525">
        <v>135.97999999999999</v>
      </c>
      <c r="I1525" t="s">
        <v>15</v>
      </c>
      <c r="J1525" t="s">
        <v>15</v>
      </c>
      <c r="K1525">
        <v>24.48</v>
      </c>
      <c r="L1525">
        <v>0</v>
      </c>
    </row>
    <row r="1526" spans="1:12" x14ac:dyDescent="0.3">
      <c r="A1526" t="s">
        <v>1542</v>
      </c>
      <c r="B1526" t="s">
        <v>17</v>
      </c>
      <c r="C1526">
        <v>5498</v>
      </c>
      <c r="D1526">
        <v>87.97</v>
      </c>
      <c r="E1526">
        <v>15.83</v>
      </c>
      <c r="F1526">
        <f>COUNTIFS(mdr_rate_cleaned!$A$2:$A$10,B1526,mdr_rate_cleaned!$B$2:$B$10,"&lt;"&amp;C1526,mdr_rate_cleaned!$F$2:$F$10,"&gt;="&amp;C1526)</f>
        <v>1</v>
      </c>
      <c r="G1526">
        <v>1.6E-2</v>
      </c>
      <c r="H1526">
        <v>87.97</v>
      </c>
      <c r="I1526" t="s">
        <v>15</v>
      </c>
      <c r="J1526" t="s">
        <v>15</v>
      </c>
      <c r="K1526">
        <v>15.83</v>
      </c>
      <c r="L1526">
        <v>0</v>
      </c>
    </row>
    <row r="1527" spans="1:12" x14ac:dyDescent="0.3">
      <c r="A1527" t="s">
        <v>1543</v>
      </c>
      <c r="B1527" t="s">
        <v>21</v>
      </c>
      <c r="C1527">
        <v>4998</v>
      </c>
      <c r="D1527">
        <v>14.99</v>
      </c>
      <c r="E1527">
        <v>2.7</v>
      </c>
      <c r="F1527">
        <f>COUNTIFS(mdr_rate_cleaned!$A$2:$A$10,B1527,mdr_rate_cleaned!$B$2:$B$10,"&lt;"&amp;C1527,mdr_rate_cleaned!$F$2:$F$10,"&gt;="&amp;C1527)</f>
        <v>1</v>
      </c>
      <c r="G1527">
        <v>3.0000000000000001E-3</v>
      </c>
      <c r="H1527">
        <v>14.99</v>
      </c>
      <c r="I1527" t="s">
        <v>15</v>
      </c>
      <c r="J1527" t="s">
        <v>15</v>
      </c>
      <c r="K1527">
        <v>2.7</v>
      </c>
      <c r="L1527">
        <v>0</v>
      </c>
    </row>
    <row r="1528" spans="1:12" x14ac:dyDescent="0.3">
      <c r="A1528" t="s">
        <v>1544</v>
      </c>
      <c r="B1528" t="s">
        <v>17</v>
      </c>
      <c r="C1528">
        <v>1998</v>
      </c>
      <c r="D1528">
        <v>35.96</v>
      </c>
      <c r="E1528">
        <v>6.47</v>
      </c>
      <c r="F1528">
        <f>COUNTIFS(mdr_rate_cleaned!$A$2:$A$10,B1528,mdr_rate_cleaned!$B$2:$B$10,"&lt;"&amp;C1528,mdr_rate_cleaned!$F$2:$F$10,"&gt;="&amp;C1528)</f>
        <v>1</v>
      </c>
      <c r="G1528">
        <v>1.7999999999999999E-2</v>
      </c>
      <c r="H1528">
        <v>35.96</v>
      </c>
      <c r="I1528" t="s">
        <v>15</v>
      </c>
      <c r="J1528" t="s">
        <v>15</v>
      </c>
      <c r="K1528">
        <v>6.47</v>
      </c>
      <c r="L1528">
        <v>0</v>
      </c>
    </row>
    <row r="1529" spans="1:12" x14ac:dyDescent="0.3">
      <c r="A1529" t="s">
        <v>1545</v>
      </c>
      <c r="B1529" t="s">
        <v>17</v>
      </c>
      <c r="C1529">
        <v>948</v>
      </c>
      <c r="D1529">
        <v>17.059999999999999</v>
      </c>
      <c r="E1529">
        <v>3.07</v>
      </c>
      <c r="F1529">
        <f>COUNTIFS(mdr_rate_cleaned!$A$2:$A$10,B1529,mdr_rate_cleaned!$B$2:$B$10,"&lt;"&amp;C1529,mdr_rate_cleaned!$F$2:$F$10,"&gt;="&amp;C1529)</f>
        <v>1</v>
      </c>
      <c r="G1529">
        <v>1.7999999999999999E-2</v>
      </c>
      <c r="H1529">
        <v>17.059999999999999</v>
      </c>
      <c r="I1529" t="s">
        <v>15</v>
      </c>
      <c r="J1529" t="s">
        <v>15</v>
      </c>
      <c r="K1529">
        <v>3.07</v>
      </c>
      <c r="L1529">
        <v>0</v>
      </c>
    </row>
    <row r="1530" spans="1:12" x14ac:dyDescent="0.3">
      <c r="A1530" t="s">
        <v>1546</v>
      </c>
      <c r="B1530" t="s">
        <v>21</v>
      </c>
      <c r="C1530">
        <v>799</v>
      </c>
      <c r="D1530">
        <v>0</v>
      </c>
      <c r="E1530">
        <v>0</v>
      </c>
      <c r="F1530">
        <f>COUNTIFS(mdr_rate_cleaned!$A$2:$A$10,B1530,mdr_rate_cleaned!$B$2:$B$10,"&lt;"&amp;C1530,mdr_rate_cleaned!$F$2:$F$10,"&gt;="&amp;C1530)</f>
        <v>1</v>
      </c>
      <c r="G1530">
        <v>0</v>
      </c>
      <c r="H1530">
        <v>0</v>
      </c>
      <c r="I1530" t="s">
        <v>15</v>
      </c>
      <c r="J1530" t="s">
        <v>15</v>
      </c>
      <c r="K1530">
        <v>0</v>
      </c>
      <c r="L1530">
        <v>0</v>
      </c>
    </row>
    <row r="1531" spans="1:12" x14ac:dyDescent="0.3">
      <c r="A1531" t="s">
        <v>1547</v>
      </c>
      <c r="B1531" t="s">
        <v>17</v>
      </c>
      <c r="C1531">
        <v>1348</v>
      </c>
      <c r="D1531">
        <v>24.26</v>
      </c>
      <c r="E1531">
        <v>4.37</v>
      </c>
      <c r="F1531">
        <f>COUNTIFS(mdr_rate_cleaned!$A$2:$A$10,B1531,mdr_rate_cleaned!$B$2:$B$10,"&lt;"&amp;C1531,mdr_rate_cleaned!$F$2:$F$10,"&gt;="&amp;C1531)</f>
        <v>1</v>
      </c>
      <c r="G1531">
        <v>1.7999999999999999E-2</v>
      </c>
      <c r="H1531">
        <v>24.26</v>
      </c>
      <c r="I1531" t="s">
        <v>15</v>
      </c>
      <c r="J1531" t="s">
        <v>15</v>
      </c>
      <c r="K1531">
        <v>4.37</v>
      </c>
      <c r="L1531">
        <v>0</v>
      </c>
    </row>
    <row r="1532" spans="1:12" x14ac:dyDescent="0.3">
      <c r="A1532" t="s">
        <v>1548</v>
      </c>
      <c r="B1532" t="s">
        <v>21</v>
      </c>
      <c r="C1532">
        <v>1299</v>
      </c>
      <c r="D1532">
        <v>0</v>
      </c>
      <c r="E1532">
        <v>0</v>
      </c>
      <c r="F1532">
        <f>COUNTIFS(mdr_rate_cleaned!$A$2:$A$10,B1532,mdr_rate_cleaned!$B$2:$B$10,"&lt;"&amp;C1532,mdr_rate_cleaned!$F$2:$F$10,"&gt;="&amp;C1532)</f>
        <v>1</v>
      </c>
      <c r="G1532">
        <v>0</v>
      </c>
      <c r="H1532">
        <v>0</v>
      </c>
      <c r="I1532" t="s">
        <v>15</v>
      </c>
      <c r="J1532" t="s">
        <v>15</v>
      </c>
      <c r="K1532">
        <v>0</v>
      </c>
      <c r="L1532">
        <v>0</v>
      </c>
    </row>
    <row r="1533" spans="1:12" x14ac:dyDescent="0.3">
      <c r="A1533" t="s">
        <v>1549</v>
      </c>
      <c r="B1533" t="s">
        <v>21</v>
      </c>
      <c r="C1533">
        <v>5498</v>
      </c>
      <c r="D1533">
        <v>16.489999999999998</v>
      </c>
      <c r="E1533">
        <v>2.97</v>
      </c>
      <c r="F1533">
        <f>COUNTIFS(mdr_rate_cleaned!$A$2:$A$10,B1533,mdr_rate_cleaned!$B$2:$B$10,"&lt;"&amp;C1533,mdr_rate_cleaned!$F$2:$F$10,"&gt;="&amp;C1533)</f>
        <v>1</v>
      </c>
      <c r="G1533">
        <v>3.0000000000000001E-3</v>
      </c>
      <c r="H1533">
        <v>16.489999999999998</v>
      </c>
      <c r="I1533" t="s">
        <v>15</v>
      </c>
      <c r="J1533" t="s">
        <v>15</v>
      </c>
      <c r="K1533">
        <v>2.97</v>
      </c>
      <c r="L1533">
        <v>0</v>
      </c>
    </row>
    <row r="1534" spans="1:12" x14ac:dyDescent="0.3">
      <c r="A1534" t="s">
        <v>1550</v>
      </c>
      <c r="B1534" t="s">
        <v>21</v>
      </c>
      <c r="C1534">
        <v>998</v>
      </c>
      <c r="D1534">
        <v>0</v>
      </c>
      <c r="E1534">
        <v>0</v>
      </c>
      <c r="F1534">
        <f>COUNTIFS(mdr_rate_cleaned!$A$2:$A$10,B1534,mdr_rate_cleaned!$B$2:$B$10,"&lt;"&amp;C1534,mdr_rate_cleaned!$F$2:$F$10,"&gt;="&amp;C1534)</f>
        <v>1</v>
      </c>
      <c r="G1534">
        <v>0</v>
      </c>
      <c r="H1534">
        <v>0</v>
      </c>
      <c r="I1534" t="s">
        <v>15</v>
      </c>
      <c r="J1534" t="s">
        <v>15</v>
      </c>
      <c r="K1534">
        <v>0</v>
      </c>
      <c r="L1534">
        <v>0</v>
      </c>
    </row>
    <row r="1535" spans="1:12" x14ac:dyDescent="0.3">
      <c r="A1535" t="s">
        <v>1551</v>
      </c>
      <c r="B1535" t="s">
        <v>17</v>
      </c>
      <c r="C1535">
        <v>1148</v>
      </c>
      <c r="D1535">
        <v>20.66</v>
      </c>
      <c r="E1535">
        <v>3.72</v>
      </c>
      <c r="F1535">
        <f>COUNTIFS(mdr_rate_cleaned!$A$2:$A$10,B1535,mdr_rate_cleaned!$B$2:$B$10,"&lt;"&amp;C1535,mdr_rate_cleaned!$F$2:$F$10,"&gt;="&amp;C1535)</f>
        <v>1</v>
      </c>
      <c r="G1535">
        <v>1.7999999999999999E-2</v>
      </c>
      <c r="H1535">
        <v>20.66</v>
      </c>
      <c r="I1535" t="s">
        <v>15</v>
      </c>
      <c r="J1535" t="s">
        <v>15</v>
      </c>
      <c r="K1535">
        <v>3.72</v>
      </c>
      <c r="L1535">
        <v>0</v>
      </c>
    </row>
    <row r="1536" spans="1:12" x14ac:dyDescent="0.3">
      <c r="A1536" t="s">
        <v>1552</v>
      </c>
      <c r="B1536" t="s">
        <v>17</v>
      </c>
      <c r="C1536">
        <v>3798</v>
      </c>
      <c r="D1536">
        <v>60.77</v>
      </c>
      <c r="E1536">
        <v>10.94</v>
      </c>
      <c r="F1536">
        <f>COUNTIFS(mdr_rate_cleaned!$A$2:$A$10,B1536,mdr_rate_cleaned!$B$2:$B$10,"&lt;"&amp;C1536,mdr_rate_cleaned!$F$2:$F$10,"&gt;="&amp;C1536)</f>
        <v>1</v>
      </c>
      <c r="G1536">
        <v>1.6E-2</v>
      </c>
      <c r="H1536">
        <v>60.77</v>
      </c>
      <c r="I1536" t="s">
        <v>15</v>
      </c>
      <c r="J1536" t="s">
        <v>15</v>
      </c>
      <c r="K1536">
        <v>10.94</v>
      </c>
      <c r="L1536">
        <v>0</v>
      </c>
    </row>
    <row r="1537" spans="1:12" x14ac:dyDescent="0.3">
      <c r="A1537" t="s">
        <v>1553</v>
      </c>
      <c r="B1537" t="s">
        <v>21</v>
      </c>
      <c r="C1537">
        <v>599</v>
      </c>
      <c r="D1537">
        <v>0</v>
      </c>
      <c r="E1537">
        <v>0</v>
      </c>
      <c r="F1537">
        <f>COUNTIFS(mdr_rate_cleaned!$A$2:$A$10,B1537,mdr_rate_cleaned!$B$2:$B$10,"&lt;"&amp;C1537,mdr_rate_cleaned!$F$2:$F$10,"&gt;="&amp;C1537)</f>
        <v>1</v>
      </c>
      <c r="G1537">
        <v>0</v>
      </c>
      <c r="H1537">
        <v>0</v>
      </c>
      <c r="I1537" t="s">
        <v>15</v>
      </c>
      <c r="J1537" t="s">
        <v>15</v>
      </c>
      <c r="K1537">
        <v>0</v>
      </c>
      <c r="L1537">
        <v>0</v>
      </c>
    </row>
    <row r="1538" spans="1:12" x14ac:dyDescent="0.3">
      <c r="A1538" t="s">
        <v>1554</v>
      </c>
      <c r="B1538" t="s">
        <v>21</v>
      </c>
      <c r="C1538">
        <v>1848</v>
      </c>
      <c r="D1538">
        <v>0</v>
      </c>
      <c r="E1538">
        <v>0</v>
      </c>
      <c r="F1538">
        <f>COUNTIFS(mdr_rate_cleaned!$A$2:$A$10,B1538,mdr_rate_cleaned!$B$2:$B$10,"&lt;"&amp;C1538,mdr_rate_cleaned!$F$2:$F$10,"&gt;="&amp;C1538)</f>
        <v>1</v>
      </c>
      <c r="G1538">
        <v>0</v>
      </c>
      <c r="H1538">
        <v>0</v>
      </c>
      <c r="I1538" t="s">
        <v>15</v>
      </c>
      <c r="J1538" t="s">
        <v>15</v>
      </c>
      <c r="K1538">
        <v>0</v>
      </c>
      <c r="L1538">
        <v>0</v>
      </c>
    </row>
    <row r="1539" spans="1:12" x14ac:dyDescent="0.3">
      <c r="A1539" t="s">
        <v>1555</v>
      </c>
      <c r="B1539" t="s">
        <v>21</v>
      </c>
      <c r="C1539">
        <v>1499</v>
      </c>
      <c r="D1539">
        <v>0</v>
      </c>
      <c r="E1539">
        <v>0</v>
      </c>
      <c r="F1539">
        <f>COUNTIFS(mdr_rate_cleaned!$A$2:$A$10,B1539,mdr_rate_cleaned!$B$2:$B$10,"&lt;"&amp;C1539,mdr_rate_cleaned!$F$2:$F$10,"&gt;="&amp;C1539)</f>
        <v>1</v>
      </c>
      <c r="G1539">
        <v>0</v>
      </c>
      <c r="H1539">
        <v>0</v>
      </c>
      <c r="I1539" t="s">
        <v>15</v>
      </c>
      <c r="J1539" t="s">
        <v>15</v>
      </c>
      <c r="K1539">
        <v>0</v>
      </c>
      <c r="L1539">
        <v>0</v>
      </c>
    </row>
    <row r="1540" spans="1:12" x14ac:dyDescent="0.3">
      <c r="A1540" t="s">
        <v>1556</v>
      </c>
      <c r="B1540" t="s">
        <v>13</v>
      </c>
      <c r="C1540">
        <v>2999</v>
      </c>
      <c r="D1540">
        <v>50.98</v>
      </c>
      <c r="E1540">
        <v>9.18</v>
      </c>
      <c r="F1540">
        <f>COUNTIFS(mdr_rate_cleaned!$A$2:$A$10,B1540,mdr_rate_cleaned!$B$2:$B$10,"&lt;"&amp;C1540,mdr_rate_cleaned!$F$2:$F$10,"&gt;="&amp;C1540)</f>
        <v>1</v>
      </c>
      <c r="G1540">
        <v>1.7000000000000001E-2</v>
      </c>
      <c r="H1540">
        <v>50.98</v>
      </c>
      <c r="I1540" t="s">
        <v>15</v>
      </c>
      <c r="J1540" t="s">
        <v>15</v>
      </c>
      <c r="K1540">
        <v>9.18</v>
      </c>
      <c r="L1540">
        <v>0</v>
      </c>
    </row>
    <row r="1541" spans="1:12" x14ac:dyDescent="0.3">
      <c r="A1541" t="s">
        <v>1557</v>
      </c>
      <c r="B1541" t="s">
        <v>21</v>
      </c>
      <c r="C1541">
        <v>999</v>
      </c>
      <c r="D1541">
        <v>0</v>
      </c>
      <c r="E1541">
        <v>0</v>
      </c>
      <c r="F1541">
        <f>COUNTIFS(mdr_rate_cleaned!$A$2:$A$10,B1541,mdr_rate_cleaned!$B$2:$B$10,"&lt;"&amp;C1541,mdr_rate_cleaned!$F$2:$F$10,"&gt;="&amp;C1541)</f>
        <v>1</v>
      </c>
      <c r="G1541">
        <v>0</v>
      </c>
      <c r="H1541">
        <v>0</v>
      </c>
      <c r="I1541" t="s">
        <v>15</v>
      </c>
      <c r="J1541" t="s">
        <v>15</v>
      </c>
      <c r="K1541">
        <v>0</v>
      </c>
      <c r="L1541">
        <v>0</v>
      </c>
    </row>
    <row r="1542" spans="1:12" x14ac:dyDescent="0.3">
      <c r="A1542" t="s">
        <v>1558</v>
      </c>
      <c r="B1542" t="s">
        <v>39</v>
      </c>
      <c r="C1542">
        <v>10497</v>
      </c>
      <c r="D1542">
        <v>94.47</v>
      </c>
      <c r="E1542">
        <v>17</v>
      </c>
      <c r="F1542">
        <f>COUNTIFS(mdr_rate_cleaned!$A$2:$A$10,B1542,mdr_rate_cleaned!$B$2:$B$10,"&lt;"&amp;C1542,mdr_rate_cleaned!$F$2:$F$10,"&gt;="&amp;C1542)</f>
        <v>1</v>
      </c>
      <c r="G1542">
        <v>8.9999999999999993E-3</v>
      </c>
      <c r="H1542">
        <v>94.47</v>
      </c>
      <c r="I1542" t="s">
        <v>15</v>
      </c>
      <c r="J1542" t="s">
        <v>15</v>
      </c>
      <c r="K1542">
        <v>17</v>
      </c>
      <c r="L1542">
        <v>0</v>
      </c>
    </row>
    <row r="1543" spans="1:12" x14ac:dyDescent="0.3">
      <c r="A1543" t="s">
        <v>1559</v>
      </c>
      <c r="B1543" t="s">
        <v>21</v>
      </c>
      <c r="C1543">
        <v>499</v>
      </c>
      <c r="D1543">
        <v>0</v>
      </c>
      <c r="E1543">
        <v>0</v>
      </c>
      <c r="F1543">
        <f>COUNTIFS(mdr_rate_cleaned!$A$2:$A$10,B1543,mdr_rate_cleaned!$B$2:$B$10,"&lt;"&amp;C1543,mdr_rate_cleaned!$F$2:$F$10,"&gt;="&amp;C1543)</f>
        <v>1</v>
      </c>
      <c r="G1543">
        <v>0</v>
      </c>
      <c r="H1543">
        <v>0</v>
      </c>
      <c r="I1543" t="s">
        <v>15</v>
      </c>
      <c r="J1543" t="s">
        <v>15</v>
      </c>
      <c r="K1543">
        <v>0</v>
      </c>
      <c r="L1543">
        <v>0</v>
      </c>
    </row>
    <row r="1544" spans="1:12" x14ac:dyDescent="0.3">
      <c r="A1544" t="s">
        <v>1560</v>
      </c>
      <c r="B1544" t="s">
        <v>21</v>
      </c>
      <c r="C1544">
        <v>299</v>
      </c>
      <c r="D1544">
        <v>0</v>
      </c>
      <c r="E1544">
        <v>0</v>
      </c>
      <c r="F1544">
        <f>COUNTIFS(mdr_rate_cleaned!$A$2:$A$10,B1544,mdr_rate_cleaned!$B$2:$B$10,"&lt;"&amp;C1544,mdr_rate_cleaned!$F$2:$F$10,"&gt;="&amp;C1544)</f>
        <v>1</v>
      </c>
      <c r="G1544">
        <v>0</v>
      </c>
      <c r="H1544">
        <v>0</v>
      </c>
      <c r="I1544" t="s">
        <v>15</v>
      </c>
      <c r="J1544" t="s">
        <v>15</v>
      </c>
      <c r="K1544">
        <v>0</v>
      </c>
      <c r="L1544">
        <v>0</v>
      </c>
    </row>
    <row r="1545" spans="1:12" x14ac:dyDescent="0.3">
      <c r="A1545" t="s">
        <v>1561</v>
      </c>
      <c r="B1545" t="s">
        <v>17</v>
      </c>
      <c r="C1545">
        <v>2499</v>
      </c>
      <c r="D1545">
        <v>39.979999999999997</v>
      </c>
      <c r="E1545">
        <v>7.2</v>
      </c>
      <c r="F1545">
        <f>COUNTIFS(mdr_rate_cleaned!$A$2:$A$10,B1545,mdr_rate_cleaned!$B$2:$B$10,"&lt;"&amp;C1545,mdr_rate_cleaned!$F$2:$F$10,"&gt;="&amp;C1545)</f>
        <v>1</v>
      </c>
      <c r="G1545">
        <v>1.6E-2</v>
      </c>
      <c r="H1545">
        <v>39.979999999999997</v>
      </c>
      <c r="I1545" t="s">
        <v>15</v>
      </c>
      <c r="J1545" t="s">
        <v>15</v>
      </c>
      <c r="K1545">
        <v>7.2</v>
      </c>
      <c r="L1545">
        <v>0</v>
      </c>
    </row>
    <row r="1546" spans="1:12" x14ac:dyDescent="0.3">
      <c r="A1546" t="s">
        <v>1562</v>
      </c>
      <c r="B1546" t="s">
        <v>17</v>
      </c>
      <c r="C1546">
        <v>999</v>
      </c>
      <c r="D1546">
        <v>17.98</v>
      </c>
      <c r="E1546">
        <v>3.24</v>
      </c>
      <c r="F1546">
        <f>COUNTIFS(mdr_rate_cleaned!$A$2:$A$10,B1546,mdr_rate_cleaned!$B$2:$B$10,"&lt;"&amp;C1546,mdr_rate_cleaned!$F$2:$F$10,"&gt;="&amp;C1546)</f>
        <v>1</v>
      </c>
      <c r="G1546">
        <v>1.7999999999999999E-2</v>
      </c>
      <c r="H1546">
        <v>17.98</v>
      </c>
      <c r="I1546" t="s">
        <v>15</v>
      </c>
      <c r="J1546" t="s">
        <v>15</v>
      </c>
      <c r="K1546">
        <v>3.24</v>
      </c>
      <c r="L1546">
        <v>0</v>
      </c>
    </row>
    <row r="1547" spans="1:12" x14ac:dyDescent="0.3">
      <c r="A1547" t="s">
        <v>1563</v>
      </c>
      <c r="B1547" t="s">
        <v>21</v>
      </c>
      <c r="C1547">
        <v>1098</v>
      </c>
      <c r="D1547">
        <v>0</v>
      </c>
      <c r="E1547">
        <v>0</v>
      </c>
      <c r="F1547">
        <f>COUNTIFS(mdr_rate_cleaned!$A$2:$A$10,B1547,mdr_rate_cleaned!$B$2:$B$10,"&lt;"&amp;C1547,mdr_rate_cleaned!$F$2:$F$10,"&gt;="&amp;C1547)</f>
        <v>1</v>
      </c>
      <c r="G1547">
        <v>0</v>
      </c>
      <c r="H1547">
        <v>0</v>
      </c>
      <c r="I1547" t="s">
        <v>15</v>
      </c>
      <c r="J1547" t="s">
        <v>15</v>
      </c>
      <c r="K1547">
        <v>0</v>
      </c>
      <c r="L1547">
        <v>0</v>
      </c>
    </row>
    <row r="1548" spans="1:12" x14ac:dyDescent="0.3">
      <c r="A1548" t="s">
        <v>1564</v>
      </c>
      <c r="B1548" t="s">
        <v>21</v>
      </c>
      <c r="C1548">
        <v>4297</v>
      </c>
      <c r="D1548">
        <v>12.89</v>
      </c>
      <c r="E1548">
        <v>2.3199999999999998</v>
      </c>
      <c r="F1548">
        <f>COUNTIFS(mdr_rate_cleaned!$A$2:$A$10,B1548,mdr_rate_cleaned!$B$2:$B$10,"&lt;"&amp;C1548,mdr_rate_cleaned!$F$2:$F$10,"&gt;="&amp;C1548)</f>
        <v>1</v>
      </c>
      <c r="G1548">
        <v>3.0000000000000001E-3</v>
      </c>
      <c r="H1548">
        <v>12.89</v>
      </c>
      <c r="I1548" t="s">
        <v>15</v>
      </c>
      <c r="J1548" t="s">
        <v>15</v>
      </c>
      <c r="K1548">
        <v>2.3199999999999998</v>
      </c>
      <c r="L1548">
        <v>0</v>
      </c>
    </row>
    <row r="1549" spans="1:12" x14ac:dyDescent="0.3">
      <c r="A1549" t="s">
        <v>1565</v>
      </c>
      <c r="B1549" t="s">
        <v>21</v>
      </c>
      <c r="C1549">
        <v>12297</v>
      </c>
      <c r="D1549">
        <v>36.89</v>
      </c>
      <c r="E1549">
        <v>6.64</v>
      </c>
      <c r="F1549">
        <f>COUNTIFS(mdr_rate_cleaned!$A$2:$A$10,B1549,mdr_rate_cleaned!$B$2:$B$10,"&lt;"&amp;C1549,mdr_rate_cleaned!$F$2:$F$10,"&gt;="&amp;C1549)</f>
        <v>1</v>
      </c>
      <c r="G1549">
        <v>3.0000000000000001E-3</v>
      </c>
      <c r="H1549">
        <v>36.89</v>
      </c>
      <c r="I1549" t="s">
        <v>15</v>
      </c>
      <c r="J1549" t="s">
        <v>15</v>
      </c>
      <c r="K1549">
        <v>6.64</v>
      </c>
      <c r="L1549">
        <v>0</v>
      </c>
    </row>
    <row r="1550" spans="1:12" x14ac:dyDescent="0.3">
      <c r="A1550" t="s">
        <v>1566</v>
      </c>
      <c r="B1550" t="s">
        <v>21</v>
      </c>
      <c r="C1550">
        <v>999</v>
      </c>
      <c r="D1550">
        <v>0</v>
      </c>
      <c r="E1550">
        <v>0</v>
      </c>
      <c r="F1550">
        <f>COUNTIFS(mdr_rate_cleaned!$A$2:$A$10,B1550,mdr_rate_cleaned!$B$2:$B$10,"&lt;"&amp;C1550,mdr_rate_cleaned!$F$2:$F$10,"&gt;="&amp;C1550)</f>
        <v>1</v>
      </c>
      <c r="G1550">
        <v>0</v>
      </c>
      <c r="H1550">
        <v>0</v>
      </c>
      <c r="I1550" t="s">
        <v>15</v>
      </c>
      <c r="J1550" t="s">
        <v>15</v>
      </c>
      <c r="K1550">
        <v>0</v>
      </c>
      <c r="L1550">
        <v>0</v>
      </c>
    </row>
    <row r="1551" spans="1:12" x14ac:dyDescent="0.3">
      <c r="A1551" t="s">
        <v>1567</v>
      </c>
      <c r="B1551" t="s">
        <v>21</v>
      </c>
      <c r="C1551">
        <v>999</v>
      </c>
      <c r="D1551">
        <v>0</v>
      </c>
      <c r="E1551">
        <v>0</v>
      </c>
      <c r="F1551">
        <f>COUNTIFS(mdr_rate_cleaned!$A$2:$A$10,B1551,mdr_rate_cleaned!$B$2:$B$10,"&lt;"&amp;C1551,mdr_rate_cleaned!$F$2:$F$10,"&gt;="&amp;C1551)</f>
        <v>1</v>
      </c>
      <c r="G1551">
        <v>0</v>
      </c>
      <c r="H1551">
        <v>0</v>
      </c>
      <c r="I1551" t="s">
        <v>15</v>
      </c>
      <c r="J1551" t="s">
        <v>15</v>
      </c>
      <c r="K1551">
        <v>0</v>
      </c>
      <c r="L1551">
        <v>0</v>
      </c>
    </row>
    <row r="1552" spans="1:12" x14ac:dyDescent="0.3">
      <c r="A1552" t="s">
        <v>1568</v>
      </c>
      <c r="B1552" t="s">
        <v>17</v>
      </c>
      <c r="C1552">
        <v>1799</v>
      </c>
      <c r="D1552">
        <v>32.380000000000003</v>
      </c>
      <c r="E1552">
        <v>5.83</v>
      </c>
      <c r="F1552">
        <f>COUNTIFS(mdr_rate_cleaned!$A$2:$A$10,B1552,mdr_rate_cleaned!$B$2:$B$10,"&lt;"&amp;C1552,mdr_rate_cleaned!$F$2:$F$10,"&gt;="&amp;C1552)</f>
        <v>1</v>
      </c>
      <c r="G1552">
        <v>1.7999999999999999E-2</v>
      </c>
      <c r="H1552">
        <v>32.380000000000003</v>
      </c>
      <c r="I1552" t="s">
        <v>15</v>
      </c>
      <c r="J1552" t="s">
        <v>15</v>
      </c>
      <c r="K1552">
        <v>5.83</v>
      </c>
      <c r="L1552">
        <v>0</v>
      </c>
    </row>
    <row r="1553" spans="1:12" x14ac:dyDescent="0.3">
      <c r="A1553" t="s">
        <v>1569</v>
      </c>
      <c r="B1553" t="s">
        <v>17</v>
      </c>
      <c r="C1553">
        <v>13297</v>
      </c>
      <c r="D1553">
        <v>212.75</v>
      </c>
      <c r="E1553">
        <v>38.299999999999997</v>
      </c>
      <c r="F1553">
        <f>COUNTIFS(mdr_rate_cleaned!$A$2:$A$10,B1553,mdr_rate_cleaned!$B$2:$B$10,"&lt;"&amp;C1553,mdr_rate_cleaned!$F$2:$F$10,"&gt;="&amp;C1553)</f>
        <v>1</v>
      </c>
      <c r="G1553">
        <v>1.6E-2</v>
      </c>
      <c r="H1553">
        <v>212.75</v>
      </c>
      <c r="I1553" t="s">
        <v>15</v>
      </c>
      <c r="J1553" t="s">
        <v>15</v>
      </c>
      <c r="K1553">
        <v>38.299999999999997</v>
      </c>
      <c r="L1553">
        <v>0</v>
      </c>
    </row>
    <row r="1554" spans="1:12" x14ac:dyDescent="0.3">
      <c r="A1554" t="s">
        <v>1570</v>
      </c>
      <c r="B1554" t="s">
        <v>17</v>
      </c>
      <c r="C1554">
        <v>2499</v>
      </c>
      <c r="D1554">
        <v>39.979999999999997</v>
      </c>
      <c r="E1554">
        <v>7.2</v>
      </c>
      <c r="F1554">
        <f>COUNTIFS(mdr_rate_cleaned!$A$2:$A$10,B1554,mdr_rate_cleaned!$B$2:$B$10,"&lt;"&amp;C1554,mdr_rate_cleaned!$F$2:$F$10,"&gt;="&amp;C1554)</f>
        <v>1</v>
      </c>
      <c r="G1554">
        <v>1.6E-2</v>
      </c>
      <c r="H1554">
        <v>39.979999999999997</v>
      </c>
      <c r="I1554" t="s">
        <v>15</v>
      </c>
      <c r="J1554" t="s">
        <v>15</v>
      </c>
      <c r="K1554">
        <v>7.2</v>
      </c>
      <c r="L1554">
        <v>0</v>
      </c>
    </row>
    <row r="1555" spans="1:12" x14ac:dyDescent="0.3">
      <c r="A1555" t="s">
        <v>1571</v>
      </c>
      <c r="B1555" t="s">
        <v>21</v>
      </c>
      <c r="C1555">
        <v>4498</v>
      </c>
      <c r="D1555">
        <v>13.49</v>
      </c>
      <c r="E1555">
        <v>2.4300000000000002</v>
      </c>
      <c r="F1555">
        <f>COUNTIFS(mdr_rate_cleaned!$A$2:$A$10,B1555,mdr_rate_cleaned!$B$2:$B$10,"&lt;"&amp;C1555,mdr_rate_cleaned!$F$2:$F$10,"&gt;="&amp;C1555)</f>
        <v>1</v>
      </c>
      <c r="G1555">
        <v>3.0000000000000001E-3</v>
      </c>
      <c r="H1555">
        <v>13.49</v>
      </c>
      <c r="I1555" t="s">
        <v>15</v>
      </c>
      <c r="J1555" t="s">
        <v>15</v>
      </c>
      <c r="K1555">
        <v>2.4300000000000002</v>
      </c>
      <c r="L1555">
        <v>0</v>
      </c>
    </row>
    <row r="1556" spans="1:12" x14ac:dyDescent="0.3">
      <c r="A1556" t="s">
        <v>1572</v>
      </c>
      <c r="B1556" t="s">
        <v>21</v>
      </c>
      <c r="C1556">
        <v>3498</v>
      </c>
      <c r="D1556">
        <v>10.49</v>
      </c>
      <c r="E1556">
        <v>1.89</v>
      </c>
      <c r="F1556">
        <f>COUNTIFS(mdr_rate_cleaned!$A$2:$A$10,B1556,mdr_rate_cleaned!$B$2:$B$10,"&lt;"&amp;C1556,mdr_rate_cleaned!$F$2:$F$10,"&gt;="&amp;C1556)</f>
        <v>1</v>
      </c>
      <c r="G1556">
        <v>3.0000000000000001E-3</v>
      </c>
      <c r="H1556">
        <v>10.49</v>
      </c>
      <c r="I1556" t="s">
        <v>15</v>
      </c>
      <c r="J1556" t="s">
        <v>15</v>
      </c>
      <c r="K1556">
        <v>1.89</v>
      </c>
      <c r="L1556">
        <v>0</v>
      </c>
    </row>
    <row r="1557" spans="1:12" x14ac:dyDescent="0.3">
      <c r="A1557" t="s">
        <v>1573</v>
      </c>
      <c r="B1557" t="s">
        <v>13</v>
      </c>
      <c r="C1557">
        <v>499</v>
      </c>
      <c r="D1557">
        <v>9.48</v>
      </c>
      <c r="E1557">
        <v>1.71</v>
      </c>
      <c r="F1557">
        <f>COUNTIFS(mdr_rate_cleaned!$A$2:$A$10,B1557,mdr_rate_cleaned!$B$2:$B$10,"&lt;"&amp;C1557,mdr_rate_cleaned!$F$2:$F$10,"&gt;="&amp;C1557)</f>
        <v>1</v>
      </c>
      <c r="G1557">
        <v>1.9E-2</v>
      </c>
      <c r="H1557">
        <v>9.48</v>
      </c>
      <c r="I1557" t="s">
        <v>15</v>
      </c>
      <c r="J1557" t="s">
        <v>15</v>
      </c>
      <c r="K1557">
        <v>1.71</v>
      </c>
      <c r="L1557">
        <v>0</v>
      </c>
    </row>
    <row r="1558" spans="1:12" x14ac:dyDescent="0.3">
      <c r="A1558" t="s">
        <v>1574</v>
      </c>
      <c r="B1558" t="s">
        <v>21</v>
      </c>
      <c r="C1558">
        <v>349</v>
      </c>
      <c r="D1558">
        <v>0</v>
      </c>
      <c r="E1558">
        <v>0</v>
      </c>
      <c r="F1558">
        <f>COUNTIFS(mdr_rate_cleaned!$A$2:$A$10,B1558,mdr_rate_cleaned!$B$2:$B$10,"&lt;"&amp;C1558,mdr_rate_cleaned!$F$2:$F$10,"&gt;="&amp;C1558)</f>
        <v>1</v>
      </c>
      <c r="G1558">
        <v>0</v>
      </c>
      <c r="H1558">
        <v>0</v>
      </c>
      <c r="I1558" t="s">
        <v>15</v>
      </c>
      <c r="J1558" t="s">
        <v>15</v>
      </c>
      <c r="K1558">
        <v>0</v>
      </c>
      <c r="L1558">
        <v>0</v>
      </c>
    </row>
    <row r="1559" spans="1:12" x14ac:dyDescent="0.3">
      <c r="A1559" t="s">
        <v>1575</v>
      </c>
      <c r="B1559" t="s">
        <v>39</v>
      </c>
      <c r="C1559">
        <v>1499</v>
      </c>
      <c r="D1559">
        <v>22.49</v>
      </c>
      <c r="E1559">
        <v>4.05</v>
      </c>
      <c r="F1559">
        <f>COUNTIFS(mdr_rate_cleaned!$A$2:$A$10,B1559,mdr_rate_cleaned!$B$2:$B$10,"&lt;"&amp;C1559,mdr_rate_cleaned!$F$2:$F$10,"&gt;="&amp;C1559)</f>
        <v>1</v>
      </c>
      <c r="G1559">
        <v>1.4999999999999999E-2</v>
      </c>
      <c r="H1559">
        <v>22.49</v>
      </c>
      <c r="I1559" t="s">
        <v>15</v>
      </c>
      <c r="J1559" t="s">
        <v>15</v>
      </c>
      <c r="K1559">
        <v>4.05</v>
      </c>
      <c r="L1559">
        <v>0</v>
      </c>
    </row>
    <row r="1560" spans="1:12" x14ac:dyDescent="0.3">
      <c r="A1560" t="s">
        <v>1576</v>
      </c>
      <c r="B1560" t="s">
        <v>21</v>
      </c>
      <c r="C1560">
        <v>5498</v>
      </c>
      <c r="D1560">
        <v>16.489999999999998</v>
      </c>
      <c r="E1560">
        <v>2.97</v>
      </c>
      <c r="F1560">
        <f>COUNTIFS(mdr_rate_cleaned!$A$2:$A$10,B1560,mdr_rate_cleaned!$B$2:$B$10,"&lt;"&amp;C1560,mdr_rate_cleaned!$F$2:$F$10,"&gt;="&amp;C1560)</f>
        <v>1</v>
      </c>
      <c r="G1560">
        <v>3.0000000000000001E-3</v>
      </c>
      <c r="H1560">
        <v>16.489999999999998</v>
      </c>
      <c r="I1560" t="s">
        <v>15</v>
      </c>
      <c r="J1560" t="s">
        <v>15</v>
      </c>
      <c r="K1560">
        <v>2.97</v>
      </c>
      <c r="L1560">
        <v>0</v>
      </c>
    </row>
    <row r="1561" spans="1:12" x14ac:dyDescent="0.3">
      <c r="A1561" t="s">
        <v>1577</v>
      </c>
      <c r="B1561" t="s">
        <v>39</v>
      </c>
      <c r="C1561">
        <v>1299</v>
      </c>
      <c r="D1561">
        <v>19.489999999999998</v>
      </c>
      <c r="E1561">
        <v>3.51</v>
      </c>
      <c r="F1561">
        <f>COUNTIFS(mdr_rate_cleaned!$A$2:$A$10,B1561,mdr_rate_cleaned!$B$2:$B$10,"&lt;"&amp;C1561,mdr_rate_cleaned!$F$2:$F$10,"&gt;="&amp;C1561)</f>
        <v>1</v>
      </c>
      <c r="G1561">
        <v>1.4999999999999999E-2</v>
      </c>
      <c r="H1561">
        <v>19.489999999999998</v>
      </c>
      <c r="I1561" t="s">
        <v>15</v>
      </c>
      <c r="J1561" t="s">
        <v>15</v>
      </c>
      <c r="K1561">
        <v>3.51</v>
      </c>
      <c r="L1561">
        <v>0</v>
      </c>
    </row>
    <row r="1562" spans="1:12" x14ac:dyDescent="0.3">
      <c r="A1562" t="s">
        <v>1578</v>
      </c>
      <c r="B1562" t="s">
        <v>21</v>
      </c>
      <c r="C1562">
        <v>7497</v>
      </c>
      <c r="D1562">
        <v>22.49</v>
      </c>
      <c r="E1562">
        <v>4.05</v>
      </c>
      <c r="F1562">
        <f>COUNTIFS(mdr_rate_cleaned!$A$2:$A$10,B1562,mdr_rate_cleaned!$B$2:$B$10,"&lt;"&amp;C1562,mdr_rate_cleaned!$F$2:$F$10,"&gt;="&amp;C1562)</f>
        <v>1</v>
      </c>
      <c r="G1562">
        <v>3.0000000000000001E-3</v>
      </c>
      <c r="H1562">
        <v>22.49</v>
      </c>
      <c r="I1562" t="s">
        <v>15</v>
      </c>
      <c r="J1562" t="s">
        <v>15</v>
      </c>
      <c r="K1562">
        <v>4.05</v>
      </c>
      <c r="L1562">
        <v>0</v>
      </c>
    </row>
    <row r="1563" spans="1:12" x14ac:dyDescent="0.3">
      <c r="A1563" t="s">
        <v>1579</v>
      </c>
      <c r="B1563" t="s">
        <v>39</v>
      </c>
      <c r="C1563">
        <v>999</v>
      </c>
      <c r="D1563">
        <v>14.99</v>
      </c>
      <c r="E1563">
        <v>2.7</v>
      </c>
      <c r="F1563">
        <f>COUNTIFS(mdr_rate_cleaned!$A$2:$A$10,B1563,mdr_rate_cleaned!$B$2:$B$10,"&lt;"&amp;C1563,mdr_rate_cleaned!$F$2:$F$10,"&gt;="&amp;C1563)</f>
        <v>1</v>
      </c>
      <c r="G1563">
        <v>1.4999999999999999E-2</v>
      </c>
      <c r="H1563">
        <v>14.99</v>
      </c>
      <c r="I1563" t="s">
        <v>15</v>
      </c>
      <c r="J1563" t="s">
        <v>15</v>
      </c>
      <c r="K1563">
        <v>2.7</v>
      </c>
      <c r="L1563">
        <v>0</v>
      </c>
    </row>
    <row r="1564" spans="1:12" x14ac:dyDescent="0.3">
      <c r="A1564" t="s">
        <v>1580</v>
      </c>
      <c r="B1564" t="s">
        <v>39</v>
      </c>
      <c r="C1564">
        <v>5298</v>
      </c>
      <c r="D1564">
        <v>63.58</v>
      </c>
      <c r="E1564">
        <v>11.44</v>
      </c>
      <c r="F1564">
        <f>COUNTIFS(mdr_rate_cleaned!$A$2:$A$10,B1564,mdr_rate_cleaned!$B$2:$B$10,"&lt;"&amp;C1564,mdr_rate_cleaned!$F$2:$F$10,"&gt;="&amp;C1564)</f>
        <v>1</v>
      </c>
      <c r="G1564">
        <v>1.2E-2</v>
      </c>
      <c r="H1564">
        <v>63.58</v>
      </c>
      <c r="I1564" t="s">
        <v>15</v>
      </c>
      <c r="J1564" t="s">
        <v>15</v>
      </c>
      <c r="K1564">
        <v>11.44</v>
      </c>
      <c r="L1564">
        <v>0</v>
      </c>
    </row>
    <row r="1565" spans="1:12" x14ac:dyDescent="0.3">
      <c r="A1565" t="s">
        <v>1581</v>
      </c>
      <c r="B1565" t="s">
        <v>39</v>
      </c>
      <c r="C1565">
        <v>2098</v>
      </c>
      <c r="D1565">
        <v>25.18</v>
      </c>
      <c r="E1565">
        <v>4.53</v>
      </c>
      <c r="F1565">
        <f>COUNTIFS(mdr_rate_cleaned!$A$2:$A$10,B1565,mdr_rate_cleaned!$B$2:$B$10,"&lt;"&amp;C1565,mdr_rate_cleaned!$F$2:$F$10,"&gt;="&amp;C1565)</f>
        <v>1</v>
      </c>
      <c r="G1565">
        <v>1.2E-2</v>
      </c>
      <c r="H1565">
        <v>25.18</v>
      </c>
      <c r="I1565" t="s">
        <v>15</v>
      </c>
      <c r="J1565" t="s">
        <v>15</v>
      </c>
      <c r="K1565">
        <v>4.53</v>
      </c>
      <c r="L1565">
        <v>0</v>
      </c>
    </row>
    <row r="1566" spans="1:12" x14ac:dyDescent="0.3">
      <c r="A1566" t="s">
        <v>1582</v>
      </c>
      <c r="B1566" t="s">
        <v>21</v>
      </c>
      <c r="C1566">
        <v>299</v>
      </c>
      <c r="D1566">
        <v>0</v>
      </c>
      <c r="E1566">
        <v>0</v>
      </c>
      <c r="F1566">
        <f>COUNTIFS(mdr_rate_cleaned!$A$2:$A$10,B1566,mdr_rate_cleaned!$B$2:$B$10,"&lt;"&amp;C1566,mdr_rate_cleaned!$F$2:$F$10,"&gt;="&amp;C1566)</f>
        <v>1</v>
      </c>
      <c r="G1566">
        <v>0</v>
      </c>
      <c r="H1566">
        <v>0</v>
      </c>
      <c r="I1566" t="s">
        <v>15</v>
      </c>
      <c r="J1566" t="s">
        <v>15</v>
      </c>
      <c r="K1566">
        <v>0</v>
      </c>
      <c r="L1566">
        <v>0</v>
      </c>
    </row>
    <row r="1567" spans="1:12" x14ac:dyDescent="0.3">
      <c r="A1567" t="s">
        <v>1583</v>
      </c>
      <c r="B1567" t="s">
        <v>21</v>
      </c>
      <c r="C1567">
        <v>4997</v>
      </c>
      <c r="D1567">
        <v>14.99</v>
      </c>
      <c r="E1567">
        <v>2.7</v>
      </c>
      <c r="F1567">
        <f>COUNTIFS(mdr_rate_cleaned!$A$2:$A$10,B1567,mdr_rate_cleaned!$B$2:$B$10,"&lt;"&amp;C1567,mdr_rate_cleaned!$F$2:$F$10,"&gt;="&amp;C1567)</f>
        <v>1</v>
      </c>
      <c r="G1567">
        <v>3.0000000000000001E-3</v>
      </c>
      <c r="H1567">
        <v>14.99</v>
      </c>
      <c r="I1567" t="s">
        <v>15</v>
      </c>
      <c r="J1567" t="s">
        <v>15</v>
      </c>
      <c r="K1567">
        <v>2.7</v>
      </c>
      <c r="L1567">
        <v>0</v>
      </c>
    </row>
    <row r="1568" spans="1:12" x14ac:dyDescent="0.3">
      <c r="A1568" t="s">
        <v>1584</v>
      </c>
      <c r="B1568" t="s">
        <v>21</v>
      </c>
      <c r="C1568">
        <v>349</v>
      </c>
      <c r="D1568">
        <v>0</v>
      </c>
      <c r="E1568">
        <v>0</v>
      </c>
      <c r="F1568">
        <f>COUNTIFS(mdr_rate_cleaned!$A$2:$A$10,B1568,mdr_rate_cleaned!$B$2:$B$10,"&lt;"&amp;C1568,mdr_rate_cleaned!$F$2:$F$10,"&gt;="&amp;C1568)</f>
        <v>1</v>
      </c>
      <c r="G1568">
        <v>0</v>
      </c>
      <c r="H1568">
        <v>0</v>
      </c>
      <c r="I1568" t="s">
        <v>15</v>
      </c>
      <c r="J1568" t="s">
        <v>15</v>
      </c>
      <c r="K1568">
        <v>0</v>
      </c>
      <c r="L1568">
        <v>0</v>
      </c>
    </row>
    <row r="1569" spans="1:12" x14ac:dyDescent="0.3">
      <c r="A1569" t="s">
        <v>1585</v>
      </c>
      <c r="B1569" t="s">
        <v>21</v>
      </c>
      <c r="C1569">
        <v>4797</v>
      </c>
      <c r="D1569">
        <v>14.39</v>
      </c>
      <c r="E1569">
        <v>2.59</v>
      </c>
      <c r="F1569">
        <f>COUNTIFS(mdr_rate_cleaned!$A$2:$A$10,B1569,mdr_rate_cleaned!$B$2:$B$10,"&lt;"&amp;C1569,mdr_rate_cleaned!$F$2:$F$10,"&gt;="&amp;C1569)</f>
        <v>1</v>
      </c>
      <c r="G1569">
        <v>3.0000000000000001E-3</v>
      </c>
      <c r="H1569">
        <v>14.39</v>
      </c>
      <c r="I1569" t="s">
        <v>15</v>
      </c>
      <c r="J1569" t="s">
        <v>15</v>
      </c>
      <c r="K1569">
        <v>2.59</v>
      </c>
      <c r="L1569">
        <v>0</v>
      </c>
    </row>
    <row r="1570" spans="1:12" x14ac:dyDescent="0.3">
      <c r="A1570" t="s">
        <v>1586</v>
      </c>
      <c r="B1570" t="s">
        <v>21</v>
      </c>
      <c r="C1570">
        <v>3998</v>
      </c>
      <c r="D1570">
        <v>11.99</v>
      </c>
      <c r="E1570">
        <v>2.16</v>
      </c>
      <c r="F1570">
        <f>COUNTIFS(mdr_rate_cleaned!$A$2:$A$10,B1570,mdr_rate_cleaned!$B$2:$B$10,"&lt;"&amp;C1570,mdr_rate_cleaned!$F$2:$F$10,"&gt;="&amp;C1570)</f>
        <v>1</v>
      </c>
      <c r="G1570">
        <v>3.0000000000000001E-3</v>
      </c>
      <c r="H1570">
        <v>11.99</v>
      </c>
      <c r="I1570" t="s">
        <v>15</v>
      </c>
      <c r="J1570" t="s">
        <v>15</v>
      </c>
      <c r="K1570">
        <v>2.16</v>
      </c>
      <c r="L1570">
        <v>0</v>
      </c>
    </row>
    <row r="1571" spans="1:12" x14ac:dyDescent="0.3">
      <c r="A1571" t="s">
        <v>1587</v>
      </c>
      <c r="B1571" t="s">
        <v>17</v>
      </c>
      <c r="C1571">
        <v>7999</v>
      </c>
      <c r="D1571">
        <v>127.98</v>
      </c>
      <c r="E1571">
        <v>23.04</v>
      </c>
      <c r="F1571">
        <f>COUNTIFS(mdr_rate_cleaned!$A$2:$A$10,B1571,mdr_rate_cleaned!$B$2:$B$10,"&lt;"&amp;C1571,mdr_rate_cleaned!$F$2:$F$10,"&gt;="&amp;C1571)</f>
        <v>1</v>
      </c>
      <c r="G1571">
        <v>1.6E-2</v>
      </c>
      <c r="H1571">
        <v>127.98</v>
      </c>
      <c r="I1571" t="s">
        <v>15</v>
      </c>
      <c r="J1571" t="s">
        <v>15</v>
      </c>
      <c r="K1571">
        <v>23.04</v>
      </c>
      <c r="L1571">
        <v>0</v>
      </c>
    </row>
    <row r="1572" spans="1:12" x14ac:dyDescent="0.3">
      <c r="A1572" t="s">
        <v>1588</v>
      </c>
      <c r="B1572" t="s">
        <v>39</v>
      </c>
      <c r="C1572">
        <v>999</v>
      </c>
      <c r="D1572">
        <v>14.99</v>
      </c>
      <c r="E1572">
        <v>2.7</v>
      </c>
      <c r="F1572">
        <f>COUNTIFS(mdr_rate_cleaned!$A$2:$A$10,B1572,mdr_rate_cleaned!$B$2:$B$10,"&lt;"&amp;C1572,mdr_rate_cleaned!$F$2:$F$10,"&gt;="&amp;C1572)</f>
        <v>1</v>
      </c>
      <c r="G1572">
        <v>1.4999999999999999E-2</v>
      </c>
      <c r="H1572">
        <v>14.99</v>
      </c>
      <c r="I1572" t="s">
        <v>15</v>
      </c>
      <c r="J1572" t="s">
        <v>15</v>
      </c>
      <c r="K1572">
        <v>2.7</v>
      </c>
      <c r="L1572">
        <v>0</v>
      </c>
    </row>
    <row r="1573" spans="1:12" x14ac:dyDescent="0.3">
      <c r="A1573" t="s">
        <v>1589</v>
      </c>
      <c r="B1573" t="s">
        <v>21</v>
      </c>
      <c r="C1573">
        <v>499</v>
      </c>
      <c r="D1573">
        <v>0</v>
      </c>
      <c r="E1573">
        <v>0</v>
      </c>
      <c r="F1573">
        <f>COUNTIFS(mdr_rate_cleaned!$A$2:$A$10,B1573,mdr_rate_cleaned!$B$2:$B$10,"&lt;"&amp;C1573,mdr_rate_cleaned!$F$2:$F$10,"&gt;="&amp;C1573)</f>
        <v>1</v>
      </c>
      <c r="G1573">
        <v>0</v>
      </c>
      <c r="H1573">
        <v>0</v>
      </c>
      <c r="I1573" t="s">
        <v>15</v>
      </c>
      <c r="J1573" t="s">
        <v>15</v>
      </c>
      <c r="K1573">
        <v>0</v>
      </c>
      <c r="L1573">
        <v>0</v>
      </c>
    </row>
    <row r="1574" spans="1:12" x14ac:dyDescent="0.3">
      <c r="A1574" t="s">
        <v>1590</v>
      </c>
      <c r="B1574" t="s">
        <v>17</v>
      </c>
      <c r="C1574">
        <v>1499</v>
      </c>
      <c r="D1574">
        <v>26.98</v>
      </c>
      <c r="E1574">
        <v>4.8600000000000003</v>
      </c>
      <c r="F1574">
        <f>COUNTIFS(mdr_rate_cleaned!$A$2:$A$10,B1574,mdr_rate_cleaned!$B$2:$B$10,"&lt;"&amp;C1574,mdr_rate_cleaned!$F$2:$F$10,"&gt;="&amp;C1574)</f>
        <v>1</v>
      </c>
      <c r="G1574">
        <v>1.7999999999999999E-2</v>
      </c>
      <c r="H1574">
        <v>26.98</v>
      </c>
      <c r="I1574" t="s">
        <v>15</v>
      </c>
      <c r="J1574" t="s">
        <v>15</v>
      </c>
      <c r="K1574">
        <v>4.8600000000000003</v>
      </c>
      <c r="L1574">
        <v>0</v>
      </c>
    </row>
    <row r="1575" spans="1:12" x14ac:dyDescent="0.3">
      <c r="A1575" t="s">
        <v>1591</v>
      </c>
      <c r="B1575" t="s">
        <v>21</v>
      </c>
      <c r="C1575">
        <v>499</v>
      </c>
      <c r="D1575">
        <v>1.5</v>
      </c>
      <c r="E1575">
        <v>0.27</v>
      </c>
      <c r="F1575">
        <f>COUNTIFS(mdr_rate_cleaned!$A$2:$A$10,B1575,mdr_rate_cleaned!$B$2:$B$10,"&lt;"&amp;C1575,mdr_rate_cleaned!$F$2:$F$10,"&gt;="&amp;C1575)</f>
        <v>1</v>
      </c>
      <c r="G1575">
        <v>0</v>
      </c>
      <c r="H1575">
        <v>0</v>
      </c>
      <c r="I1575" t="s">
        <v>14</v>
      </c>
      <c r="J1575" t="s">
        <v>15</v>
      </c>
      <c r="K1575">
        <v>0</v>
      </c>
      <c r="L1575">
        <v>1.77</v>
      </c>
    </row>
    <row r="1576" spans="1:12" x14ac:dyDescent="0.3">
      <c r="A1576" t="s">
        <v>1592</v>
      </c>
      <c r="B1576" t="s">
        <v>21</v>
      </c>
      <c r="C1576">
        <v>2499</v>
      </c>
      <c r="D1576">
        <v>7.5</v>
      </c>
      <c r="E1576">
        <v>1.35</v>
      </c>
      <c r="F1576">
        <f>COUNTIFS(mdr_rate_cleaned!$A$2:$A$10,B1576,mdr_rate_cleaned!$B$2:$B$10,"&lt;"&amp;C1576,mdr_rate_cleaned!$F$2:$F$10,"&gt;="&amp;C1576)</f>
        <v>1</v>
      </c>
      <c r="G1576">
        <v>3.0000000000000001E-3</v>
      </c>
      <c r="H1576">
        <v>7.5</v>
      </c>
      <c r="I1576" t="s">
        <v>15</v>
      </c>
      <c r="J1576" t="s">
        <v>15</v>
      </c>
      <c r="K1576">
        <v>1.35</v>
      </c>
      <c r="L1576">
        <v>0</v>
      </c>
    </row>
    <row r="1577" spans="1:12" x14ac:dyDescent="0.3">
      <c r="A1577" t="s">
        <v>1593</v>
      </c>
      <c r="B1577" t="s">
        <v>13</v>
      </c>
      <c r="C1577">
        <v>499</v>
      </c>
      <c r="D1577">
        <v>9.48</v>
      </c>
      <c r="E1577">
        <v>1.71</v>
      </c>
      <c r="F1577">
        <f>COUNTIFS(mdr_rate_cleaned!$A$2:$A$10,B1577,mdr_rate_cleaned!$B$2:$B$10,"&lt;"&amp;C1577,mdr_rate_cleaned!$F$2:$F$10,"&gt;="&amp;C1577)</f>
        <v>1</v>
      </c>
      <c r="G1577">
        <v>1.9E-2</v>
      </c>
      <c r="H1577">
        <v>9.48</v>
      </c>
      <c r="I1577" t="s">
        <v>15</v>
      </c>
      <c r="J1577" t="s">
        <v>15</v>
      </c>
      <c r="K1577">
        <v>1.71</v>
      </c>
      <c r="L1577">
        <v>0</v>
      </c>
    </row>
    <row r="1578" spans="1:12" x14ac:dyDescent="0.3">
      <c r="A1578" t="s">
        <v>1594</v>
      </c>
      <c r="B1578" t="s">
        <v>17</v>
      </c>
      <c r="C1578">
        <v>3797</v>
      </c>
      <c r="D1578">
        <v>60.75</v>
      </c>
      <c r="E1578">
        <v>10.94</v>
      </c>
      <c r="F1578">
        <f>COUNTIFS(mdr_rate_cleaned!$A$2:$A$10,B1578,mdr_rate_cleaned!$B$2:$B$10,"&lt;"&amp;C1578,mdr_rate_cleaned!$F$2:$F$10,"&gt;="&amp;C1578)</f>
        <v>1</v>
      </c>
      <c r="G1578">
        <v>1.6E-2</v>
      </c>
      <c r="H1578">
        <v>60.75</v>
      </c>
      <c r="I1578" t="s">
        <v>15</v>
      </c>
      <c r="J1578" t="s">
        <v>15</v>
      </c>
      <c r="K1578">
        <v>10.94</v>
      </c>
      <c r="L1578">
        <v>0</v>
      </c>
    </row>
    <row r="1579" spans="1:12" x14ac:dyDescent="0.3">
      <c r="A1579" t="s">
        <v>1595</v>
      </c>
      <c r="B1579" t="s">
        <v>21</v>
      </c>
      <c r="C1579">
        <v>10998</v>
      </c>
      <c r="D1579">
        <v>32.99</v>
      </c>
      <c r="E1579">
        <v>5.94</v>
      </c>
      <c r="F1579">
        <f>COUNTIFS(mdr_rate_cleaned!$A$2:$A$10,B1579,mdr_rate_cleaned!$B$2:$B$10,"&lt;"&amp;C1579,mdr_rate_cleaned!$F$2:$F$10,"&gt;="&amp;C1579)</f>
        <v>1</v>
      </c>
      <c r="G1579">
        <v>3.0000000000000001E-3</v>
      </c>
      <c r="H1579">
        <v>32.99</v>
      </c>
      <c r="I1579" t="s">
        <v>15</v>
      </c>
      <c r="J1579" t="s">
        <v>15</v>
      </c>
      <c r="K1579">
        <v>5.94</v>
      </c>
      <c r="L1579">
        <v>0</v>
      </c>
    </row>
    <row r="1580" spans="1:12" x14ac:dyDescent="0.3">
      <c r="A1580" t="s">
        <v>1596</v>
      </c>
      <c r="B1580" t="s">
        <v>21</v>
      </c>
      <c r="C1580">
        <v>4147</v>
      </c>
      <c r="D1580">
        <v>12.44</v>
      </c>
      <c r="E1580">
        <v>2.2400000000000002</v>
      </c>
      <c r="F1580">
        <f>COUNTIFS(mdr_rate_cleaned!$A$2:$A$10,B1580,mdr_rate_cleaned!$B$2:$B$10,"&lt;"&amp;C1580,mdr_rate_cleaned!$F$2:$F$10,"&gt;="&amp;C1580)</f>
        <v>1</v>
      </c>
      <c r="G1580">
        <v>3.0000000000000001E-3</v>
      </c>
      <c r="H1580">
        <v>12.44</v>
      </c>
      <c r="I1580" t="s">
        <v>15</v>
      </c>
      <c r="J1580" t="s">
        <v>15</v>
      </c>
      <c r="K1580">
        <v>2.2400000000000002</v>
      </c>
      <c r="L1580">
        <v>0</v>
      </c>
    </row>
    <row r="1581" spans="1:12" x14ac:dyDescent="0.3">
      <c r="A1581" t="s">
        <v>1597</v>
      </c>
      <c r="B1581" t="s">
        <v>21</v>
      </c>
      <c r="C1581">
        <v>8997</v>
      </c>
      <c r="D1581">
        <v>26.99</v>
      </c>
      <c r="E1581">
        <v>4.8600000000000003</v>
      </c>
      <c r="F1581">
        <f>COUNTIFS(mdr_rate_cleaned!$A$2:$A$10,B1581,mdr_rate_cleaned!$B$2:$B$10,"&lt;"&amp;C1581,mdr_rate_cleaned!$F$2:$F$10,"&gt;="&amp;C1581)</f>
        <v>1</v>
      </c>
      <c r="G1581">
        <v>3.0000000000000001E-3</v>
      </c>
      <c r="H1581">
        <v>26.99</v>
      </c>
      <c r="I1581" t="s">
        <v>15</v>
      </c>
      <c r="J1581" t="s">
        <v>15</v>
      </c>
      <c r="K1581">
        <v>4.8600000000000003</v>
      </c>
      <c r="L1581">
        <v>0</v>
      </c>
    </row>
    <row r="1582" spans="1:12" x14ac:dyDescent="0.3">
      <c r="A1582" t="s">
        <v>1598</v>
      </c>
      <c r="B1582" t="s">
        <v>17</v>
      </c>
      <c r="C1582">
        <v>2147</v>
      </c>
      <c r="D1582">
        <v>34.35</v>
      </c>
      <c r="E1582">
        <v>6.18</v>
      </c>
      <c r="F1582">
        <f>COUNTIFS(mdr_rate_cleaned!$A$2:$A$10,B1582,mdr_rate_cleaned!$B$2:$B$10,"&lt;"&amp;C1582,mdr_rate_cleaned!$F$2:$F$10,"&gt;="&amp;C1582)</f>
        <v>1</v>
      </c>
      <c r="G1582">
        <v>1.6E-2</v>
      </c>
      <c r="H1582">
        <v>34.35</v>
      </c>
      <c r="I1582" t="s">
        <v>15</v>
      </c>
      <c r="J1582" t="s">
        <v>15</v>
      </c>
      <c r="K1582">
        <v>6.18</v>
      </c>
      <c r="L1582">
        <v>0</v>
      </c>
    </row>
    <row r="1583" spans="1:12" x14ac:dyDescent="0.3">
      <c r="A1583" t="s">
        <v>1599</v>
      </c>
      <c r="B1583" t="s">
        <v>17</v>
      </c>
      <c r="C1583">
        <v>8298</v>
      </c>
      <c r="D1583">
        <v>132.77000000000001</v>
      </c>
      <c r="E1583">
        <v>23.9</v>
      </c>
      <c r="F1583">
        <f>COUNTIFS(mdr_rate_cleaned!$A$2:$A$10,B1583,mdr_rate_cleaned!$B$2:$B$10,"&lt;"&amp;C1583,mdr_rate_cleaned!$F$2:$F$10,"&gt;="&amp;C1583)</f>
        <v>1</v>
      </c>
      <c r="G1583">
        <v>1.6E-2</v>
      </c>
      <c r="H1583">
        <v>132.77000000000001</v>
      </c>
      <c r="I1583" t="s">
        <v>15</v>
      </c>
      <c r="J1583" t="s">
        <v>15</v>
      </c>
      <c r="K1583">
        <v>23.9</v>
      </c>
      <c r="L1583">
        <v>0</v>
      </c>
    </row>
    <row r="1584" spans="1:12" x14ac:dyDescent="0.3">
      <c r="A1584" t="s">
        <v>1600</v>
      </c>
      <c r="B1584" t="s">
        <v>21</v>
      </c>
      <c r="C1584">
        <v>999</v>
      </c>
      <c r="D1584">
        <v>0</v>
      </c>
      <c r="E1584">
        <v>0</v>
      </c>
      <c r="F1584">
        <f>COUNTIFS(mdr_rate_cleaned!$A$2:$A$10,B1584,mdr_rate_cleaned!$B$2:$B$10,"&lt;"&amp;C1584,mdr_rate_cleaned!$F$2:$F$10,"&gt;="&amp;C1584)</f>
        <v>1</v>
      </c>
      <c r="G1584">
        <v>0</v>
      </c>
      <c r="H1584">
        <v>0</v>
      </c>
      <c r="I1584" t="s">
        <v>15</v>
      </c>
      <c r="J1584" t="s">
        <v>15</v>
      </c>
      <c r="K1584">
        <v>0</v>
      </c>
      <c r="L1584">
        <v>0</v>
      </c>
    </row>
    <row r="1585" spans="1:12" x14ac:dyDescent="0.3">
      <c r="A1585" t="s">
        <v>1601</v>
      </c>
      <c r="B1585" t="s">
        <v>21</v>
      </c>
      <c r="C1585">
        <v>3598</v>
      </c>
      <c r="D1585">
        <v>10.79</v>
      </c>
      <c r="E1585">
        <v>1.94</v>
      </c>
      <c r="F1585">
        <f>COUNTIFS(mdr_rate_cleaned!$A$2:$A$10,B1585,mdr_rate_cleaned!$B$2:$B$10,"&lt;"&amp;C1585,mdr_rate_cleaned!$F$2:$F$10,"&gt;="&amp;C1585)</f>
        <v>1</v>
      </c>
      <c r="G1585">
        <v>3.0000000000000001E-3</v>
      </c>
      <c r="H1585">
        <v>10.79</v>
      </c>
      <c r="I1585" t="s">
        <v>15</v>
      </c>
      <c r="J1585" t="s">
        <v>15</v>
      </c>
      <c r="K1585">
        <v>1.94</v>
      </c>
      <c r="L1585">
        <v>0</v>
      </c>
    </row>
    <row r="1586" spans="1:12" x14ac:dyDescent="0.3">
      <c r="A1586" t="s">
        <v>1602</v>
      </c>
      <c r="B1586" t="s">
        <v>17</v>
      </c>
      <c r="C1586">
        <v>349</v>
      </c>
      <c r="D1586">
        <v>6.28</v>
      </c>
      <c r="E1586">
        <v>1.1299999999999999</v>
      </c>
      <c r="F1586">
        <f>COUNTIFS(mdr_rate_cleaned!$A$2:$A$10,B1586,mdr_rate_cleaned!$B$2:$B$10,"&lt;"&amp;C1586,mdr_rate_cleaned!$F$2:$F$10,"&gt;="&amp;C1586)</f>
        <v>1</v>
      </c>
      <c r="G1586">
        <v>1.7999999999999999E-2</v>
      </c>
      <c r="H1586">
        <v>6.28</v>
      </c>
      <c r="I1586" t="s">
        <v>15</v>
      </c>
      <c r="J1586" t="s">
        <v>15</v>
      </c>
      <c r="K1586">
        <v>1.1299999999999999</v>
      </c>
      <c r="L1586">
        <v>0</v>
      </c>
    </row>
    <row r="1587" spans="1:12" x14ac:dyDescent="0.3">
      <c r="A1587" t="s">
        <v>1603</v>
      </c>
      <c r="B1587" t="s">
        <v>21</v>
      </c>
      <c r="C1587">
        <v>1998</v>
      </c>
      <c r="D1587">
        <v>0</v>
      </c>
      <c r="E1587">
        <v>0</v>
      </c>
      <c r="F1587">
        <f>COUNTIFS(mdr_rate_cleaned!$A$2:$A$10,B1587,mdr_rate_cleaned!$B$2:$B$10,"&lt;"&amp;C1587,mdr_rate_cleaned!$F$2:$F$10,"&gt;="&amp;C1587)</f>
        <v>1</v>
      </c>
      <c r="G1587">
        <v>0</v>
      </c>
      <c r="H1587">
        <v>0</v>
      </c>
      <c r="I1587" t="s">
        <v>15</v>
      </c>
      <c r="J1587" t="s">
        <v>15</v>
      </c>
      <c r="K1587">
        <v>0</v>
      </c>
      <c r="L1587">
        <v>0</v>
      </c>
    </row>
    <row r="1588" spans="1:12" x14ac:dyDescent="0.3">
      <c r="A1588" t="s">
        <v>1604</v>
      </c>
      <c r="B1588" t="s">
        <v>17</v>
      </c>
      <c r="C1588">
        <v>8997</v>
      </c>
      <c r="D1588">
        <v>143.94999999999999</v>
      </c>
      <c r="E1588">
        <v>25.91</v>
      </c>
      <c r="F1588">
        <f>COUNTIFS(mdr_rate_cleaned!$A$2:$A$10,B1588,mdr_rate_cleaned!$B$2:$B$10,"&lt;"&amp;C1588,mdr_rate_cleaned!$F$2:$F$10,"&gt;="&amp;C1588)</f>
        <v>1</v>
      </c>
      <c r="G1588">
        <v>1.6E-2</v>
      </c>
      <c r="H1588">
        <v>143.94999999999999</v>
      </c>
      <c r="I1588" t="s">
        <v>15</v>
      </c>
      <c r="J1588" t="s">
        <v>15</v>
      </c>
      <c r="K1588">
        <v>25.91</v>
      </c>
      <c r="L1588">
        <v>0</v>
      </c>
    </row>
    <row r="1589" spans="1:12" x14ac:dyDescent="0.3">
      <c r="A1589" t="s">
        <v>1605</v>
      </c>
      <c r="B1589" t="s">
        <v>13</v>
      </c>
      <c r="C1589">
        <v>1299</v>
      </c>
      <c r="D1589">
        <v>24.68</v>
      </c>
      <c r="E1589">
        <v>4.4400000000000004</v>
      </c>
      <c r="F1589">
        <f>COUNTIFS(mdr_rate_cleaned!$A$2:$A$10,B1589,mdr_rate_cleaned!$B$2:$B$10,"&lt;"&amp;C1589,mdr_rate_cleaned!$F$2:$F$10,"&gt;="&amp;C1589)</f>
        <v>1</v>
      </c>
      <c r="G1589">
        <v>1.9E-2</v>
      </c>
      <c r="H1589">
        <v>24.68</v>
      </c>
      <c r="I1589" t="s">
        <v>15</v>
      </c>
      <c r="J1589" t="s">
        <v>15</v>
      </c>
      <c r="K1589">
        <v>4.4400000000000004</v>
      </c>
      <c r="L1589">
        <v>0</v>
      </c>
    </row>
    <row r="1590" spans="1:12" x14ac:dyDescent="0.3">
      <c r="A1590" t="s">
        <v>1606</v>
      </c>
      <c r="B1590" t="s">
        <v>21</v>
      </c>
      <c r="C1590">
        <v>499</v>
      </c>
      <c r="D1590">
        <v>0</v>
      </c>
      <c r="E1590">
        <v>0</v>
      </c>
      <c r="F1590">
        <f>COUNTIFS(mdr_rate_cleaned!$A$2:$A$10,B1590,mdr_rate_cleaned!$B$2:$B$10,"&lt;"&amp;C1590,mdr_rate_cleaned!$F$2:$F$10,"&gt;="&amp;C1590)</f>
        <v>1</v>
      </c>
      <c r="G1590">
        <v>0</v>
      </c>
      <c r="H1590">
        <v>0</v>
      </c>
      <c r="I1590" t="s">
        <v>15</v>
      </c>
      <c r="J1590" t="s">
        <v>15</v>
      </c>
      <c r="K1590">
        <v>0</v>
      </c>
      <c r="L1590">
        <v>0</v>
      </c>
    </row>
    <row r="1591" spans="1:12" x14ac:dyDescent="0.3">
      <c r="A1591" t="s">
        <v>1607</v>
      </c>
      <c r="B1591" t="s">
        <v>21</v>
      </c>
      <c r="C1591">
        <v>6498</v>
      </c>
      <c r="D1591">
        <v>19.489999999999998</v>
      </c>
      <c r="E1591">
        <v>3.51</v>
      </c>
      <c r="F1591">
        <f>COUNTIFS(mdr_rate_cleaned!$A$2:$A$10,B1591,mdr_rate_cleaned!$B$2:$B$10,"&lt;"&amp;C1591,mdr_rate_cleaned!$F$2:$F$10,"&gt;="&amp;C1591)</f>
        <v>1</v>
      </c>
      <c r="G1591">
        <v>3.0000000000000001E-3</v>
      </c>
      <c r="H1591">
        <v>19.489999999999998</v>
      </c>
      <c r="I1591" t="s">
        <v>15</v>
      </c>
      <c r="J1591" t="s">
        <v>15</v>
      </c>
      <c r="K1591">
        <v>3.51</v>
      </c>
      <c r="L1591">
        <v>0</v>
      </c>
    </row>
    <row r="1592" spans="1:12" x14ac:dyDescent="0.3">
      <c r="A1592" t="s">
        <v>1608</v>
      </c>
      <c r="B1592" t="s">
        <v>21</v>
      </c>
      <c r="C1592">
        <v>1299</v>
      </c>
      <c r="D1592">
        <v>0</v>
      </c>
      <c r="E1592">
        <v>0</v>
      </c>
      <c r="F1592">
        <f>COUNTIFS(mdr_rate_cleaned!$A$2:$A$10,B1592,mdr_rate_cleaned!$B$2:$B$10,"&lt;"&amp;C1592,mdr_rate_cleaned!$F$2:$F$10,"&gt;="&amp;C1592)</f>
        <v>1</v>
      </c>
      <c r="G1592">
        <v>0</v>
      </c>
      <c r="H1592">
        <v>0</v>
      </c>
      <c r="I1592" t="s">
        <v>15</v>
      </c>
      <c r="J1592" t="s">
        <v>15</v>
      </c>
      <c r="K1592">
        <v>0</v>
      </c>
      <c r="L1592">
        <v>0</v>
      </c>
    </row>
    <row r="1593" spans="1:12" x14ac:dyDescent="0.3">
      <c r="A1593" t="s">
        <v>1609</v>
      </c>
      <c r="B1593" t="s">
        <v>21</v>
      </c>
      <c r="C1593">
        <v>799</v>
      </c>
      <c r="D1593">
        <v>0</v>
      </c>
      <c r="E1593">
        <v>0</v>
      </c>
      <c r="F1593">
        <f>COUNTIFS(mdr_rate_cleaned!$A$2:$A$10,B1593,mdr_rate_cleaned!$B$2:$B$10,"&lt;"&amp;C1593,mdr_rate_cleaned!$F$2:$F$10,"&gt;="&amp;C1593)</f>
        <v>1</v>
      </c>
      <c r="G1593">
        <v>0</v>
      </c>
      <c r="H1593">
        <v>0</v>
      </c>
      <c r="I1593" t="s">
        <v>15</v>
      </c>
      <c r="J1593" t="s">
        <v>15</v>
      </c>
      <c r="K1593">
        <v>0</v>
      </c>
      <c r="L1593">
        <v>0</v>
      </c>
    </row>
    <row r="1594" spans="1:12" x14ac:dyDescent="0.3">
      <c r="A1594" t="s">
        <v>1610</v>
      </c>
      <c r="B1594" t="s">
        <v>21</v>
      </c>
      <c r="C1594">
        <v>1598</v>
      </c>
      <c r="D1594">
        <v>0</v>
      </c>
      <c r="E1594">
        <v>0</v>
      </c>
      <c r="F1594">
        <f>COUNTIFS(mdr_rate_cleaned!$A$2:$A$10,B1594,mdr_rate_cleaned!$B$2:$B$10,"&lt;"&amp;C1594,mdr_rate_cleaned!$F$2:$F$10,"&gt;="&amp;C1594)</f>
        <v>1</v>
      </c>
      <c r="G1594">
        <v>0</v>
      </c>
      <c r="H1594">
        <v>0</v>
      </c>
      <c r="I1594" t="s">
        <v>15</v>
      </c>
      <c r="J1594" t="s">
        <v>15</v>
      </c>
      <c r="K1594">
        <v>0</v>
      </c>
      <c r="L1594">
        <v>0</v>
      </c>
    </row>
    <row r="1595" spans="1:12" x14ac:dyDescent="0.3">
      <c r="A1595" t="s">
        <v>1611</v>
      </c>
      <c r="B1595" t="s">
        <v>13</v>
      </c>
      <c r="C1595">
        <v>3298</v>
      </c>
      <c r="D1595">
        <v>56.07</v>
      </c>
      <c r="E1595">
        <v>10.09</v>
      </c>
      <c r="F1595">
        <f>COUNTIFS(mdr_rate_cleaned!$A$2:$A$10,B1595,mdr_rate_cleaned!$B$2:$B$10,"&lt;"&amp;C1595,mdr_rate_cleaned!$F$2:$F$10,"&gt;="&amp;C1595)</f>
        <v>1</v>
      </c>
      <c r="G1595">
        <v>1.7000000000000001E-2</v>
      </c>
      <c r="H1595">
        <v>56.07</v>
      </c>
      <c r="I1595" t="s">
        <v>15</v>
      </c>
      <c r="J1595" t="s">
        <v>15</v>
      </c>
      <c r="K1595">
        <v>10.09</v>
      </c>
      <c r="L1595">
        <v>0</v>
      </c>
    </row>
    <row r="1596" spans="1:12" x14ac:dyDescent="0.3">
      <c r="A1596" t="s">
        <v>1612</v>
      </c>
      <c r="B1596" t="s">
        <v>13</v>
      </c>
      <c r="C1596">
        <v>7498</v>
      </c>
      <c r="D1596">
        <v>127.47</v>
      </c>
      <c r="E1596">
        <v>22.94</v>
      </c>
      <c r="F1596">
        <f>COUNTIFS(mdr_rate_cleaned!$A$2:$A$10,B1596,mdr_rate_cleaned!$B$2:$B$10,"&lt;"&amp;C1596,mdr_rate_cleaned!$F$2:$F$10,"&gt;="&amp;C1596)</f>
        <v>1</v>
      </c>
      <c r="G1596">
        <v>1.7000000000000001E-2</v>
      </c>
      <c r="H1596">
        <v>127.47</v>
      </c>
      <c r="I1596" t="s">
        <v>15</v>
      </c>
      <c r="J1596" t="s">
        <v>15</v>
      </c>
      <c r="K1596">
        <v>22.94</v>
      </c>
      <c r="L1596">
        <v>0</v>
      </c>
    </row>
    <row r="1597" spans="1:12" x14ac:dyDescent="0.3">
      <c r="A1597" t="s">
        <v>1613</v>
      </c>
      <c r="B1597" t="s">
        <v>21</v>
      </c>
      <c r="C1597">
        <v>3499</v>
      </c>
      <c r="D1597">
        <v>10.5</v>
      </c>
      <c r="E1597">
        <v>1.89</v>
      </c>
      <c r="F1597">
        <f>COUNTIFS(mdr_rate_cleaned!$A$2:$A$10,B1597,mdr_rate_cleaned!$B$2:$B$10,"&lt;"&amp;C1597,mdr_rate_cleaned!$F$2:$F$10,"&gt;="&amp;C1597)</f>
        <v>1</v>
      </c>
      <c r="G1597">
        <v>3.0000000000000001E-3</v>
      </c>
      <c r="H1597">
        <v>10.5</v>
      </c>
      <c r="I1597" t="s">
        <v>15</v>
      </c>
      <c r="J1597" t="s">
        <v>15</v>
      </c>
      <c r="K1597">
        <v>1.89</v>
      </c>
      <c r="L1597">
        <v>0</v>
      </c>
    </row>
    <row r="1598" spans="1:12" x14ac:dyDescent="0.3">
      <c r="A1598" t="s">
        <v>1614</v>
      </c>
      <c r="B1598" t="s">
        <v>17</v>
      </c>
      <c r="C1598">
        <v>8298</v>
      </c>
      <c r="D1598">
        <v>132.77000000000001</v>
      </c>
      <c r="E1598">
        <v>23.9</v>
      </c>
      <c r="F1598">
        <f>COUNTIFS(mdr_rate_cleaned!$A$2:$A$10,B1598,mdr_rate_cleaned!$B$2:$B$10,"&lt;"&amp;C1598,mdr_rate_cleaned!$F$2:$F$10,"&gt;="&amp;C1598)</f>
        <v>1</v>
      </c>
      <c r="G1598">
        <v>1.6E-2</v>
      </c>
      <c r="H1598">
        <v>132.77000000000001</v>
      </c>
      <c r="I1598" t="s">
        <v>15</v>
      </c>
      <c r="J1598" t="s">
        <v>15</v>
      </c>
      <c r="K1598">
        <v>23.9</v>
      </c>
      <c r="L1598">
        <v>0</v>
      </c>
    </row>
    <row r="1599" spans="1:12" x14ac:dyDescent="0.3">
      <c r="A1599" t="s">
        <v>1615</v>
      </c>
      <c r="B1599" t="s">
        <v>21</v>
      </c>
      <c r="C1599">
        <v>9797</v>
      </c>
      <c r="D1599">
        <v>29.39</v>
      </c>
      <c r="E1599">
        <v>5.29</v>
      </c>
      <c r="F1599">
        <f>COUNTIFS(mdr_rate_cleaned!$A$2:$A$10,B1599,mdr_rate_cleaned!$B$2:$B$10,"&lt;"&amp;C1599,mdr_rate_cleaned!$F$2:$F$10,"&gt;="&amp;C1599)</f>
        <v>1</v>
      </c>
      <c r="G1599">
        <v>3.0000000000000001E-3</v>
      </c>
      <c r="H1599">
        <v>29.39</v>
      </c>
      <c r="I1599" t="s">
        <v>15</v>
      </c>
      <c r="J1599" t="s">
        <v>15</v>
      </c>
      <c r="K1599">
        <v>5.29</v>
      </c>
      <c r="L1599">
        <v>0</v>
      </c>
    </row>
    <row r="1600" spans="1:12" x14ac:dyDescent="0.3">
      <c r="A1600" t="s">
        <v>1616</v>
      </c>
      <c r="B1600" t="s">
        <v>21</v>
      </c>
      <c r="C1600">
        <v>898</v>
      </c>
      <c r="D1600">
        <v>0</v>
      </c>
      <c r="E1600">
        <v>0</v>
      </c>
      <c r="F1600">
        <f>COUNTIFS(mdr_rate_cleaned!$A$2:$A$10,B1600,mdr_rate_cleaned!$B$2:$B$10,"&lt;"&amp;C1600,mdr_rate_cleaned!$F$2:$F$10,"&gt;="&amp;C1600)</f>
        <v>1</v>
      </c>
      <c r="G1600">
        <v>0</v>
      </c>
      <c r="H1600">
        <v>0</v>
      </c>
      <c r="I1600" t="s">
        <v>15</v>
      </c>
      <c r="J1600" t="s">
        <v>15</v>
      </c>
      <c r="K1600">
        <v>0</v>
      </c>
      <c r="L1600">
        <v>0</v>
      </c>
    </row>
    <row r="1601" spans="1:12" x14ac:dyDescent="0.3">
      <c r="A1601" t="s">
        <v>1617</v>
      </c>
      <c r="B1601" t="s">
        <v>21</v>
      </c>
      <c r="C1601">
        <v>1499</v>
      </c>
      <c r="D1601">
        <v>0</v>
      </c>
      <c r="E1601">
        <v>0</v>
      </c>
      <c r="F1601">
        <f>COUNTIFS(mdr_rate_cleaned!$A$2:$A$10,B1601,mdr_rate_cleaned!$B$2:$B$10,"&lt;"&amp;C1601,mdr_rate_cleaned!$F$2:$F$10,"&gt;="&amp;C1601)</f>
        <v>1</v>
      </c>
      <c r="G1601">
        <v>0</v>
      </c>
      <c r="H1601">
        <v>0</v>
      </c>
      <c r="I1601" t="s">
        <v>15</v>
      </c>
      <c r="J1601" t="s">
        <v>15</v>
      </c>
      <c r="K1601">
        <v>0</v>
      </c>
      <c r="L1601">
        <v>0</v>
      </c>
    </row>
    <row r="1602" spans="1:12" x14ac:dyDescent="0.3">
      <c r="A1602" t="s">
        <v>1618</v>
      </c>
      <c r="B1602" t="s">
        <v>39</v>
      </c>
      <c r="C1602">
        <v>10498</v>
      </c>
      <c r="D1602">
        <v>94.48</v>
      </c>
      <c r="E1602">
        <v>17.010000000000002</v>
      </c>
      <c r="F1602">
        <f>COUNTIFS(mdr_rate_cleaned!$A$2:$A$10,B1602,mdr_rate_cleaned!$B$2:$B$10,"&lt;"&amp;C1602,mdr_rate_cleaned!$F$2:$F$10,"&gt;="&amp;C1602)</f>
        <v>1</v>
      </c>
      <c r="G1602">
        <v>8.9999999999999993E-3</v>
      </c>
      <c r="H1602">
        <v>94.48</v>
      </c>
      <c r="I1602" t="s">
        <v>15</v>
      </c>
      <c r="J1602" t="s">
        <v>15</v>
      </c>
      <c r="K1602">
        <v>17.010000000000002</v>
      </c>
      <c r="L1602">
        <v>0</v>
      </c>
    </row>
    <row r="1603" spans="1:12" x14ac:dyDescent="0.3">
      <c r="A1603" t="s">
        <v>1619</v>
      </c>
      <c r="B1603" t="s">
        <v>21</v>
      </c>
      <c r="C1603">
        <v>6298</v>
      </c>
      <c r="D1603">
        <v>18.89</v>
      </c>
      <c r="E1603">
        <v>3.4</v>
      </c>
      <c r="F1603">
        <f>COUNTIFS(mdr_rate_cleaned!$A$2:$A$10,B1603,mdr_rate_cleaned!$B$2:$B$10,"&lt;"&amp;C1603,mdr_rate_cleaned!$F$2:$F$10,"&gt;="&amp;C1603)</f>
        <v>1</v>
      </c>
      <c r="G1603">
        <v>3.0000000000000001E-3</v>
      </c>
      <c r="H1603">
        <v>18.89</v>
      </c>
      <c r="I1603" t="s">
        <v>15</v>
      </c>
      <c r="J1603" t="s">
        <v>15</v>
      </c>
      <c r="K1603">
        <v>3.4</v>
      </c>
      <c r="L1603">
        <v>0</v>
      </c>
    </row>
    <row r="1604" spans="1:12" x14ac:dyDescent="0.3">
      <c r="A1604" t="s">
        <v>1620</v>
      </c>
      <c r="B1604" t="s">
        <v>21</v>
      </c>
      <c r="C1604">
        <v>1499</v>
      </c>
      <c r="D1604">
        <v>0</v>
      </c>
      <c r="E1604">
        <v>0</v>
      </c>
      <c r="F1604">
        <f>COUNTIFS(mdr_rate_cleaned!$A$2:$A$10,B1604,mdr_rate_cleaned!$B$2:$B$10,"&lt;"&amp;C1604,mdr_rate_cleaned!$F$2:$F$10,"&gt;="&amp;C1604)</f>
        <v>1</v>
      </c>
      <c r="G1604">
        <v>0</v>
      </c>
      <c r="H1604">
        <v>0</v>
      </c>
      <c r="I1604" t="s">
        <v>15</v>
      </c>
      <c r="J1604" t="s">
        <v>15</v>
      </c>
      <c r="K1604">
        <v>0</v>
      </c>
      <c r="L1604">
        <v>0</v>
      </c>
    </row>
    <row r="1605" spans="1:12" x14ac:dyDescent="0.3">
      <c r="A1605" t="s">
        <v>1621</v>
      </c>
      <c r="B1605" t="s">
        <v>21</v>
      </c>
      <c r="C1605">
        <v>1499</v>
      </c>
      <c r="D1605">
        <v>0</v>
      </c>
      <c r="E1605">
        <v>0</v>
      </c>
      <c r="F1605">
        <f>COUNTIFS(mdr_rate_cleaned!$A$2:$A$10,B1605,mdr_rate_cleaned!$B$2:$B$10,"&lt;"&amp;C1605,mdr_rate_cleaned!$F$2:$F$10,"&gt;="&amp;C1605)</f>
        <v>1</v>
      </c>
      <c r="G1605">
        <v>0</v>
      </c>
      <c r="H1605">
        <v>0</v>
      </c>
      <c r="I1605" t="s">
        <v>15</v>
      </c>
      <c r="J1605" t="s">
        <v>15</v>
      </c>
      <c r="K1605">
        <v>0</v>
      </c>
      <c r="L1605">
        <v>0</v>
      </c>
    </row>
    <row r="1606" spans="1:12" x14ac:dyDescent="0.3">
      <c r="A1606" t="s">
        <v>1622</v>
      </c>
      <c r="B1606" t="s">
        <v>21</v>
      </c>
      <c r="C1606">
        <v>1848</v>
      </c>
      <c r="D1606">
        <v>0</v>
      </c>
      <c r="E1606">
        <v>0</v>
      </c>
      <c r="F1606">
        <f>COUNTIFS(mdr_rate_cleaned!$A$2:$A$10,B1606,mdr_rate_cleaned!$B$2:$B$10,"&lt;"&amp;C1606,mdr_rate_cleaned!$F$2:$F$10,"&gt;="&amp;C1606)</f>
        <v>1</v>
      </c>
      <c r="G1606">
        <v>0</v>
      </c>
      <c r="H1606">
        <v>0</v>
      </c>
      <c r="I1606" t="s">
        <v>15</v>
      </c>
      <c r="J1606" t="s">
        <v>15</v>
      </c>
      <c r="K1606">
        <v>0</v>
      </c>
      <c r="L1606">
        <v>0</v>
      </c>
    </row>
    <row r="1607" spans="1:12" x14ac:dyDescent="0.3">
      <c r="A1607" t="s">
        <v>1623</v>
      </c>
      <c r="B1607" t="s">
        <v>13</v>
      </c>
      <c r="C1607">
        <v>599</v>
      </c>
      <c r="D1607">
        <v>11.38</v>
      </c>
      <c r="E1607">
        <v>2.0499999999999998</v>
      </c>
      <c r="F1607">
        <f>COUNTIFS(mdr_rate_cleaned!$A$2:$A$10,B1607,mdr_rate_cleaned!$B$2:$B$10,"&lt;"&amp;C1607,mdr_rate_cleaned!$F$2:$F$10,"&gt;="&amp;C1607)</f>
        <v>1</v>
      </c>
      <c r="G1607">
        <v>1.9E-2</v>
      </c>
      <c r="H1607">
        <v>11.38</v>
      </c>
      <c r="I1607" t="s">
        <v>15</v>
      </c>
      <c r="J1607" t="s">
        <v>15</v>
      </c>
      <c r="K1607">
        <v>2.0499999999999998</v>
      </c>
      <c r="L1607">
        <v>0</v>
      </c>
    </row>
    <row r="1608" spans="1:12" x14ac:dyDescent="0.3">
      <c r="A1608" t="s">
        <v>1624</v>
      </c>
      <c r="B1608" t="s">
        <v>17</v>
      </c>
      <c r="C1608">
        <v>4297</v>
      </c>
      <c r="D1608">
        <v>68.75</v>
      </c>
      <c r="E1608">
        <v>12.38</v>
      </c>
      <c r="F1608">
        <f>COUNTIFS(mdr_rate_cleaned!$A$2:$A$10,B1608,mdr_rate_cleaned!$B$2:$B$10,"&lt;"&amp;C1608,mdr_rate_cleaned!$F$2:$F$10,"&gt;="&amp;C1608)</f>
        <v>1</v>
      </c>
      <c r="G1608">
        <v>1.6E-2</v>
      </c>
      <c r="H1608">
        <v>68.75</v>
      </c>
      <c r="I1608" t="s">
        <v>15</v>
      </c>
      <c r="J1608" t="s">
        <v>15</v>
      </c>
      <c r="K1608">
        <v>12.38</v>
      </c>
      <c r="L1608">
        <v>0</v>
      </c>
    </row>
    <row r="1609" spans="1:12" x14ac:dyDescent="0.3">
      <c r="A1609" t="s">
        <v>1625</v>
      </c>
      <c r="B1609" t="s">
        <v>17</v>
      </c>
      <c r="C1609">
        <v>4999</v>
      </c>
      <c r="D1609">
        <v>79.98</v>
      </c>
      <c r="E1609">
        <v>14.4</v>
      </c>
      <c r="F1609">
        <f>COUNTIFS(mdr_rate_cleaned!$A$2:$A$10,B1609,mdr_rate_cleaned!$B$2:$B$10,"&lt;"&amp;C1609,mdr_rate_cleaned!$F$2:$F$10,"&gt;="&amp;C1609)</f>
        <v>1</v>
      </c>
      <c r="G1609">
        <v>1.6E-2</v>
      </c>
      <c r="H1609">
        <v>79.98</v>
      </c>
      <c r="I1609" t="s">
        <v>15</v>
      </c>
      <c r="J1609" t="s">
        <v>15</v>
      </c>
      <c r="K1609">
        <v>14.4</v>
      </c>
      <c r="L1609">
        <v>0</v>
      </c>
    </row>
    <row r="1610" spans="1:12" x14ac:dyDescent="0.3">
      <c r="A1610" t="s">
        <v>1626</v>
      </c>
      <c r="B1610" t="s">
        <v>21</v>
      </c>
      <c r="C1610">
        <v>4798</v>
      </c>
      <c r="D1610">
        <v>14.39</v>
      </c>
      <c r="E1610">
        <v>2.59</v>
      </c>
      <c r="F1610">
        <f>COUNTIFS(mdr_rate_cleaned!$A$2:$A$10,B1610,mdr_rate_cleaned!$B$2:$B$10,"&lt;"&amp;C1610,mdr_rate_cleaned!$F$2:$F$10,"&gt;="&amp;C1610)</f>
        <v>1</v>
      </c>
      <c r="G1610">
        <v>3.0000000000000001E-3</v>
      </c>
      <c r="H1610">
        <v>14.39</v>
      </c>
      <c r="I1610" t="s">
        <v>15</v>
      </c>
      <c r="J1610" t="s">
        <v>15</v>
      </c>
      <c r="K1610">
        <v>2.59</v>
      </c>
      <c r="L1610">
        <v>0</v>
      </c>
    </row>
    <row r="1611" spans="1:12" x14ac:dyDescent="0.3">
      <c r="A1611" t="s">
        <v>1627</v>
      </c>
      <c r="B1611" t="s">
        <v>39</v>
      </c>
      <c r="C1611">
        <v>599</v>
      </c>
      <c r="D1611">
        <v>8.99</v>
      </c>
      <c r="E1611">
        <v>1.62</v>
      </c>
      <c r="F1611">
        <f>COUNTIFS(mdr_rate_cleaned!$A$2:$A$10,B1611,mdr_rate_cleaned!$B$2:$B$10,"&lt;"&amp;C1611,mdr_rate_cleaned!$F$2:$F$10,"&gt;="&amp;C1611)</f>
        <v>1</v>
      </c>
      <c r="G1611">
        <v>1.4999999999999999E-2</v>
      </c>
      <c r="H1611">
        <v>8.99</v>
      </c>
      <c r="I1611" t="s">
        <v>15</v>
      </c>
      <c r="J1611" t="s">
        <v>15</v>
      </c>
      <c r="K1611">
        <v>1.62</v>
      </c>
      <c r="L1611">
        <v>0</v>
      </c>
    </row>
    <row r="1612" spans="1:12" x14ac:dyDescent="0.3">
      <c r="A1612" t="s">
        <v>1628</v>
      </c>
      <c r="B1612" t="s">
        <v>21</v>
      </c>
      <c r="C1612">
        <v>3499</v>
      </c>
      <c r="D1612">
        <v>10.5</v>
      </c>
      <c r="E1612">
        <v>1.89</v>
      </c>
      <c r="F1612">
        <f>COUNTIFS(mdr_rate_cleaned!$A$2:$A$10,B1612,mdr_rate_cleaned!$B$2:$B$10,"&lt;"&amp;C1612,mdr_rate_cleaned!$F$2:$F$10,"&gt;="&amp;C1612)</f>
        <v>1</v>
      </c>
      <c r="G1612">
        <v>3.0000000000000001E-3</v>
      </c>
      <c r="H1612">
        <v>10.5</v>
      </c>
      <c r="I1612" t="s">
        <v>15</v>
      </c>
      <c r="J1612" t="s">
        <v>15</v>
      </c>
      <c r="K1612">
        <v>1.89</v>
      </c>
      <c r="L1612">
        <v>0</v>
      </c>
    </row>
    <row r="1613" spans="1:12" x14ac:dyDescent="0.3">
      <c r="A1613" t="s">
        <v>1629</v>
      </c>
      <c r="B1613" t="s">
        <v>17</v>
      </c>
      <c r="C1613">
        <v>799</v>
      </c>
      <c r="D1613">
        <v>14.38</v>
      </c>
      <c r="E1613">
        <v>2.59</v>
      </c>
      <c r="F1613">
        <f>COUNTIFS(mdr_rate_cleaned!$A$2:$A$10,B1613,mdr_rate_cleaned!$B$2:$B$10,"&lt;"&amp;C1613,mdr_rate_cleaned!$F$2:$F$10,"&gt;="&amp;C1613)</f>
        <v>1</v>
      </c>
      <c r="G1613">
        <v>1.7999999999999999E-2</v>
      </c>
      <c r="H1613">
        <v>14.38</v>
      </c>
      <c r="I1613" t="s">
        <v>15</v>
      </c>
      <c r="J1613" t="s">
        <v>15</v>
      </c>
      <c r="K1613">
        <v>2.59</v>
      </c>
      <c r="L1613">
        <v>0</v>
      </c>
    </row>
    <row r="1614" spans="1:12" x14ac:dyDescent="0.3">
      <c r="A1614" t="s">
        <v>1630</v>
      </c>
      <c r="B1614" t="s">
        <v>17</v>
      </c>
      <c r="C1614">
        <v>499</v>
      </c>
      <c r="D1614">
        <v>8.98</v>
      </c>
      <c r="E1614">
        <v>1.62</v>
      </c>
      <c r="F1614">
        <f>COUNTIFS(mdr_rate_cleaned!$A$2:$A$10,B1614,mdr_rate_cleaned!$B$2:$B$10,"&lt;"&amp;C1614,mdr_rate_cleaned!$F$2:$F$10,"&gt;="&amp;C1614)</f>
        <v>1</v>
      </c>
      <c r="G1614">
        <v>1.7999999999999999E-2</v>
      </c>
      <c r="H1614">
        <v>8.98</v>
      </c>
      <c r="I1614" t="s">
        <v>15</v>
      </c>
      <c r="J1614" t="s">
        <v>15</v>
      </c>
      <c r="K1614">
        <v>1.62</v>
      </c>
      <c r="L1614">
        <v>0</v>
      </c>
    </row>
    <row r="1615" spans="1:12" x14ac:dyDescent="0.3">
      <c r="A1615" t="s">
        <v>1631</v>
      </c>
      <c r="B1615" t="s">
        <v>13</v>
      </c>
      <c r="C1615">
        <v>599</v>
      </c>
      <c r="D1615">
        <v>11.38</v>
      </c>
      <c r="E1615">
        <v>2.0499999999999998</v>
      </c>
      <c r="F1615">
        <f>COUNTIFS(mdr_rate_cleaned!$A$2:$A$10,B1615,mdr_rate_cleaned!$B$2:$B$10,"&lt;"&amp;C1615,mdr_rate_cleaned!$F$2:$F$10,"&gt;="&amp;C1615)</f>
        <v>1</v>
      </c>
      <c r="G1615">
        <v>1.9E-2</v>
      </c>
      <c r="H1615">
        <v>11.38</v>
      </c>
      <c r="I1615" t="s">
        <v>15</v>
      </c>
      <c r="J1615" t="s">
        <v>15</v>
      </c>
      <c r="K1615">
        <v>2.0499999999999998</v>
      </c>
      <c r="L1615">
        <v>0</v>
      </c>
    </row>
    <row r="1616" spans="1:12" x14ac:dyDescent="0.3">
      <c r="A1616" t="s">
        <v>1632</v>
      </c>
      <c r="B1616" t="s">
        <v>39</v>
      </c>
      <c r="C1616">
        <v>599</v>
      </c>
      <c r="D1616">
        <v>8.99</v>
      </c>
      <c r="E1616">
        <v>1.62</v>
      </c>
      <c r="F1616">
        <f>COUNTIFS(mdr_rate_cleaned!$A$2:$A$10,B1616,mdr_rate_cleaned!$B$2:$B$10,"&lt;"&amp;C1616,mdr_rate_cleaned!$F$2:$F$10,"&gt;="&amp;C1616)</f>
        <v>1</v>
      </c>
      <c r="G1616">
        <v>1.4999999999999999E-2</v>
      </c>
      <c r="H1616">
        <v>8.99</v>
      </c>
      <c r="I1616" t="s">
        <v>15</v>
      </c>
      <c r="J1616" t="s">
        <v>15</v>
      </c>
      <c r="K1616">
        <v>1.62</v>
      </c>
      <c r="L1616">
        <v>0</v>
      </c>
    </row>
    <row r="1617" spans="1:12" x14ac:dyDescent="0.3">
      <c r="A1617" t="s">
        <v>1633</v>
      </c>
      <c r="B1617" t="s">
        <v>17</v>
      </c>
      <c r="C1617">
        <v>2497</v>
      </c>
      <c r="D1617">
        <v>39.950000000000003</v>
      </c>
      <c r="E1617">
        <v>7.19</v>
      </c>
      <c r="F1617">
        <f>COUNTIFS(mdr_rate_cleaned!$A$2:$A$10,B1617,mdr_rate_cleaned!$B$2:$B$10,"&lt;"&amp;C1617,mdr_rate_cleaned!$F$2:$F$10,"&gt;="&amp;C1617)</f>
        <v>1</v>
      </c>
      <c r="G1617">
        <v>1.6E-2</v>
      </c>
      <c r="H1617">
        <v>39.950000000000003</v>
      </c>
      <c r="I1617" t="s">
        <v>15</v>
      </c>
      <c r="J1617" t="s">
        <v>15</v>
      </c>
      <c r="K1617">
        <v>7.19</v>
      </c>
      <c r="L1617">
        <v>0</v>
      </c>
    </row>
    <row r="1618" spans="1:12" x14ac:dyDescent="0.3">
      <c r="A1618" t="s">
        <v>1634</v>
      </c>
      <c r="B1618" t="s">
        <v>21</v>
      </c>
      <c r="C1618">
        <v>798</v>
      </c>
      <c r="D1618">
        <v>0</v>
      </c>
      <c r="E1618">
        <v>0</v>
      </c>
      <c r="F1618">
        <f>COUNTIFS(mdr_rate_cleaned!$A$2:$A$10,B1618,mdr_rate_cleaned!$B$2:$B$10,"&lt;"&amp;C1618,mdr_rate_cleaned!$F$2:$F$10,"&gt;="&amp;C1618)</f>
        <v>1</v>
      </c>
      <c r="G1618">
        <v>0</v>
      </c>
      <c r="H1618">
        <v>0</v>
      </c>
      <c r="I1618" t="s">
        <v>15</v>
      </c>
      <c r="J1618" t="s">
        <v>15</v>
      </c>
      <c r="K1618">
        <v>0</v>
      </c>
      <c r="L1618">
        <v>0</v>
      </c>
    </row>
    <row r="1619" spans="1:12" x14ac:dyDescent="0.3">
      <c r="A1619" t="s">
        <v>1635</v>
      </c>
      <c r="B1619" t="s">
        <v>21</v>
      </c>
      <c r="C1619">
        <v>5797</v>
      </c>
      <c r="D1619">
        <v>17.39</v>
      </c>
      <c r="E1619">
        <v>3.13</v>
      </c>
      <c r="F1619">
        <f>COUNTIFS(mdr_rate_cleaned!$A$2:$A$10,B1619,mdr_rate_cleaned!$B$2:$B$10,"&lt;"&amp;C1619,mdr_rate_cleaned!$F$2:$F$10,"&gt;="&amp;C1619)</f>
        <v>1</v>
      </c>
      <c r="G1619">
        <v>3.0000000000000001E-3</v>
      </c>
      <c r="H1619">
        <v>17.39</v>
      </c>
      <c r="I1619" t="s">
        <v>15</v>
      </c>
      <c r="J1619" t="s">
        <v>15</v>
      </c>
      <c r="K1619">
        <v>3.13</v>
      </c>
      <c r="L1619">
        <v>0</v>
      </c>
    </row>
    <row r="1620" spans="1:12" x14ac:dyDescent="0.3">
      <c r="A1620" t="s">
        <v>1636</v>
      </c>
      <c r="B1620" t="s">
        <v>21</v>
      </c>
      <c r="C1620">
        <v>6997</v>
      </c>
      <c r="D1620">
        <v>20.99</v>
      </c>
      <c r="E1620">
        <v>3.78</v>
      </c>
      <c r="F1620">
        <f>COUNTIFS(mdr_rate_cleaned!$A$2:$A$10,B1620,mdr_rate_cleaned!$B$2:$B$10,"&lt;"&amp;C1620,mdr_rate_cleaned!$F$2:$F$10,"&gt;="&amp;C1620)</f>
        <v>1</v>
      </c>
      <c r="G1620">
        <v>3.0000000000000001E-3</v>
      </c>
      <c r="H1620">
        <v>20.99</v>
      </c>
      <c r="I1620" t="s">
        <v>15</v>
      </c>
      <c r="J1620" t="s">
        <v>15</v>
      </c>
      <c r="K1620">
        <v>3.78</v>
      </c>
      <c r="L1620">
        <v>0</v>
      </c>
    </row>
    <row r="1621" spans="1:12" x14ac:dyDescent="0.3">
      <c r="A1621" t="s">
        <v>1637</v>
      </c>
      <c r="B1621" t="s">
        <v>13</v>
      </c>
      <c r="C1621">
        <v>3298</v>
      </c>
      <c r="D1621">
        <v>56.07</v>
      </c>
      <c r="E1621">
        <v>10.09</v>
      </c>
      <c r="F1621">
        <f>COUNTIFS(mdr_rate_cleaned!$A$2:$A$10,B1621,mdr_rate_cleaned!$B$2:$B$10,"&lt;"&amp;C1621,mdr_rate_cleaned!$F$2:$F$10,"&gt;="&amp;C1621)</f>
        <v>1</v>
      </c>
      <c r="G1621">
        <v>1.7000000000000001E-2</v>
      </c>
      <c r="H1621">
        <v>56.07</v>
      </c>
      <c r="I1621" t="s">
        <v>15</v>
      </c>
      <c r="J1621" t="s">
        <v>15</v>
      </c>
      <c r="K1621">
        <v>10.09</v>
      </c>
      <c r="L1621">
        <v>0</v>
      </c>
    </row>
    <row r="1622" spans="1:12" x14ac:dyDescent="0.3">
      <c r="A1622" t="s">
        <v>1638</v>
      </c>
      <c r="B1622" t="s">
        <v>21</v>
      </c>
      <c r="C1622">
        <v>599</v>
      </c>
      <c r="D1622">
        <v>0</v>
      </c>
      <c r="E1622">
        <v>0</v>
      </c>
      <c r="F1622">
        <f>COUNTIFS(mdr_rate_cleaned!$A$2:$A$10,B1622,mdr_rate_cleaned!$B$2:$B$10,"&lt;"&amp;C1622,mdr_rate_cleaned!$F$2:$F$10,"&gt;="&amp;C1622)</f>
        <v>1</v>
      </c>
      <c r="G1622">
        <v>0</v>
      </c>
      <c r="H1622">
        <v>0</v>
      </c>
      <c r="I1622" t="s">
        <v>15</v>
      </c>
      <c r="J1622" t="s">
        <v>15</v>
      </c>
      <c r="K1622">
        <v>0</v>
      </c>
      <c r="L1622">
        <v>0</v>
      </c>
    </row>
    <row r="1623" spans="1:12" x14ac:dyDescent="0.3">
      <c r="A1623" t="s">
        <v>1639</v>
      </c>
      <c r="B1623" t="s">
        <v>13</v>
      </c>
      <c r="C1623">
        <v>2197</v>
      </c>
      <c r="D1623">
        <v>37.35</v>
      </c>
      <c r="E1623">
        <v>6.72</v>
      </c>
      <c r="F1623">
        <f>COUNTIFS(mdr_rate_cleaned!$A$2:$A$10,B1623,mdr_rate_cleaned!$B$2:$B$10,"&lt;"&amp;C1623,mdr_rate_cleaned!$F$2:$F$10,"&gt;="&amp;C1623)</f>
        <v>1</v>
      </c>
      <c r="G1623">
        <v>1.7000000000000001E-2</v>
      </c>
      <c r="H1623">
        <v>37.35</v>
      </c>
      <c r="I1623" t="s">
        <v>15</v>
      </c>
      <c r="J1623" t="s">
        <v>15</v>
      </c>
      <c r="K1623">
        <v>6.72</v>
      </c>
      <c r="L1623">
        <v>0</v>
      </c>
    </row>
    <row r="1624" spans="1:12" x14ac:dyDescent="0.3">
      <c r="A1624" t="s">
        <v>1640</v>
      </c>
      <c r="B1624" t="s">
        <v>21</v>
      </c>
      <c r="C1624">
        <v>3499</v>
      </c>
      <c r="D1624">
        <v>10.5</v>
      </c>
      <c r="E1624">
        <v>1.89</v>
      </c>
      <c r="F1624">
        <f>COUNTIFS(mdr_rate_cleaned!$A$2:$A$10,B1624,mdr_rate_cleaned!$B$2:$B$10,"&lt;"&amp;C1624,mdr_rate_cleaned!$F$2:$F$10,"&gt;="&amp;C1624)</f>
        <v>1</v>
      </c>
      <c r="G1624">
        <v>3.0000000000000001E-3</v>
      </c>
      <c r="H1624">
        <v>10.5</v>
      </c>
      <c r="I1624" t="s">
        <v>15</v>
      </c>
      <c r="J1624" t="s">
        <v>15</v>
      </c>
      <c r="K1624">
        <v>1.89</v>
      </c>
      <c r="L1624">
        <v>0</v>
      </c>
    </row>
    <row r="1625" spans="1:12" x14ac:dyDescent="0.3">
      <c r="A1625" t="s">
        <v>1641</v>
      </c>
      <c r="B1625" t="s">
        <v>21</v>
      </c>
      <c r="C1625">
        <v>2098</v>
      </c>
      <c r="D1625">
        <v>6.29</v>
      </c>
      <c r="E1625">
        <v>1.1299999999999999</v>
      </c>
      <c r="F1625">
        <f>COUNTIFS(mdr_rate_cleaned!$A$2:$A$10,B1625,mdr_rate_cleaned!$B$2:$B$10,"&lt;"&amp;C1625,mdr_rate_cleaned!$F$2:$F$10,"&gt;="&amp;C1625)</f>
        <v>1</v>
      </c>
      <c r="G1625">
        <v>3.0000000000000001E-3</v>
      </c>
      <c r="H1625">
        <v>6.29</v>
      </c>
      <c r="I1625" t="s">
        <v>15</v>
      </c>
      <c r="J1625" t="s">
        <v>15</v>
      </c>
      <c r="K1625">
        <v>1.1299999999999999</v>
      </c>
      <c r="L1625">
        <v>0</v>
      </c>
    </row>
    <row r="1626" spans="1:12" x14ac:dyDescent="0.3">
      <c r="A1626" t="s">
        <v>1642</v>
      </c>
      <c r="B1626" t="s">
        <v>17</v>
      </c>
      <c r="C1626">
        <v>999</v>
      </c>
      <c r="D1626">
        <v>17.98</v>
      </c>
      <c r="E1626">
        <v>3.24</v>
      </c>
      <c r="F1626">
        <f>COUNTIFS(mdr_rate_cleaned!$A$2:$A$10,B1626,mdr_rate_cleaned!$B$2:$B$10,"&lt;"&amp;C1626,mdr_rate_cleaned!$F$2:$F$10,"&gt;="&amp;C1626)</f>
        <v>1</v>
      </c>
      <c r="G1626">
        <v>1.7999999999999999E-2</v>
      </c>
      <c r="H1626">
        <v>17.98</v>
      </c>
      <c r="I1626" t="s">
        <v>15</v>
      </c>
      <c r="J1626" t="s">
        <v>15</v>
      </c>
      <c r="K1626">
        <v>3.24</v>
      </c>
      <c r="L1626">
        <v>0</v>
      </c>
    </row>
    <row r="1627" spans="1:12" x14ac:dyDescent="0.3">
      <c r="A1627" t="s">
        <v>1643</v>
      </c>
      <c r="B1627" t="s">
        <v>21</v>
      </c>
      <c r="C1627">
        <v>1499</v>
      </c>
      <c r="D1627">
        <v>0</v>
      </c>
      <c r="E1627">
        <v>0</v>
      </c>
      <c r="F1627">
        <f>COUNTIFS(mdr_rate_cleaned!$A$2:$A$10,B1627,mdr_rate_cleaned!$B$2:$B$10,"&lt;"&amp;C1627,mdr_rate_cleaned!$F$2:$F$10,"&gt;="&amp;C1627)</f>
        <v>1</v>
      </c>
      <c r="G1627">
        <v>0</v>
      </c>
      <c r="H1627">
        <v>0</v>
      </c>
      <c r="I1627" t="s">
        <v>15</v>
      </c>
      <c r="J1627" t="s">
        <v>15</v>
      </c>
      <c r="K1627">
        <v>0</v>
      </c>
      <c r="L1627">
        <v>0</v>
      </c>
    </row>
    <row r="1628" spans="1:12" x14ac:dyDescent="0.3">
      <c r="A1628" t="s">
        <v>1644</v>
      </c>
      <c r="B1628" t="s">
        <v>21</v>
      </c>
      <c r="C1628">
        <v>3499</v>
      </c>
      <c r="D1628">
        <v>10.5</v>
      </c>
      <c r="E1628">
        <v>1.89</v>
      </c>
      <c r="F1628">
        <f>COUNTIFS(mdr_rate_cleaned!$A$2:$A$10,B1628,mdr_rate_cleaned!$B$2:$B$10,"&lt;"&amp;C1628,mdr_rate_cleaned!$F$2:$F$10,"&gt;="&amp;C1628)</f>
        <v>1</v>
      </c>
      <c r="G1628">
        <v>3.0000000000000001E-3</v>
      </c>
      <c r="H1628">
        <v>10.5</v>
      </c>
      <c r="I1628" t="s">
        <v>15</v>
      </c>
      <c r="J1628" t="s">
        <v>15</v>
      </c>
      <c r="K1628">
        <v>1.89</v>
      </c>
      <c r="L1628">
        <v>0</v>
      </c>
    </row>
    <row r="1629" spans="1:12" x14ac:dyDescent="0.3">
      <c r="A1629" t="s">
        <v>1645</v>
      </c>
      <c r="B1629" t="s">
        <v>17</v>
      </c>
      <c r="C1629">
        <v>1299</v>
      </c>
      <c r="D1629">
        <v>23.38</v>
      </c>
      <c r="E1629">
        <v>4.21</v>
      </c>
      <c r="F1629">
        <f>COUNTIFS(mdr_rate_cleaned!$A$2:$A$10,B1629,mdr_rate_cleaned!$B$2:$B$10,"&lt;"&amp;C1629,mdr_rate_cleaned!$F$2:$F$10,"&gt;="&amp;C1629)</f>
        <v>1</v>
      </c>
      <c r="G1629">
        <v>1.7999999999999999E-2</v>
      </c>
      <c r="H1629">
        <v>23.38</v>
      </c>
      <c r="I1629" t="s">
        <v>15</v>
      </c>
      <c r="J1629" t="s">
        <v>15</v>
      </c>
      <c r="K1629">
        <v>4.21</v>
      </c>
      <c r="L1629">
        <v>0</v>
      </c>
    </row>
    <row r="1630" spans="1:12" x14ac:dyDescent="0.3">
      <c r="A1630" t="s">
        <v>1646</v>
      </c>
      <c r="B1630" t="s">
        <v>21</v>
      </c>
      <c r="C1630">
        <v>599</v>
      </c>
      <c r="D1630">
        <v>0</v>
      </c>
      <c r="E1630">
        <v>0</v>
      </c>
      <c r="F1630">
        <f>COUNTIFS(mdr_rate_cleaned!$A$2:$A$10,B1630,mdr_rate_cleaned!$B$2:$B$10,"&lt;"&amp;C1630,mdr_rate_cleaned!$F$2:$F$10,"&gt;="&amp;C1630)</f>
        <v>1</v>
      </c>
      <c r="G1630">
        <v>0</v>
      </c>
      <c r="H1630">
        <v>0</v>
      </c>
      <c r="I1630" t="s">
        <v>15</v>
      </c>
      <c r="J1630" t="s">
        <v>15</v>
      </c>
      <c r="K1630">
        <v>0</v>
      </c>
      <c r="L1630">
        <v>0</v>
      </c>
    </row>
    <row r="1631" spans="1:12" x14ac:dyDescent="0.3">
      <c r="A1631" t="s">
        <v>1647</v>
      </c>
      <c r="B1631" t="s">
        <v>21</v>
      </c>
      <c r="C1631">
        <v>3848</v>
      </c>
      <c r="D1631">
        <v>11.54</v>
      </c>
      <c r="E1631">
        <v>2.08</v>
      </c>
      <c r="F1631">
        <f>COUNTIFS(mdr_rate_cleaned!$A$2:$A$10,B1631,mdr_rate_cleaned!$B$2:$B$10,"&lt;"&amp;C1631,mdr_rate_cleaned!$F$2:$F$10,"&gt;="&amp;C1631)</f>
        <v>1</v>
      </c>
      <c r="G1631">
        <v>3.0000000000000001E-3</v>
      </c>
      <c r="H1631">
        <v>11.54</v>
      </c>
      <c r="I1631" t="s">
        <v>15</v>
      </c>
      <c r="J1631" t="s">
        <v>15</v>
      </c>
      <c r="K1631">
        <v>2.08</v>
      </c>
      <c r="L1631">
        <v>0</v>
      </c>
    </row>
    <row r="1632" spans="1:12" x14ac:dyDescent="0.3">
      <c r="A1632" t="s">
        <v>1648</v>
      </c>
      <c r="B1632" t="s">
        <v>21</v>
      </c>
      <c r="C1632">
        <v>1147</v>
      </c>
      <c r="D1632">
        <v>0</v>
      </c>
      <c r="E1632">
        <v>0</v>
      </c>
      <c r="F1632">
        <f>COUNTIFS(mdr_rate_cleaned!$A$2:$A$10,B1632,mdr_rate_cleaned!$B$2:$B$10,"&lt;"&amp;C1632,mdr_rate_cleaned!$F$2:$F$10,"&gt;="&amp;C1632)</f>
        <v>1</v>
      </c>
      <c r="G1632">
        <v>0</v>
      </c>
      <c r="H1632">
        <v>0</v>
      </c>
      <c r="I1632" t="s">
        <v>15</v>
      </c>
      <c r="J1632" t="s">
        <v>15</v>
      </c>
      <c r="K1632">
        <v>0</v>
      </c>
      <c r="L1632">
        <v>0</v>
      </c>
    </row>
    <row r="1633" spans="1:12" x14ac:dyDescent="0.3">
      <c r="A1633" t="s">
        <v>1649</v>
      </c>
      <c r="B1633" t="s">
        <v>21</v>
      </c>
      <c r="C1633">
        <v>2999</v>
      </c>
      <c r="D1633">
        <v>9</v>
      </c>
      <c r="E1633">
        <v>1.62</v>
      </c>
      <c r="F1633">
        <f>COUNTIFS(mdr_rate_cleaned!$A$2:$A$10,B1633,mdr_rate_cleaned!$B$2:$B$10,"&lt;"&amp;C1633,mdr_rate_cleaned!$F$2:$F$10,"&gt;="&amp;C1633)</f>
        <v>1</v>
      </c>
      <c r="G1633">
        <v>3.0000000000000001E-3</v>
      </c>
      <c r="H1633">
        <v>9</v>
      </c>
      <c r="I1633" t="s">
        <v>15</v>
      </c>
      <c r="J1633" t="s">
        <v>15</v>
      </c>
      <c r="K1633">
        <v>1.62</v>
      </c>
      <c r="L1633">
        <v>0</v>
      </c>
    </row>
    <row r="1634" spans="1:12" x14ac:dyDescent="0.3">
      <c r="A1634" t="s">
        <v>1650</v>
      </c>
      <c r="B1634" t="s">
        <v>17</v>
      </c>
      <c r="C1634">
        <v>349</v>
      </c>
      <c r="D1634">
        <v>6.28</v>
      </c>
      <c r="E1634">
        <v>1.1299999999999999</v>
      </c>
      <c r="F1634">
        <f>COUNTIFS(mdr_rate_cleaned!$A$2:$A$10,B1634,mdr_rate_cleaned!$B$2:$B$10,"&lt;"&amp;C1634,mdr_rate_cleaned!$F$2:$F$10,"&gt;="&amp;C1634)</f>
        <v>1</v>
      </c>
      <c r="G1634">
        <v>1.7999999999999999E-2</v>
      </c>
      <c r="H1634">
        <v>6.28</v>
      </c>
      <c r="I1634" t="s">
        <v>15</v>
      </c>
      <c r="J1634" t="s">
        <v>15</v>
      </c>
      <c r="K1634">
        <v>1.1299999999999999</v>
      </c>
      <c r="L1634">
        <v>0</v>
      </c>
    </row>
    <row r="1635" spans="1:12" x14ac:dyDescent="0.3">
      <c r="A1635" t="s">
        <v>1651</v>
      </c>
      <c r="B1635" t="s">
        <v>17</v>
      </c>
      <c r="C1635">
        <v>2999</v>
      </c>
      <c r="D1635">
        <v>47.98</v>
      </c>
      <c r="E1635">
        <v>8.64</v>
      </c>
      <c r="F1635">
        <f>COUNTIFS(mdr_rate_cleaned!$A$2:$A$10,B1635,mdr_rate_cleaned!$B$2:$B$10,"&lt;"&amp;C1635,mdr_rate_cleaned!$F$2:$F$10,"&gt;="&amp;C1635)</f>
        <v>1</v>
      </c>
      <c r="G1635">
        <v>1.6E-2</v>
      </c>
      <c r="H1635">
        <v>47.98</v>
      </c>
      <c r="I1635" t="s">
        <v>15</v>
      </c>
      <c r="J1635" t="s">
        <v>15</v>
      </c>
      <c r="K1635">
        <v>8.64</v>
      </c>
      <c r="L1635">
        <v>0</v>
      </c>
    </row>
    <row r="1636" spans="1:12" x14ac:dyDescent="0.3">
      <c r="A1636" t="s">
        <v>1652</v>
      </c>
      <c r="B1636" t="s">
        <v>21</v>
      </c>
      <c r="C1636">
        <v>10498</v>
      </c>
      <c r="D1636">
        <v>31.49</v>
      </c>
      <c r="E1636">
        <v>5.67</v>
      </c>
      <c r="F1636">
        <f>COUNTIFS(mdr_rate_cleaned!$A$2:$A$10,B1636,mdr_rate_cleaned!$B$2:$B$10,"&lt;"&amp;C1636,mdr_rate_cleaned!$F$2:$F$10,"&gt;="&amp;C1636)</f>
        <v>1</v>
      </c>
      <c r="G1636">
        <v>3.0000000000000001E-3</v>
      </c>
      <c r="H1636">
        <v>31.49</v>
      </c>
      <c r="I1636" t="s">
        <v>15</v>
      </c>
      <c r="J1636" t="s">
        <v>15</v>
      </c>
      <c r="K1636">
        <v>5.67</v>
      </c>
      <c r="L1636">
        <v>0</v>
      </c>
    </row>
    <row r="1637" spans="1:12" x14ac:dyDescent="0.3">
      <c r="A1637" t="s">
        <v>1653</v>
      </c>
      <c r="B1637" t="s">
        <v>39</v>
      </c>
      <c r="C1637">
        <v>349</v>
      </c>
      <c r="D1637">
        <v>5.24</v>
      </c>
      <c r="E1637">
        <v>0.94</v>
      </c>
      <c r="F1637">
        <f>COUNTIFS(mdr_rate_cleaned!$A$2:$A$10,B1637,mdr_rate_cleaned!$B$2:$B$10,"&lt;"&amp;C1637,mdr_rate_cleaned!$F$2:$F$10,"&gt;="&amp;C1637)</f>
        <v>1</v>
      </c>
      <c r="G1637">
        <v>1.4999999999999999E-2</v>
      </c>
      <c r="H1637">
        <v>5.24</v>
      </c>
      <c r="I1637" t="s">
        <v>15</v>
      </c>
      <c r="J1637" t="s">
        <v>15</v>
      </c>
      <c r="K1637">
        <v>0.94</v>
      </c>
      <c r="L1637">
        <v>0</v>
      </c>
    </row>
    <row r="1638" spans="1:12" x14ac:dyDescent="0.3">
      <c r="A1638" t="s">
        <v>1654</v>
      </c>
      <c r="B1638" t="s">
        <v>17</v>
      </c>
      <c r="C1638">
        <v>2798</v>
      </c>
      <c r="D1638">
        <v>44.77</v>
      </c>
      <c r="E1638">
        <v>8.06</v>
      </c>
      <c r="F1638">
        <f>COUNTIFS(mdr_rate_cleaned!$A$2:$A$10,B1638,mdr_rate_cleaned!$B$2:$B$10,"&lt;"&amp;C1638,mdr_rate_cleaned!$F$2:$F$10,"&gt;="&amp;C1638)</f>
        <v>1</v>
      </c>
      <c r="G1638">
        <v>1.6E-2</v>
      </c>
      <c r="H1638">
        <v>44.77</v>
      </c>
      <c r="I1638" t="s">
        <v>15</v>
      </c>
      <c r="J1638" t="s">
        <v>15</v>
      </c>
      <c r="K1638">
        <v>8.06</v>
      </c>
      <c r="L1638">
        <v>0</v>
      </c>
    </row>
    <row r="1639" spans="1:12" x14ac:dyDescent="0.3">
      <c r="A1639" t="s">
        <v>1655</v>
      </c>
      <c r="B1639" t="s">
        <v>21</v>
      </c>
      <c r="C1639">
        <v>5597</v>
      </c>
      <c r="D1639">
        <v>16.79</v>
      </c>
      <c r="E1639">
        <v>3.02</v>
      </c>
      <c r="F1639">
        <f>COUNTIFS(mdr_rate_cleaned!$A$2:$A$10,B1639,mdr_rate_cleaned!$B$2:$B$10,"&lt;"&amp;C1639,mdr_rate_cleaned!$F$2:$F$10,"&gt;="&amp;C1639)</f>
        <v>1</v>
      </c>
      <c r="G1639">
        <v>3.0000000000000001E-3</v>
      </c>
      <c r="H1639">
        <v>16.79</v>
      </c>
      <c r="I1639" t="s">
        <v>15</v>
      </c>
      <c r="J1639" t="s">
        <v>15</v>
      </c>
      <c r="K1639">
        <v>3.02</v>
      </c>
      <c r="L1639">
        <v>0</v>
      </c>
    </row>
    <row r="1640" spans="1:12" x14ac:dyDescent="0.3">
      <c r="A1640" t="s">
        <v>1656</v>
      </c>
      <c r="B1640" t="s">
        <v>21</v>
      </c>
      <c r="C1640">
        <v>499</v>
      </c>
      <c r="D1640">
        <v>0</v>
      </c>
      <c r="E1640">
        <v>0</v>
      </c>
      <c r="F1640">
        <f>COUNTIFS(mdr_rate_cleaned!$A$2:$A$10,B1640,mdr_rate_cleaned!$B$2:$B$10,"&lt;"&amp;C1640,mdr_rate_cleaned!$F$2:$F$10,"&gt;="&amp;C1640)</f>
        <v>1</v>
      </c>
      <c r="G1640">
        <v>0</v>
      </c>
      <c r="H1640">
        <v>0</v>
      </c>
      <c r="I1640" t="s">
        <v>15</v>
      </c>
      <c r="J1640" t="s">
        <v>15</v>
      </c>
      <c r="K1640">
        <v>0</v>
      </c>
      <c r="L1640">
        <v>0</v>
      </c>
    </row>
    <row r="1641" spans="1:12" x14ac:dyDescent="0.3">
      <c r="A1641" t="s">
        <v>1657</v>
      </c>
      <c r="B1641" t="s">
        <v>21</v>
      </c>
      <c r="C1641">
        <v>1798</v>
      </c>
      <c r="D1641">
        <v>0</v>
      </c>
      <c r="E1641">
        <v>0</v>
      </c>
      <c r="F1641">
        <f>COUNTIFS(mdr_rate_cleaned!$A$2:$A$10,B1641,mdr_rate_cleaned!$B$2:$B$10,"&lt;"&amp;C1641,mdr_rate_cleaned!$F$2:$F$10,"&gt;="&amp;C1641)</f>
        <v>1</v>
      </c>
      <c r="G1641">
        <v>0</v>
      </c>
      <c r="H1641">
        <v>0</v>
      </c>
      <c r="I1641" t="s">
        <v>15</v>
      </c>
      <c r="J1641" t="s">
        <v>15</v>
      </c>
      <c r="K1641">
        <v>0</v>
      </c>
      <c r="L1641">
        <v>0</v>
      </c>
    </row>
    <row r="1642" spans="1:12" x14ac:dyDescent="0.3">
      <c r="A1642" t="s">
        <v>1658</v>
      </c>
      <c r="B1642" t="s">
        <v>21</v>
      </c>
      <c r="C1642">
        <v>7097</v>
      </c>
      <c r="D1642">
        <v>21.29</v>
      </c>
      <c r="E1642">
        <v>3.83</v>
      </c>
      <c r="F1642">
        <f>COUNTIFS(mdr_rate_cleaned!$A$2:$A$10,B1642,mdr_rate_cleaned!$B$2:$B$10,"&lt;"&amp;C1642,mdr_rate_cleaned!$F$2:$F$10,"&gt;="&amp;C1642)</f>
        <v>1</v>
      </c>
      <c r="G1642">
        <v>3.0000000000000001E-3</v>
      </c>
      <c r="H1642">
        <v>21.29</v>
      </c>
      <c r="I1642" t="s">
        <v>15</v>
      </c>
      <c r="J1642" t="s">
        <v>15</v>
      </c>
      <c r="K1642">
        <v>3.83</v>
      </c>
      <c r="L1642">
        <v>0</v>
      </c>
    </row>
    <row r="1643" spans="1:12" x14ac:dyDescent="0.3">
      <c r="A1643" t="s">
        <v>1659</v>
      </c>
      <c r="B1643" t="s">
        <v>21</v>
      </c>
      <c r="C1643">
        <v>4999</v>
      </c>
      <c r="D1643">
        <v>15</v>
      </c>
      <c r="E1643">
        <v>2.7</v>
      </c>
      <c r="F1643">
        <f>COUNTIFS(mdr_rate_cleaned!$A$2:$A$10,B1643,mdr_rate_cleaned!$B$2:$B$10,"&lt;"&amp;C1643,mdr_rate_cleaned!$F$2:$F$10,"&gt;="&amp;C1643)</f>
        <v>1</v>
      </c>
      <c r="G1643">
        <v>3.0000000000000001E-3</v>
      </c>
      <c r="H1643">
        <v>15</v>
      </c>
      <c r="I1643" t="s">
        <v>15</v>
      </c>
      <c r="J1643" t="s">
        <v>15</v>
      </c>
      <c r="K1643">
        <v>2.7</v>
      </c>
      <c r="L1643">
        <v>0</v>
      </c>
    </row>
    <row r="1644" spans="1:12" x14ac:dyDescent="0.3">
      <c r="A1644" t="s">
        <v>1660</v>
      </c>
      <c r="B1644" t="s">
        <v>21</v>
      </c>
      <c r="C1644">
        <v>3848</v>
      </c>
      <c r="D1644">
        <v>11.54</v>
      </c>
      <c r="E1644">
        <v>2.08</v>
      </c>
      <c r="F1644">
        <f>COUNTIFS(mdr_rate_cleaned!$A$2:$A$10,B1644,mdr_rate_cleaned!$B$2:$B$10,"&lt;"&amp;C1644,mdr_rate_cleaned!$F$2:$F$10,"&gt;="&amp;C1644)</f>
        <v>1</v>
      </c>
      <c r="G1644">
        <v>3.0000000000000001E-3</v>
      </c>
      <c r="H1644">
        <v>11.54</v>
      </c>
      <c r="I1644" t="s">
        <v>15</v>
      </c>
      <c r="J1644" t="s">
        <v>15</v>
      </c>
      <c r="K1644">
        <v>2.08</v>
      </c>
      <c r="L1644">
        <v>0</v>
      </c>
    </row>
    <row r="1645" spans="1:12" x14ac:dyDescent="0.3">
      <c r="A1645" t="s">
        <v>1661</v>
      </c>
      <c r="B1645" t="s">
        <v>21</v>
      </c>
      <c r="C1645">
        <v>14497</v>
      </c>
      <c r="D1645">
        <v>43.49</v>
      </c>
      <c r="E1645">
        <v>7.83</v>
      </c>
      <c r="F1645">
        <f>COUNTIFS(mdr_rate_cleaned!$A$2:$A$10,B1645,mdr_rate_cleaned!$B$2:$B$10,"&lt;"&amp;C1645,mdr_rate_cleaned!$F$2:$F$10,"&gt;="&amp;C1645)</f>
        <v>1</v>
      </c>
      <c r="G1645">
        <v>3.0000000000000001E-3</v>
      </c>
      <c r="H1645">
        <v>43.49</v>
      </c>
      <c r="I1645" t="s">
        <v>15</v>
      </c>
      <c r="J1645" t="s">
        <v>15</v>
      </c>
      <c r="K1645">
        <v>7.83</v>
      </c>
      <c r="L1645">
        <v>0</v>
      </c>
    </row>
    <row r="1646" spans="1:12" x14ac:dyDescent="0.3">
      <c r="A1646" t="s">
        <v>1662</v>
      </c>
      <c r="B1646" t="s">
        <v>13</v>
      </c>
      <c r="C1646">
        <v>4798</v>
      </c>
      <c r="D1646">
        <v>81.569999999999993</v>
      </c>
      <c r="E1646">
        <v>14.68</v>
      </c>
      <c r="F1646">
        <f>COUNTIFS(mdr_rate_cleaned!$A$2:$A$10,B1646,mdr_rate_cleaned!$B$2:$B$10,"&lt;"&amp;C1646,mdr_rate_cleaned!$F$2:$F$10,"&gt;="&amp;C1646)</f>
        <v>1</v>
      </c>
      <c r="G1646">
        <v>1.7000000000000001E-2</v>
      </c>
      <c r="H1646">
        <v>81.569999999999993</v>
      </c>
      <c r="I1646" t="s">
        <v>15</v>
      </c>
      <c r="J1646" t="s">
        <v>15</v>
      </c>
      <c r="K1646">
        <v>14.68</v>
      </c>
      <c r="L1646">
        <v>0</v>
      </c>
    </row>
    <row r="1647" spans="1:12" x14ac:dyDescent="0.3">
      <c r="A1647" t="s">
        <v>1663</v>
      </c>
      <c r="B1647" t="s">
        <v>39</v>
      </c>
      <c r="C1647">
        <v>5498</v>
      </c>
      <c r="D1647">
        <v>65.98</v>
      </c>
      <c r="E1647">
        <v>11.88</v>
      </c>
      <c r="F1647">
        <f>COUNTIFS(mdr_rate_cleaned!$A$2:$A$10,B1647,mdr_rate_cleaned!$B$2:$B$10,"&lt;"&amp;C1647,mdr_rate_cleaned!$F$2:$F$10,"&gt;="&amp;C1647)</f>
        <v>1</v>
      </c>
      <c r="G1647">
        <v>1.2E-2</v>
      </c>
      <c r="H1647">
        <v>65.98</v>
      </c>
      <c r="I1647" t="s">
        <v>15</v>
      </c>
      <c r="J1647" t="s">
        <v>15</v>
      </c>
      <c r="K1647">
        <v>11.88</v>
      </c>
      <c r="L1647">
        <v>0</v>
      </c>
    </row>
    <row r="1648" spans="1:12" x14ac:dyDescent="0.3">
      <c r="A1648" t="s">
        <v>1664</v>
      </c>
      <c r="B1648" t="s">
        <v>21</v>
      </c>
      <c r="C1648">
        <v>349</v>
      </c>
      <c r="D1648">
        <v>0</v>
      </c>
      <c r="E1648">
        <v>0</v>
      </c>
      <c r="F1648">
        <f>COUNTIFS(mdr_rate_cleaned!$A$2:$A$10,B1648,mdr_rate_cleaned!$B$2:$B$10,"&lt;"&amp;C1648,mdr_rate_cleaned!$F$2:$F$10,"&gt;="&amp;C1648)</f>
        <v>1</v>
      </c>
      <c r="G1648">
        <v>0</v>
      </c>
      <c r="H1648">
        <v>0</v>
      </c>
      <c r="I1648" t="s">
        <v>15</v>
      </c>
      <c r="J1648" t="s">
        <v>15</v>
      </c>
      <c r="K1648">
        <v>0</v>
      </c>
      <c r="L1648">
        <v>0</v>
      </c>
    </row>
    <row r="1649" spans="1:12" x14ac:dyDescent="0.3">
      <c r="A1649" t="s">
        <v>1665</v>
      </c>
      <c r="B1649" t="s">
        <v>17</v>
      </c>
      <c r="C1649">
        <v>10347</v>
      </c>
      <c r="D1649">
        <v>165.55</v>
      </c>
      <c r="E1649">
        <v>29.8</v>
      </c>
      <c r="F1649">
        <f>COUNTIFS(mdr_rate_cleaned!$A$2:$A$10,B1649,mdr_rate_cleaned!$B$2:$B$10,"&lt;"&amp;C1649,mdr_rate_cleaned!$F$2:$F$10,"&gt;="&amp;C1649)</f>
        <v>1</v>
      </c>
      <c r="G1649">
        <v>1.6E-2</v>
      </c>
      <c r="H1649">
        <v>165.55</v>
      </c>
      <c r="I1649" t="s">
        <v>15</v>
      </c>
      <c r="J1649" t="s">
        <v>15</v>
      </c>
      <c r="K1649">
        <v>29.8</v>
      </c>
      <c r="L1649">
        <v>0</v>
      </c>
    </row>
    <row r="1650" spans="1:12" x14ac:dyDescent="0.3">
      <c r="A1650" t="s">
        <v>1666</v>
      </c>
      <c r="B1650" t="s">
        <v>17</v>
      </c>
      <c r="C1650">
        <v>1799</v>
      </c>
      <c r="D1650">
        <v>32.380000000000003</v>
      </c>
      <c r="E1650">
        <v>5.83</v>
      </c>
      <c r="F1650">
        <f>COUNTIFS(mdr_rate_cleaned!$A$2:$A$10,B1650,mdr_rate_cleaned!$B$2:$B$10,"&lt;"&amp;C1650,mdr_rate_cleaned!$F$2:$F$10,"&gt;="&amp;C1650)</f>
        <v>1</v>
      </c>
      <c r="G1650">
        <v>1.7999999999999999E-2</v>
      </c>
      <c r="H1650">
        <v>32.380000000000003</v>
      </c>
      <c r="I1650" t="s">
        <v>15</v>
      </c>
      <c r="J1650" t="s">
        <v>15</v>
      </c>
      <c r="K1650">
        <v>5.83</v>
      </c>
      <c r="L1650">
        <v>0</v>
      </c>
    </row>
    <row r="1651" spans="1:12" x14ac:dyDescent="0.3">
      <c r="A1651" t="s">
        <v>1667</v>
      </c>
      <c r="B1651" t="s">
        <v>21</v>
      </c>
      <c r="C1651">
        <v>12797</v>
      </c>
      <c r="D1651">
        <v>38.39</v>
      </c>
      <c r="E1651">
        <v>6.91</v>
      </c>
      <c r="F1651">
        <f>COUNTIFS(mdr_rate_cleaned!$A$2:$A$10,B1651,mdr_rate_cleaned!$B$2:$B$10,"&lt;"&amp;C1651,mdr_rate_cleaned!$F$2:$F$10,"&gt;="&amp;C1651)</f>
        <v>1</v>
      </c>
      <c r="G1651">
        <v>3.0000000000000001E-3</v>
      </c>
      <c r="H1651">
        <v>38.39</v>
      </c>
      <c r="I1651" t="s">
        <v>15</v>
      </c>
      <c r="J1651" t="s">
        <v>15</v>
      </c>
      <c r="K1651">
        <v>6.91</v>
      </c>
      <c r="L1651">
        <v>0</v>
      </c>
    </row>
    <row r="1652" spans="1:12" x14ac:dyDescent="0.3">
      <c r="A1652" t="s">
        <v>1668</v>
      </c>
      <c r="B1652" t="s">
        <v>21</v>
      </c>
      <c r="C1652">
        <v>299</v>
      </c>
      <c r="D1652">
        <v>0</v>
      </c>
      <c r="E1652">
        <v>0</v>
      </c>
      <c r="F1652">
        <f>COUNTIFS(mdr_rate_cleaned!$A$2:$A$10,B1652,mdr_rate_cleaned!$B$2:$B$10,"&lt;"&amp;C1652,mdr_rate_cleaned!$F$2:$F$10,"&gt;="&amp;C1652)</f>
        <v>1</v>
      </c>
      <c r="G1652">
        <v>0</v>
      </c>
      <c r="H1652">
        <v>0</v>
      </c>
      <c r="I1652" t="s">
        <v>15</v>
      </c>
      <c r="J1652" t="s">
        <v>15</v>
      </c>
      <c r="K1652">
        <v>0</v>
      </c>
      <c r="L1652">
        <v>0</v>
      </c>
    </row>
    <row r="1653" spans="1:12" x14ac:dyDescent="0.3">
      <c r="A1653" t="s">
        <v>1669</v>
      </c>
      <c r="B1653" t="s">
        <v>17</v>
      </c>
      <c r="C1653">
        <v>798</v>
      </c>
      <c r="D1653">
        <v>14.36</v>
      </c>
      <c r="E1653">
        <v>2.58</v>
      </c>
      <c r="F1653">
        <f>COUNTIFS(mdr_rate_cleaned!$A$2:$A$10,B1653,mdr_rate_cleaned!$B$2:$B$10,"&lt;"&amp;C1653,mdr_rate_cleaned!$F$2:$F$10,"&gt;="&amp;C1653)</f>
        <v>1</v>
      </c>
      <c r="G1653">
        <v>1.7999999999999999E-2</v>
      </c>
      <c r="H1653">
        <v>14.36</v>
      </c>
      <c r="I1653" t="s">
        <v>15</v>
      </c>
      <c r="J1653" t="s">
        <v>15</v>
      </c>
      <c r="K1653">
        <v>2.58</v>
      </c>
      <c r="L1653">
        <v>0</v>
      </c>
    </row>
    <row r="1654" spans="1:12" x14ac:dyDescent="0.3">
      <c r="A1654" t="s">
        <v>1670</v>
      </c>
      <c r="B1654" t="s">
        <v>21</v>
      </c>
      <c r="C1654">
        <v>1499</v>
      </c>
      <c r="D1654">
        <v>0</v>
      </c>
      <c r="E1654">
        <v>0</v>
      </c>
      <c r="F1654">
        <f>COUNTIFS(mdr_rate_cleaned!$A$2:$A$10,B1654,mdr_rate_cleaned!$B$2:$B$10,"&lt;"&amp;C1654,mdr_rate_cleaned!$F$2:$F$10,"&gt;="&amp;C1654)</f>
        <v>1</v>
      </c>
      <c r="G1654">
        <v>0</v>
      </c>
      <c r="H1654">
        <v>0</v>
      </c>
      <c r="I1654" t="s">
        <v>15</v>
      </c>
      <c r="J1654" t="s">
        <v>15</v>
      </c>
      <c r="K1654">
        <v>0</v>
      </c>
      <c r="L1654">
        <v>0</v>
      </c>
    </row>
    <row r="1655" spans="1:12" x14ac:dyDescent="0.3">
      <c r="A1655" t="s">
        <v>1671</v>
      </c>
      <c r="B1655" t="s">
        <v>21</v>
      </c>
      <c r="C1655">
        <v>3597</v>
      </c>
      <c r="D1655">
        <v>10.79</v>
      </c>
      <c r="E1655">
        <v>1.94</v>
      </c>
      <c r="F1655">
        <f>COUNTIFS(mdr_rate_cleaned!$A$2:$A$10,B1655,mdr_rate_cleaned!$B$2:$B$10,"&lt;"&amp;C1655,mdr_rate_cleaned!$F$2:$F$10,"&gt;="&amp;C1655)</f>
        <v>1</v>
      </c>
      <c r="G1655">
        <v>3.0000000000000001E-3</v>
      </c>
      <c r="H1655">
        <v>10.79</v>
      </c>
      <c r="I1655" t="s">
        <v>15</v>
      </c>
      <c r="J1655" t="s">
        <v>15</v>
      </c>
      <c r="K1655">
        <v>1.94</v>
      </c>
      <c r="L1655">
        <v>0</v>
      </c>
    </row>
    <row r="1656" spans="1:12" x14ac:dyDescent="0.3">
      <c r="A1656" t="s">
        <v>1672</v>
      </c>
      <c r="B1656" t="s">
        <v>39</v>
      </c>
      <c r="C1656">
        <v>1299</v>
      </c>
      <c r="D1656">
        <v>19.489999999999998</v>
      </c>
      <c r="E1656">
        <v>3.51</v>
      </c>
      <c r="F1656">
        <f>COUNTIFS(mdr_rate_cleaned!$A$2:$A$10,B1656,mdr_rate_cleaned!$B$2:$B$10,"&lt;"&amp;C1656,mdr_rate_cleaned!$F$2:$F$10,"&gt;="&amp;C1656)</f>
        <v>1</v>
      </c>
      <c r="G1656">
        <v>1.4999999999999999E-2</v>
      </c>
      <c r="H1656">
        <v>19.489999999999998</v>
      </c>
      <c r="I1656" t="s">
        <v>15</v>
      </c>
      <c r="J1656" t="s">
        <v>15</v>
      </c>
      <c r="K1656">
        <v>3.51</v>
      </c>
      <c r="L1656">
        <v>0</v>
      </c>
    </row>
    <row r="1657" spans="1:12" x14ac:dyDescent="0.3">
      <c r="A1657" t="s">
        <v>1673</v>
      </c>
      <c r="B1657" t="s">
        <v>21</v>
      </c>
      <c r="C1657">
        <v>3348</v>
      </c>
      <c r="D1657">
        <v>10.039999999999999</v>
      </c>
      <c r="E1657">
        <v>1.81</v>
      </c>
      <c r="F1657">
        <f>COUNTIFS(mdr_rate_cleaned!$A$2:$A$10,B1657,mdr_rate_cleaned!$B$2:$B$10,"&lt;"&amp;C1657,mdr_rate_cleaned!$F$2:$F$10,"&gt;="&amp;C1657)</f>
        <v>1</v>
      </c>
      <c r="G1657">
        <v>3.0000000000000001E-3</v>
      </c>
      <c r="H1657">
        <v>10.039999999999999</v>
      </c>
      <c r="I1657" t="s">
        <v>15</v>
      </c>
      <c r="J1657" t="s">
        <v>15</v>
      </c>
      <c r="K1657">
        <v>1.81</v>
      </c>
      <c r="L1657">
        <v>0</v>
      </c>
    </row>
    <row r="1658" spans="1:12" x14ac:dyDescent="0.3">
      <c r="A1658" t="s">
        <v>1674</v>
      </c>
      <c r="B1658" t="s">
        <v>13</v>
      </c>
      <c r="C1658">
        <v>10797</v>
      </c>
      <c r="D1658">
        <v>183.55</v>
      </c>
      <c r="E1658">
        <v>33.04</v>
      </c>
      <c r="F1658">
        <f>COUNTIFS(mdr_rate_cleaned!$A$2:$A$10,B1658,mdr_rate_cleaned!$B$2:$B$10,"&lt;"&amp;C1658,mdr_rate_cleaned!$F$2:$F$10,"&gt;="&amp;C1658)</f>
        <v>1</v>
      </c>
      <c r="G1658">
        <v>1.7000000000000001E-2</v>
      </c>
      <c r="H1658">
        <v>183.55</v>
      </c>
      <c r="I1658" t="s">
        <v>15</v>
      </c>
      <c r="J1658" t="s">
        <v>15</v>
      </c>
      <c r="K1658">
        <v>33.04</v>
      </c>
      <c r="L1658">
        <v>0</v>
      </c>
    </row>
    <row r="1659" spans="1:12" x14ac:dyDescent="0.3">
      <c r="A1659" t="s">
        <v>1675</v>
      </c>
      <c r="B1659" t="s">
        <v>21</v>
      </c>
      <c r="C1659">
        <v>5298</v>
      </c>
      <c r="D1659">
        <v>15.89</v>
      </c>
      <c r="E1659">
        <v>2.86</v>
      </c>
      <c r="F1659">
        <f>COUNTIFS(mdr_rate_cleaned!$A$2:$A$10,B1659,mdr_rate_cleaned!$B$2:$B$10,"&lt;"&amp;C1659,mdr_rate_cleaned!$F$2:$F$10,"&gt;="&amp;C1659)</f>
        <v>1</v>
      </c>
      <c r="G1659">
        <v>3.0000000000000001E-3</v>
      </c>
      <c r="H1659">
        <v>15.89</v>
      </c>
      <c r="I1659" t="s">
        <v>15</v>
      </c>
      <c r="J1659" t="s">
        <v>15</v>
      </c>
      <c r="K1659">
        <v>2.86</v>
      </c>
      <c r="L1659">
        <v>0</v>
      </c>
    </row>
    <row r="1660" spans="1:12" x14ac:dyDescent="0.3">
      <c r="A1660" t="s">
        <v>1676</v>
      </c>
      <c r="B1660" t="s">
        <v>21</v>
      </c>
      <c r="C1660">
        <v>4999</v>
      </c>
      <c r="D1660">
        <v>15</v>
      </c>
      <c r="E1660">
        <v>2.7</v>
      </c>
      <c r="F1660">
        <f>COUNTIFS(mdr_rate_cleaned!$A$2:$A$10,B1660,mdr_rate_cleaned!$B$2:$B$10,"&lt;"&amp;C1660,mdr_rate_cleaned!$F$2:$F$10,"&gt;="&amp;C1660)</f>
        <v>1</v>
      </c>
      <c r="G1660">
        <v>3.0000000000000001E-3</v>
      </c>
      <c r="H1660">
        <v>15</v>
      </c>
      <c r="I1660" t="s">
        <v>15</v>
      </c>
      <c r="J1660" t="s">
        <v>15</v>
      </c>
      <c r="K1660">
        <v>2.7</v>
      </c>
      <c r="L1660">
        <v>0</v>
      </c>
    </row>
    <row r="1661" spans="1:12" x14ac:dyDescent="0.3">
      <c r="A1661" t="s">
        <v>1677</v>
      </c>
      <c r="B1661" t="s">
        <v>21</v>
      </c>
      <c r="C1661">
        <v>299</v>
      </c>
      <c r="D1661">
        <v>0</v>
      </c>
      <c r="E1661">
        <v>0</v>
      </c>
      <c r="F1661">
        <f>COUNTIFS(mdr_rate_cleaned!$A$2:$A$10,B1661,mdr_rate_cleaned!$B$2:$B$10,"&lt;"&amp;C1661,mdr_rate_cleaned!$F$2:$F$10,"&gt;="&amp;C1661)</f>
        <v>1</v>
      </c>
      <c r="G1661">
        <v>0</v>
      </c>
      <c r="H1661">
        <v>0</v>
      </c>
      <c r="I1661" t="s">
        <v>15</v>
      </c>
      <c r="J1661" t="s">
        <v>15</v>
      </c>
      <c r="K1661">
        <v>0</v>
      </c>
      <c r="L1661">
        <v>0</v>
      </c>
    </row>
    <row r="1662" spans="1:12" x14ac:dyDescent="0.3">
      <c r="A1662" t="s">
        <v>1678</v>
      </c>
      <c r="B1662" t="s">
        <v>13</v>
      </c>
      <c r="C1662">
        <v>349</v>
      </c>
      <c r="D1662">
        <v>6.63</v>
      </c>
      <c r="E1662">
        <v>1.19</v>
      </c>
      <c r="F1662">
        <f>COUNTIFS(mdr_rate_cleaned!$A$2:$A$10,B1662,mdr_rate_cleaned!$B$2:$B$10,"&lt;"&amp;C1662,mdr_rate_cleaned!$F$2:$F$10,"&gt;="&amp;C1662)</f>
        <v>1</v>
      </c>
      <c r="G1662">
        <v>1.9E-2</v>
      </c>
      <c r="H1662">
        <v>6.63</v>
      </c>
      <c r="I1662" t="s">
        <v>15</v>
      </c>
      <c r="J1662" t="s">
        <v>15</v>
      </c>
      <c r="K1662">
        <v>1.19</v>
      </c>
      <c r="L1662">
        <v>0</v>
      </c>
    </row>
    <row r="1663" spans="1:12" x14ac:dyDescent="0.3">
      <c r="A1663" t="s">
        <v>1679</v>
      </c>
      <c r="B1663" t="s">
        <v>17</v>
      </c>
      <c r="C1663">
        <v>3498</v>
      </c>
      <c r="D1663">
        <v>55.97</v>
      </c>
      <c r="E1663">
        <v>10.07</v>
      </c>
      <c r="F1663">
        <f>COUNTIFS(mdr_rate_cleaned!$A$2:$A$10,B1663,mdr_rate_cleaned!$B$2:$B$10,"&lt;"&amp;C1663,mdr_rate_cleaned!$F$2:$F$10,"&gt;="&amp;C1663)</f>
        <v>1</v>
      </c>
      <c r="G1663">
        <v>1.6E-2</v>
      </c>
      <c r="H1663">
        <v>55.97</v>
      </c>
      <c r="I1663" t="s">
        <v>15</v>
      </c>
      <c r="J1663" t="s">
        <v>15</v>
      </c>
      <c r="K1663">
        <v>10.07</v>
      </c>
      <c r="L1663">
        <v>0</v>
      </c>
    </row>
    <row r="1664" spans="1:12" x14ac:dyDescent="0.3">
      <c r="A1664" t="s">
        <v>1680</v>
      </c>
      <c r="B1664" t="s">
        <v>13</v>
      </c>
      <c r="C1664">
        <v>848</v>
      </c>
      <c r="D1664">
        <v>16.11</v>
      </c>
      <c r="E1664">
        <v>2.9</v>
      </c>
      <c r="F1664">
        <f>COUNTIFS(mdr_rate_cleaned!$A$2:$A$10,B1664,mdr_rate_cleaned!$B$2:$B$10,"&lt;"&amp;C1664,mdr_rate_cleaned!$F$2:$F$10,"&gt;="&amp;C1664)</f>
        <v>1</v>
      </c>
      <c r="G1664">
        <v>1.9E-2</v>
      </c>
      <c r="H1664">
        <v>16.11</v>
      </c>
      <c r="I1664" t="s">
        <v>15</v>
      </c>
      <c r="J1664" t="s">
        <v>15</v>
      </c>
      <c r="K1664">
        <v>2.9</v>
      </c>
      <c r="L1664">
        <v>0</v>
      </c>
    </row>
    <row r="1665" spans="1:12" x14ac:dyDescent="0.3">
      <c r="A1665" t="s">
        <v>1681</v>
      </c>
      <c r="B1665" t="s">
        <v>17</v>
      </c>
      <c r="C1665">
        <v>1798</v>
      </c>
      <c r="D1665">
        <v>32.36</v>
      </c>
      <c r="E1665">
        <v>5.82</v>
      </c>
      <c r="F1665">
        <f>COUNTIFS(mdr_rate_cleaned!$A$2:$A$10,B1665,mdr_rate_cleaned!$B$2:$B$10,"&lt;"&amp;C1665,mdr_rate_cleaned!$F$2:$F$10,"&gt;="&amp;C1665)</f>
        <v>1</v>
      </c>
      <c r="G1665">
        <v>1.7999999999999999E-2</v>
      </c>
      <c r="H1665">
        <v>32.36</v>
      </c>
      <c r="I1665" t="s">
        <v>15</v>
      </c>
      <c r="J1665" t="s">
        <v>15</v>
      </c>
      <c r="K1665">
        <v>5.82</v>
      </c>
      <c r="L1665">
        <v>0</v>
      </c>
    </row>
    <row r="1666" spans="1:12" x14ac:dyDescent="0.3">
      <c r="A1666" t="s">
        <v>1682</v>
      </c>
      <c r="B1666" t="s">
        <v>17</v>
      </c>
      <c r="C1666">
        <v>3197</v>
      </c>
      <c r="D1666">
        <v>51.15</v>
      </c>
      <c r="E1666">
        <v>9.2100000000000009</v>
      </c>
      <c r="F1666">
        <f>COUNTIFS(mdr_rate_cleaned!$A$2:$A$10,B1666,mdr_rate_cleaned!$B$2:$B$10,"&lt;"&amp;C1666,mdr_rate_cleaned!$F$2:$F$10,"&gt;="&amp;C1666)</f>
        <v>1</v>
      </c>
      <c r="G1666">
        <v>1.6E-2</v>
      </c>
      <c r="H1666">
        <v>51.15</v>
      </c>
      <c r="I1666" t="s">
        <v>15</v>
      </c>
      <c r="J1666" t="s">
        <v>15</v>
      </c>
      <c r="K1666">
        <v>9.2100000000000009</v>
      </c>
      <c r="L1666">
        <v>0</v>
      </c>
    </row>
    <row r="1667" spans="1:12" x14ac:dyDescent="0.3">
      <c r="A1667" t="s">
        <v>1683</v>
      </c>
      <c r="B1667" t="s">
        <v>21</v>
      </c>
      <c r="C1667">
        <v>4998</v>
      </c>
      <c r="D1667">
        <v>14.99</v>
      </c>
      <c r="E1667">
        <v>2.7</v>
      </c>
      <c r="F1667">
        <f>COUNTIFS(mdr_rate_cleaned!$A$2:$A$10,B1667,mdr_rate_cleaned!$B$2:$B$10,"&lt;"&amp;C1667,mdr_rate_cleaned!$F$2:$F$10,"&gt;="&amp;C1667)</f>
        <v>1</v>
      </c>
      <c r="G1667">
        <v>3.0000000000000001E-3</v>
      </c>
      <c r="H1667">
        <v>14.99</v>
      </c>
      <c r="I1667" t="s">
        <v>15</v>
      </c>
      <c r="J1667" t="s">
        <v>15</v>
      </c>
      <c r="K1667">
        <v>2.7</v>
      </c>
      <c r="L1667">
        <v>0</v>
      </c>
    </row>
    <row r="1668" spans="1:12" x14ac:dyDescent="0.3">
      <c r="A1668" t="s">
        <v>1684</v>
      </c>
      <c r="B1668" t="s">
        <v>21</v>
      </c>
      <c r="C1668">
        <v>3499</v>
      </c>
      <c r="D1668">
        <v>10.5</v>
      </c>
      <c r="E1668">
        <v>1.89</v>
      </c>
      <c r="F1668">
        <f>COUNTIFS(mdr_rate_cleaned!$A$2:$A$10,B1668,mdr_rate_cleaned!$B$2:$B$10,"&lt;"&amp;C1668,mdr_rate_cleaned!$F$2:$F$10,"&gt;="&amp;C1668)</f>
        <v>1</v>
      </c>
      <c r="G1668">
        <v>3.0000000000000001E-3</v>
      </c>
      <c r="H1668">
        <v>10.5</v>
      </c>
      <c r="I1668" t="s">
        <v>15</v>
      </c>
      <c r="J1668" t="s">
        <v>15</v>
      </c>
      <c r="K1668">
        <v>1.89</v>
      </c>
      <c r="L1668">
        <v>0</v>
      </c>
    </row>
    <row r="1669" spans="1:12" x14ac:dyDescent="0.3">
      <c r="A1669" t="s">
        <v>1685</v>
      </c>
      <c r="B1669" t="s">
        <v>21</v>
      </c>
      <c r="C1669">
        <v>6498</v>
      </c>
      <c r="D1669">
        <v>19.489999999999998</v>
      </c>
      <c r="E1669">
        <v>3.51</v>
      </c>
      <c r="F1669">
        <f>COUNTIFS(mdr_rate_cleaned!$A$2:$A$10,B1669,mdr_rate_cleaned!$B$2:$B$10,"&lt;"&amp;C1669,mdr_rate_cleaned!$F$2:$F$10,"&gt;="&amp;C1669)</f>
        <v>1</v>
      </c>
      <c r="G1669">
        <v>3.0000000000000001E-3</v>
      </c>
      <c r="H1669">
        <v>19.489999999999998</v>
      </c>
      <c r="I1669" t="s">
        <v>15</v>
      </c>
      <c r="J1669" t="s">
        <v>15</v>
      </c>
      <c r="K1669">
        <v>3.51</v>
      </c>
      <c r="L1669">
        <v>0</v>
      </c>
    </row>
    <row r="1670" spans="1:12" x14ac:dyDescent="0.3">
      <c r="A1670" t="s">
        <v>1686</v>
      </c>
      <c r="B1670" t="s">
        <v>39</v>
      </c>
      <c r="C1670">
        <v>2848</v>
      </c>
      <c r="D1670">
        <v>34.18</v>
      </c>
      <c r="E1670">
        <v>6.15</v>
      </c>
      <c r="F1670">
        <f>COUNTIFS(mdr_rate_cleaned!$A$2:$A$10,B1670,mdr_rate_cleaned!$B$2:$B$10,"&lt;"&amp;C1670,mdr_rate_cleaned!$F$2:$F$10,"&gt;="&amp;C1670)</f>
        <v>1</v>
      </c>
      <c r="G1670">
        <v>1.2E-2</v>
      </c>
      <c r="H1670">
        <v>34.18</v>
      </c>
      <c r="I1670" t="s">
        <v>15</v>
      </c>
      <c r="J1670" t="s">
        <v>15</v>
      </c>
      <c r="K1670">
        <v>6.15</v>
      </c>
      <c r="L1670">
        <v>0</v>
      </c>
    </row>
    <row r="1671" spans="1:12" x14ac:dyDescent="0.3">
      <c r="A1671" t="s">
        <v>1687</v>
      </c>
      <c r="B1671" t="s">
        <v>21</v>
      </c>
      <c r="C1671">
        <v>4298</v>
      </c>
      <c r="D1671">
        <v>12.89</v>
      </c>
      <c r="E1671">
        <v>2.3199999999999998</v>
      </c>
      <c r="F1671">
        <f>COUNTIFS(mdr_rate_cleaned!$A$2:$A$10,B1671,mdr_rate_cleaned!$B$2:$B$10,"&lt;"&amp;C1671,mdr_rate_cleaned!$F$2:$F$10,"&gt;="&amp;C1671)</f>
        <v>1</v>
      </c>
      <c r="G1671">
        <v>3.0000000000000001E-3</v>
      </c>
      <c r="H1671">
        <v>12.89</v>
      </c>
      <c r="I1671" t="s">
        <v>15</v>
      </c>
      <c r="J1671" t="s">
        <v>15</v>
      </c>
      <c r="K1671">
        <v>2.3199999999999998</v>
      </c>
      <c r="L1671">
        <v>0</v>
      </c>
    </row>
    <row r="1672" spans="1:12" x14ac:dyDescent="0.3">
      <c r="A1672" t="s">
        <v>1688</v>
      </c>
      <c r="B1672" t="s">
        <v>17</v>
      </c>
      <c r="C1672">
        <v>1299</v>
      </c>
      <c r="D1672">
        <v>23.38</v>
      </c>
      <c r="E1672">
        <v>4.21</v>
      </c>
      <c r="F1672">
        <f>COUNTIFS(mdr_rate_cleaned!$A$2:$A$10,B1672,mdr_rate_cleaned!$B$2:$B$10,"&lt;"&amp;C1672,mdr_rate_cleaned!$F$2:$F$10,"&gt;="&amp;C1672)</f>
        <v>1</v>
      </c>
      <c r="G1672">
        <v>1.7999999999999999E-2</v>
      </c>
      <c r="H1672">
        <v>23.38</v>
      </c>
      <c r="I1672" t="s">
        <v>15</v>
      </c>
      <c r="J1672" t="s">
        <v>15</v>
      </c>
      <c r="K1672">
        <v>4.21</v>
      </c>
      <c r="L1672">
        <v>0</v>
      </c>
    </row>
    <row r="1673" spans="1:12" x14ac:dyDescent="0.3">
      <c r="A1673" t="s">
        <v>1689</v>
      </c>
      <c r="B1673" t="s">
        <v>21</v>
      </c>
      <c r="C1673">
        <v>349</v>
      </c>
      <c r="D1673">
        <v>0</v>
      </c>
      <c r="E1673">
        <v>0</v>
      </c>
      <c r="F1673">
        <f>COUNTIFS(mdr_rate_cleaned!$A$2:$A$10,B1673,mdr_rate_cleaned!$B$2:$B$10,"&lt;"&amp;C1673,mdr_rate_cleaned!$F$2:$F$10,"&gt;="&amp;C1673)</f>
        <v>1</v>
      </c>
      <c r="G1673">
        <v>0</v>
      </c>
      <c r="H1673">
        <v>0</v>
      </c>
      <c r="I1673" t="s">
        <v>15</v>
      </c>
      <c r="J1673" t="s">
        <v>15</v>
      </c>
      <c r="K1673">
        <v>0</v>
      </c>
      <c r="L1673">
        <v>0</v>
      </c>
    </row>
    <row r="1674" spans="1:12" x14ac:dyDescent="0.3">
      <c r="A1674" t="s">
        <v>1690</v>
      </c>
      <c r="B1674" t="s">
        <v>21</v>
      </c>
      <c r="C1674">
        <v>299</v>
      </c>
      <c r="D1674">
        <v>0</v>
      </c>
      <c r="E1674">
        <v>0</v>
      </c>
      <c r="F1674">
        <f>COUNTIFS(mdr_rate_cleaned!$A$2:$A$10,B1674,mdr_rate_cleaned!$B$2:$B$10,"&lt;"&amp;C1674,mdr_rate_cleaned!$F$2:$F$10,"&gt;="&amp;C1674)</f>
        <v>1</v>
      </c>
      <c r="G1674">
        <v>0</v>
      </c>
      <c r="H1674">
        <v>0</v>
      </c>
      <c r="I1674" t="s">
        <v>15</v>
      </c>
      <c r="J1674" t="s">
        <v>15</v>
      </c>
      <c r="K1674">
        <v>0</v>
      </c>
      <c r="L1674">
        <v>0</v>
      </c>
    </row>
    <row r="1675" spans="1:12" x14ac:dyDescent="0.3">
      <c r="A1675" t="s">
        <v>1691</v>
      </c>
      <c r="B1675" t="s">
        <v>21</v>
      </c>
      <c r="C1675">
        <v>999</v>
      </c>
      <c r="D1675">
        <v>0</v>
      </c>
      <c r="E1675">
        <v>0</v>
      </c>
      <c r="F1675">
        <f>COUNTIFS(mdr_rate_cleaned!$A$2:$A$10,B1675,mdr_rate_cleaned!$B$2:$B$10,"&lt;"&amp;C1675,mdr_rate_cleaned!$F$2:$F$10,"&gt;="&amp;C1675)</f>
        <v>1</v>
      </c>
      <c r="G1675">
        <v>0</v>
      </c>
      <c r="H1675">
        <v>0</v>
      </c>
      <c r="I1675" t="s">
        <v>15</v>
      </c>
      <c r="J1675" t="s">
        <v>15</v>
      </c>
      <c r="K1675">
        <v>0</v>
      </c>
      <c r="L1675">
        <v>0</v>
      </c>
    </row>
    <row r="1676" spans="1:12" x14ac:dyDescent="0.3">
      <c r="A1676" t="s">
        <v>1692</v>
      </c>
      <c r="B1676" t="s">
        <v>21</v>
      </c>
      <c r="C1676">
        <v>5298</v>
      </c>
      <c r="D1676">
        <v>15.89</v>
      </c>
      <c r="E1676">
        <v>2.86</v>
      </c>
      <c r="F1676">
        <f>COUNTIFS(mdr_rate_cleaned!$A$2:$A$10,B1676,mdr_rate_cleaned!$B$2:$B$10,"&lt;"&amp;C1676,mdr_rate_cleaned!$F$2:$F$10,"&gt;="&amp;C1676)</f>
        <v>1</v>
      </c>
      <c r="G1676">
        <v>3.0000000000000001E-3</v>
      </c>
      <c r="H1676">
        <v>15.89</v>
      </c>
      <c r="I1676" t="s">
        <v>15</v>
      </c>
      <c r="J1676" t="s">
        <v>15</v>
      </c>
      <c r="K1676">
        <v>2.86</v>
      </c>
      <c r="L1676">
        <v>0</v>
      </c>
    </row>
    <row r="1677" spans="1:12" x14ac:dyDescent="0.3">
      <c r="A1677" t="s">
        <v>1693</v>
      </c>
      <c r="B1677" t="s">
        <v>21</v>
      </c>
      <c r="C1677">
        <v>599</v>
      </c>
      <c r="D1677">
        <v>0</v>
      </c>
      <c r="E1677">
        <v>0</v>
      </c>
      <c r="F1677">
        <f>COUNTIFS(mdr_rate_cleaned!$A$2:$A$10,B1677,mdr_rate_cleaned!$B$2:$B$10,"&lt;"&amp;C1677,mdr_rate_cleaned!$F$2:$F$10,"&gt;="&amp;C1677)</f>
        <v>1</v>
      </c>
      <c r="G1677">
        <v>0</v>
      </c>
      <c r="H1677">
        <v>0</v>
      </c>
      <c r="I1677" t="s">
        <v>15</v>
      </c>
      <c r="J1677" t="s">
        <v>15</v>
      </c>
      <c r="K1677">
        <v>0</v>
      </c>
      <c r="L1677">
        <v>0</v>
      </c>
    </row>
    <row r="1678" spans="1:12" x14ac:dyDescent="0.3">
      <c r="A1678" t="s">
        <v>1694</v>
      </c>
      <c r="B1678" t="s">
        <v>21</v>
      </c>
      <c r="C1678">
        <v>7999</v>
      </c>
      <c r="D1678">
        <v>24</v>
      </c>
      <c r="E1678">
        <v>4.32</v>
      </c>
      <c r="F1678">
        <f>COUNTIFS(mdr_rate_cleaned!$A$2:$A$10,B1678,mdr_rate_cleaned!$B$2:$B$10,"&lt;"&amp;C1678,mdr_rate_cleaned!$F$2:$F$10,"&gt;="&amp;C1678)</f>
        <v>1</v>
      </c>
      <c r="G1678">
        <v>3.0000000000000001E-3</v>
      </c>
      <c r="H1678">
        <v>24</v>
      </c>
      <c r="I1678" t="s">
        <v>15</v>
      </c>
      <c r="J1678" t="s">
        <v>15</v>
      </c>
      <c r="K1678">
        <v>4.32</v>
      </c>
      <c r="L1678">
        <v>0</v>
      </c>
    </row>
    <row r="1679" spans="1:12" x14ac:dyDescent="0.3">
      <c r="A1679" t="s">
        <v>1695</v>
      </c>
      <c r="B1679" t="s">
        <v>21</v>
      </c>
      <c r="C1679">
        <v>1799</v>
      </c>
      <c r="D1679">
        <v>0</v>
      </c>
      <c r="E1679">
        <v>0</v>
      </c>
      <c r="F1679">
        <f>COUNTIFS(mdr_rate_cleaned!$A$2:$A$10,B1679,mdr_rate_cleaned!$B$2:$B$10,"&lt;"&amp;C1679,mdr_rate_cleaned!$F$2:$F$10,"&gt;="&amp;C1679)</f>
        <v>1</v>
      </c>
      <c r="G1679">
        <v>0</v>
      </c>
      <c r="H1679">
        <v>0</v>
      </c>
      <c r="I1679" t="s">
        <v>15</v>
      </c>
      <c r="J1679" t="s">
        <v>15</v>
      </c>
      <c r="K1679">
        <v>0</v>
      </c>
      <c r="L1679">
        <v>0</v>
      </c>
    </row>
    <row r="1680" spans="1:12" x14ac:dyDescent="0.3">
      <c r="A1680" t="s">
        <v>1696</v>
      </c>
      <c r="B1680" t="s">
        <v>21</v>
      </c>
      <c r="C1680">
        <v>2098</v>
      </c>
      <c r="D1680">
        <v>6.29</v>
      </c>
      <c r="E1680">
        <v>1.1299999999999999</v>
      </c>
      <c r="F1680">
        <f>COUNTIFS(mdr_rate_cleaned!$A$2:$A$10,B1680,mdr_rate_cleaned!$B$2:$B$10,"&lt;"&amp;C1680,mdr_rate_cleaned!$F$2:$F$10,"&gt;="&amp;C1680)</f>
        <v>1</v>
      </c>
      <c r="G1680">
        <v>3.0000000000000001E-3</v>
      </c>
      <c r="H1680">
        <v>6.29</v>
      </c>
      <c r="I1680" t="s">
        <v>15</v>
      </c>
      <c r="J1680" t="s">
        <v>15</v>
      </c>
      <c r="K1680">
        <v>1.1299999999999999</v>
      </c>
      <c r="L1680">
        <v>0</v>
      </c>
    </row>
    <row r="1681" spans="1:12" x14ac:dyDescent="0.3">
      <c r="A1681" t="s">
        <v>1697</v>
      </c>
      <c r="B1681" t="s">
        <v>21</v>
      </c>
      <c r="C1681">
        <v>5348</v>
      </c>
      <c r="D1681">
        <v>16.04</v>
      </c>
      <c r="E1681">
        <v>2.89</v>
      </c>
      <c r="F1681">
        <f>COUNTIFS(mdr_rate_cleaned!$A$2:$A$10,B1681,mdr_rate_cleaned!$B$2:$B$10,"&lt;"&amp;C1681,mdr_rate_cleaned!$F$2:$F$10,"&gt;="&amp;C1681)</f>
        <v>1</v>
      </c>
      <c r="G1681">
        <v>3.0000000000000001E-3</v>
      </c>
      <c r="H1681">
        <v>16.04</v>
      </c>
      <c r="I1681" t="s">
        <v>15</v>
      </c>
      <c r="J1681" t="s">
        <v>15</v>
      </c>
      <c r="K1681">
        <v>2.89</v>
      </c>
      <c r="L1681">
        <v>0</v>
      </c>
    </row>
    <row r="1682" spans="1:12" x14ac:dyDescent="0.3">
      <c r="A1682" t="s">
        <v>1698</v>
      </c>
      <c r="B1682" t="s">
        <v>13</v>
      </c>
      <c r="C1682">
        <v>599</v>
      </c>
      <c r="D1682">
        <v>11.38</v>
      </c>
      <c r="E1682">
        <v>2.0499999999999998</v>
      </c>
      <c r="F1682">
        <f>COUNTIFS(mdr_rate_cleaned!$A$2:$A$10,B1682,mdr_rate_cleaned!$B$2:$B$10,"&lt;"&amp;C1682,mdr_rate_cleaned!$F$2:$F$10,"&gt;="&amp;C1682)</f>
        <v>1</v>
      </c>
      <c r="G1682">
        <v>1.9E-2</v>
      </c>
      <c r="H1682">
        <v>11.38</v>
      </c>
      <c r="I1682" t="s">
        <v>15</v>
      </c>
      <c r="J1682" t="s">
        <v>15</v>
      </c>
      <c r="K1682">
        <v>2.0499999999999998</v>
      </c>
      <c r="L1682">
        <v>0</v>
      </c>
    </row>
    <row r="1683" spans="1:12" x14ac:dyDescent="0.3">
      <c r="A1683" t="s">
        <v>1699</v>
      </c>
      <c r="B1683" t="s">
        <v>21</v>
      </c>
      <c r="C1683">
        <v>1799</v>
      </c>
      <c r="D1683">
        <v>0</v>
      </c>
      <c r="E1683">
        <v>0</v>
      </c>
      <c r="F1683">
        <f>COUNTIFS(mdr_rate_cleaned!$A$2:$A$10,B1683,mdr_rate_cleaned!$B$2:$B$10,"&lt;"&amp;C1683,mdr_rate_cleaned!$F$2:$F$10,"&gt;="&amp;C1683)</f>
        <v>1</v>
      </c>
      <c r="G1683">
        <v>0</v>
      </c>
      <c r="H1683">
        <v>0</v>
      </c>
      <c r="I1683" t="s">
        <v>15</v>
      </c>
      <c r="J1683" t="s">
        <v>15</v>
      </c>
      <c r="K1683">
        <v>0</v>
      </c>
      <c r="L1683">
        <v>0</v>
      </c>
    </row>
    <row r="1684" spans="1:12" x14ac:dyDescent="0.3">
      <c r="A1684" t="s">
        <v>1700</v>
      </c>
      <c r="B1684" t="s">
        <v>17</v>
      </c>
      <c r="C1684">
        <v>5298</v>
      </c>
      <c r="D1684">
        <v>84.77</v>
      </c>
      <c r="E1684">
        <v>15.26</v>
      </c>
      <c r="F1684">
        <f>COUNTIFS(mdr_rate_cleaned!$A$2:$A$10,B1684,mdr_rate_cleaned!$B$2:$B$10,"&lt;"&amp;C1684,mdr_rate_cleaned!$F$2:$F$10,"&gt;="&amp;C1684)</f>
        <v>1</v>
      </c>
      <c r="G1684">
        <v>1.6E-2</v>
      </c>
      <c r="H1684">
        <v>84.77</v>
      </c>
      <c r="I1684" t="s">
        <v>15</v>
      </c>
      <c r="J1684" t="s">
        <v>15</v>
      </c>
      <c r="K1684">
        <v>15.26</v>
      </c>
      <c r="L1684">
        <v>0</v>
      </c>
    </row>
    <row r="1685" spans="1:12" x14ac:dyDescent="0.3">
      <c r="A1685" t="s">
        <v>1701</v>
      </c>
      <c r="B1685" t="s">
        <v>39</v>
      </c>
      <c r="C1685">
        <v>3098</v>
      </c>
      <c r="D1685">
        <v>37.18</v>
      </c>
      <c r="E1685">
        <v>6.69</v>
      </c>
      <c r="F1685">
        <f>COUNTIFS(mdr_rate_cleaned!$A$2:$A$10,B1685,mdr_rate_cleaned!$B$2:$B$10,"&lt;"&amp;C1685,mdr_rate_cleaned!$F$2:$F$10,"&gt;="&amp;C1685)</f>
        <v>1</v>
      </c>
      <c r="G1685">
        <v>1.2E-2</v>
      </c>
      <c r="H1685">
        <v>37.18</v>
      </c>
      <c r="I1685" t="s">
        <v>15</v>
      </c>
      <c r="J1685" t="s">
        <v>15</v>
      </c>
      <c r="K1685">
        <v>6.69</v>
      </c>
      <c r="L1685">
        <v>0</v>
      </c>
    </row>
    <row r="1686" spans="1:12" x14ac:dyDescent="0.3">
      <c r="A1686" t="s">
        <v>1702</v>
      </c>
      <c r="B1686" t="s">
        <v>17</v>
      </c>
      <c r="C1686">
        <v>3098</v>
      </c>
      <c r="D1686">
        <v>49.57</v>
      </c>
      <c r="E1686">
        <v>8.92</v>
      </c>
      <c r="F1686">
        <f>COUNTIFS(mdr_rate_cleaned!$A$2:$A$10,B1686,mdr_rate_cleaned!$B$2:$B$10,"&lt;"&amp;C1686,mdr_rate_cleaned!$F$2:$F$10,"&gt;="&amp;C1686)</f>
        <v>1</v>
      </c>
      <c r="G1686">
        <v>1.6E-2</v>
      </c>
      <c r="H1686">
        <v>49.57</v>
      </c>
      <c r="I1686" t="s">
        <v>15</v>
      </c>
      <c r="J1686" t="s">
        <v>15</v>
      </c>
      <c r="K1686">
        <v>8.92</v>
      </c>
      <c r="L1686">
        <v>0</v>
      </c>
    </row>
    <row r="1687" spans="1:12" x14ac:dyDescent="0.3">
      <c r="A1687" t="s">
        <v>1703</v>
      </c>
      <c r="B1687" t="s">
        <v>17</v>
      </c>
      <c r="C1687">
        <v>2499</v>
      </c>
      <c r="D1687">
        <v>39.979999999999997</v>
      </c>
      <c r="E1687">
        <v>7.2</v>
      </c>
      <c r="F1687">
        <f>COUNTIFS(mdr_rate_cleaned!$A$2:$A$10,B1687,mdr_rate_cleaned!$B$2:$B$10,"&lt;"&amp;C1687,mdr_rate_cleaned!$F$2:$F$10,"&gt;="&amp;C1687)</f>
        <v>1</v>
      </c>
      <c r="G1687">
        <v>1.6E-2</v>
      </c>
      <c r="H1687">
        <v>39.979999999999997</v>
      </c>
      <c r="I1687" t="s">
        <v>15</v>
      </c>
      <c r="J1687" t="s">
        <v>15</v>
      </c>
      <c r="K1687">
        <v>7.2</v>
      </c>
      <c r="L1687">
        <v>0</v>
      </c>
    </row>
    <row r="1688" spans="1:12" x14ac:dyDescent="0.3">
      <c r="A1688" t="s">
        <v>1704</v>
      </c>
      <c r="B1688" t="s">
        <v>21</v>
      </c>
      <c r="C1688">
        <v>2999</v>
      </c>
      <c r="D1688">
        <v>9</v>
      </c>
      <c r="E1688">
        <v>1.62</v>
      </c>
      <c r="F1688">
        <f>COUNTIFS(mdr_rate_cleaned!$A$2:$A$10,B1688,mdr_rate_cleaned!$B$2:$B$10,"&lt;"&amp;C1688,mdr_rate_cleaned!$F$2:$F$10,"&gt;="&amp;C1688)</f>
        <v>1</v>
      </c>
      <c r="G1688">
        <v>3.0000000000000001E-3</v>
      </c>
      <c r="H1688">
        <v>9</v>
      </c>
      <c r="I1688" t="s">
        <v>15</v>
      </c>
      <c r="J1688" t="s">
        <v>15</v>
      </c>
      <c r="K1688">
        <v>1.62</v>
      </c>
      <c r="L1688">
        <v>0</v>
      </c>
    </row>
    <row r="1689" spans="1:12" x14ac:dyDescent="0.3">
      <c r="A1689" t="s">
        <v>1705</v>
      </c>
      <c r="B1689" t="s">
        <v>17</v>
      </c>
      <c r="C1689">
        <v>299</v>
      </c>
      <c r="D1689">
        <v>5.38</v>
      </c>
      <c r="E1689">
        <v>0.97</v>
      </c>
      <c r="F1689">
        <f>COUNTIFS(mdr_rate_cleaned!$A$2:$A$10,B1689,mdr_rate_cleaned!$B$2:$B$10,"&lt;"&amp;C1689,mdr_rate_cleaned!$F$2:$F$10,"&gt;="&amp;C1689)</f>
        <v>1</v>
      </c>
      <c r="G1689">
        <v>1.7999999999999999E-2</v>
      </c>
      <c r="H1689">
        <v>5.38</v>
      </c>
      <c r="I1689" t="s">
        <v>15</v>
      </c>
      <c r="J1689" t="s">
        <v>15</v>
      </c>
      <c r="K1689">
        <v>0.97</v>
      </c>
      <c r="L1689">
        <v>0</v>
      </c>
    </row>
    <row r="1690" spans="1:12" x14ac:dyDescent="0.3">
      <c r="A1690" t="s">
        <v>1706</v>
      </c>
      <c r="B1690" t="s">
        <v>21</v>
      </c>
      <c r="C1690">
        <v>3298</v>
      </c>
      <c r="D1690">
        <v>9.89</v>
      </c>
      <c r="E1690">
        <v>1.78</v>
      </c>
      <c r="F1690">
        <f>COUNTIFS(mdr_rate_cleaned!$A$2:$A$10,B1690,mdr_rate_cleaned!$B$2:$B$10,"&lt;"&amp;C1690,mdr_rate_cleaned!$F$2:$F$10,"&gt;="&amp;C1690)</f>
        <v>1</v>
      </c>
      <c r="G1690">
        <v>3.0000000000000001E-3</v>
      </c>
      <c r="H1690">
        <v>9.89</v>
      </c>
      <c r="I1690" t="s">
        <v>15</v>
      </c>
      <c r="J1690" t="s">
        <v>15</v>
      </c>
      <c r="K1690">
        <v>1.78</v>
      </c>
      <c r="L1690">
        <v>0</v>
      </c>
    </row>
    <row r="1691" spans="1:12" x14ac:dyDescent="0.3">
      <c r="A1691" t="s">
        <v>1707</v>
      </c>
      <c r="B1691" t="s">
        <v>13</v>
      </c>
      <c r="C1691">
        <v>2499</v>
      </c>
      <c r="D1691">
        <v>59.98</v>
      </c>
      <c r="E1691">
        <v>10.8</v>
      </c>
      <c r="F1691">
        <f>COUNTIFS(mdr_rate_cleaned!$A$2:$A$10,B1691,mdr_rate_cleaned!$B$2:$B$10,"&lt;"&amp;C1691,mdr_rate_cleaned!$F$2:$F$10,"&gt;="&amp;C1691)</f>
        <v>1</v>
      </c>
      <c r="G1691">
        <v>1.7000000000000001E-2</v>
      </c>
      <c r="H1691">
        <v>42.48</v>
      </c>
      <c r="I1691" t="s">
        <v>14</v>
      </c>
      <c r="J1691" t="s">
        <v>15</v>
      </c>
      <c r="K1691">
        <v>7.65</v>
      </c>
      <c r="L1691">
        <v>20.65</v>
      </c>
    </row>
    <row r="1692" spans="1:12" x14ac:dyDescent="0.3">
      <c r="A1692" t="s">
        <v>1708</v>
      </c>
      <c r="B1692" t="s">
        <v>17</v>
      </c>
      <c r="C1692">
        <v>2499</v>
      </c>
      <c r="D1692">
        <v>39.979999999999997</v>
      </c>
      <c r="E1692">
        <v>7.2</v>
      </c>
      <c r="F1692">
        <f>COUNTIFS(mdr_rate_cleaned!$A$2:$A$10,B1692,mdr_rate_cleaned!$B$2:$B$10,"&lt;"&amp;C1692,mdr_rate_cleaned!$F$2:$F$10,"&gt;="&amp;C1692)</f>
        <v>1</v>
      </c>
      <c r="G1692">
        <v>1.6E-2</v>
      </c>
      <c r="H1692">
        <v>39.979999999999997</v>
      </c>
      <c r="I1692" t="s">
        <v>15</v>
      </c>
      <c r="J1692" t="s">
        <v>15</v>
      </c>
      <c r="K1692">
        <v>7.2</v>
      </c>
      <c r="L1692">
        <v>0</v>
      </c>
    </row>
    <row r="1693" spans="1:12" x14ac:dyDescent="0.3">
      <c r="A1693" t="s">
        <v>1709</v>
      </c>
      <c r="B1693" t="s">
        <v>21</v>
      </c>
      <c r="C1693">
        <v>1299</v>
      </c>
      <c r="D1693">
        <v>0</v>
      </c>
      <c r="E1693">
        <v>0</v>
      </c>
      <c r="F1693">
        <f>COUNTIFS(mdr_rate_cleaned!$A$2:$A$10,B1693,mdr_rate_cleaned!$B$2:$B$10,"&lt;"&amp;C1693,mdr_rate_cleaned!$F$2:$F$10,"&gt;="&amp;C1693)</f>
        <v>1</v>
      </c>
      <c r="G1693">
        <v>0</v>
      </c>
      <c r="H1693">
        <v>0</v>
      </c>
      <c r="I1693" t="s">
        <v>15</v>
      </c>
      <c r="J1693" t="s">
        <v>15</v>
      </c>
      <c r="K1693">
        <v>0</v>
      </c>
      <c r="L1693">
        <v>0</v>
      </c>
    </row>
    <row r="1694" spans="1:12" x14ac:dyDescent="0.3">
      <c r="A1694" t="s">
        <v>1710</v>
      </c>
      <c r="B1694" t="s">
        <v>13</v>
      </c>
      <c r="C1694">
        <v>3997</v>
      </c>
      <c r="D1694">
        <v>67.95</v>
      </c>
      <c r="E1694">
        <v>12.23</v>
      </c>
      <c r="F1694">
        <f>COUNTIFS(mdr_rate_cleaned!$A$2:$A$10,B1694,mdr_rate_cleaned!$B$2:$B$10,"&lt;"&amp;C1694,mdr_rate_cleaned!$F$2:$F$10,"&gt;="&amp;C1694)</f>
        <v>1</v>
      </c>
      <c r="G1694">
        <v>1.7000000000000001E-2</v>
      </c>
      <c r="H1694">
        <v>67.95</v>
      </c>
      <c r="I1694" t="s">
        <v>15</v>
      </c>
      <c r="J1694" t="s">
        <v>15</v>
      </c>
      <c r="K1694">
        <v>12.23</v>
      </c>
      <c r="L1694">
        <v>0</v>
      </c>
    </row>
    <row r="1695" spans="1:12" x14ac:dyDescent="0.3">
      <c r="A1695" t="s">
        <v>1711</v>
      </c>
      <c r="B1695" t="s">
        <v>21</v>
      </c>
      <c r="C1695">
        <v>349</v>
      </c>
      <c r="D1695">
        <v>0</v>
      </c>
      <c r="E1695">
        <v>0</v>
      </c>
      <c r="F1695">
        <f>COUNTIFS(mdr_rate_cleaned!$A$2:$A$10,B1695,mdr_rate_cleaned!$B$2:$B$10,"&lt;"&amp;C1695,mdr_rate_cleaned!$F$2:$F$10,"&gt;="&amp;C1695)</f>
        <v>1</v>
      </c>
      <c r="G1695">
        <v>0</v>
      </c>
      <c r="H1695">
        <v>0</v>
      </c>
      <c r="I1695" t="s">
        <v>15</v>
      </c>
      <c r="J1695" t="s">
        <v>15</v>
      </c>
      <c r="K1695">
        <v>0</v>
      </c>
      <c r="L1695">
        <v>0</v>
      </c>
    </row>
    <row r="1696" spans="1:12" x14ac:dyDescent="0.3">
      <c r="A1696" t="s">
        <v>1712</v>
      </c>
      <c r="B1696" t="s">
        <v>21</v>
      </c>
      <c r="C1696">
        <v>4798</v>
      </c>
      <c r="D1696">
        <v>14.39</v>
      </c>
      <c r="E1696">
        <v>2.59</v>
      </c>
      <c r="F1696">
        <f>COUNTIFS(mdr_rate_cleaned!$A$2:$A$10,B1696,mdr_rate_cleaned!$B$2:$B$10,"&lt;"&amp;C1696,mdr_rate_cleaned!$F$2:$F$10,"&gt;="&amp;C1696)</f>
        <v>1</v>
      </c>
      <c r="G1696">
        <v>3.0000000000000001E-3</v>
      </c>
      <c r="H1696">
        <v>14.39</v>
      </c>
      <c r="I1696" t="s">
        <v>15</v>
      </c>
      <c r="J1696" t="s">
        <v>15</v>
      </c>
      <c r="K1696">
        <v>2.59</v>
      </c>
      <c r="L1696">
        <v>0</v>
      </c>
    </row>
    <row r="1697" spans="1:12" x14ac:dyDescent="0.3">
      <c r="A1697" t="s">
        <v>1713</v>
      </c>
      <c r="B1697" t="s">
        <v>21</v>
      </c>
      <c r="C1697">
        <v>1898</v>
      </c>
      <c r="D1697">
        <v>0</v>
      </c>
      <c r="E1697">
        <v>0</v>
      </c>
      <c r="F1697">
        <f>COUNTIFS(mdr_rate_cleaned!$A$2:$A$10,B1697,mdr_rate_cleaned!$B$2:$B$10,"&lt;"&amp;C1697,mdr_rate_cleaned!$F$2:$F$10,"&gt;="&amp;C1697)</f>
        <v>1</v>
      </c>
      <c r="G1697">
        <v>0</v>
      </c>
      <c r="H1697">
        <v>0</v>
      </c>
      <c r="I1697" t="s">
        <v>15</v>
      </c>
      <c r="J1697" t="s">
        <v>15</v>
      </c>
      <c r="K1697">
        <v>0</v>
      </c>
      <c r="L1697">
        <v>0</v>
      </c>
    </row>
    <row r="1698" spans="1:12" x14ac:dyDescent="0.3">
      <c r="A1698" t="s">
        <v>1714</v>
      </c>
      <c r="B1698" t="s">
        <v>17</v>
      </c>
      <c r="C1698">
        <v>948</v>
      </c>
      <c r="D1698">
        <v>17.059999999999999</v>
      </c>
      <c r="E1698">
        <v>3.07</v>
      </c>
      <c r="F1698">
        <f>COUNTIFS(mdr_rate_cleaned!$A$2:$A$10,B1698,mdr_rate_cleaned!$B$2:$B$10,"&lt;"&amp;C1698,mdr_rate_cleaned!$F$2:$F$10,"&gt;="&amp;C1698)</f>
        <v>1</v>
      </c>
      <c r="G1698">
        <v>1.7999999999999999E-2</v>
      </c>
      <c r="H1698">
        <v>17.059999999999999</v>
      </c>
      <c r="I1698" t="s">
        <v>15</v>
      </c>
      <c r="J1698" t="s">
        <v>15</v>
      </c>
      <c r="K1698">
        <v>3.07</v>
      </c>
      <c r="L1698">
        <v>0</v>
      </c>
    </row>
    <row r="1699" spans="1:12" x14ac:dyDescent="0.3">
      <c r="A1699" t="s">
        <v>1715</v>
      </c>
      <c r="B1699" t="s">
        <v>21</v>
      </c>
      <c r="C1699">
        <v>3499</v>
      </c>
      <c r="D1699">
        <v>10.5</v>
      </c>
      <c r="E1699">
        <v>1.89</v>
      </c>
      <c r="F1699">
        <f>COUNTIFS(mdr_rate_cleaned!$A$2:$A$10,B1699,mdr_rate_cleaned!$B$2:$B$10,"&lt;"&amp;C1699,mdr_rate_cleaned!$F$2:$F$10,"&gt;="&amp;C1699)</f>
        <v>1</v>
      </c>
      <c r="G1699">
        <v>3.0000000000000001E-3</v>
      </c>
      <c r="H1699">
        <v>10.5</v>
      </c>
      <c r="I1699" t="s">
        <v>15</v>
      </c>
      <c r="J1699" t="s">
        <v>15</v>
      </c>
      <c r="K1699">
        <v>1.89</v>
      </c>
      <c r="L1699">
        <v>0</v>
      </c>
    </row>
    <row r="1700" spans="1:12" x14ac:dyDescent="0.3">
      <c r="A1700" t="s">
        <v>1716</v>
      </c>
      <c r="B1700" t="s">
        <v>21</v>
      </c>
      <c r="C1700">
        <v>4999</v>
      </c>
      <c r="D1700">
        <v>15</v>
      </c>
      <c r="E1700">
        <v>2.7</v>
      </c>
      <c r="F1700">
        <f>COUNTIFS(mdr_rate_cleaned!$A$2:$A$10,B1700,mdr_rate_cleaned!$B$2:$B$10,"&lt;"&amp;C1700,mdr_rate_cleaned!$F$2:$F$10,"&gt;="&amp;C1700)</f>
        <v>1</v>
      </c>
      <c r="G1700">
        <v>3.0000000000000001E-3</v>
      </c>
      <c r="H1700">
        <v>15</v>
      </c>
      <c r="I1700" t="s">
        <v>15</v>
      </c>
      <c r="J1700" t="s">
        <v>15</v>
      </c>
      <c r="K1700">
        <v>2.7</v>
      </c>
      <c r="L1700">
        <v>0</v>
      </c>
    </row>
    <row r="1701" spans="1:12" x14ac:dyDescent="0.3">
      <c r="A1701" t="s">
        <v>1717</v>
      </c>
      <c r="B1701" t="s">
        <v>21</v>
      </c>
      <c r="C1701">
        <v>4397</v>
      </c>
      <c r="D1701">
        <v>13.19</v>
      </c>
      <c r="E1701">
        <v>2.37</v>
      </c>
      <c r="F1701">
        <f>COUNTIFS(mdr_rate_cleaned!$A$2:$A$10,B1701,mdr_rate_cleaned!$B$2:$B$10,"&lt;"&amp;C1701,mdr_rate_cleaned!$F$2:$F$10,"&gt;="&amp;C1701)</f>
        <v>1</v>
      </c>
      <c r="G1701">
        <v>3.0000000000000001E-3</v>
      </c>
      <c r="H1701">
        <v>13.19</v>
      </c>
      <c r="I1701" t="s">
        <v>15</v>
      </c>
      <c r="J1701" t="s">
        <v>15</v>
      </c>
      <c r="K1701">
        <v>2.37</v>
      </c>
      <c r="L1701">
        <v>0</v>
      </c>
    </row>
    <row r="1702" spans="1:12" x14ac:dyDescent="0.3">
      <c r="A1702" t="s">
        <v>1718</v>
      </c>
      <c r="B1702" t="s">
        <v>21</v>
      </c>
      <c r="C1702">
        <v>2398</v>
      </c>
      <c r="D1702">
        <v>7.19</v>
      </c>
      <c r="E1702">
        <v>1.29</v>
      </c>
      <c r="F1702">
        <f>COUNTIFS(mdr_rate_cleaned!$A$2:$A$10,B1702,mdr_rate_cleaned!$B$2:$B$10,"&lt;"&amp;C1702,mdr_rate_cleaned!$F$2:$F$10,"&gt;="&amp;C1702)</f>
        <v>1</v>
      </c>
      <c r="G1702">
        <v>3.0000000000000001E-3</v>
      </c>
      <c r="H1702">
        <v>7.19</v>
      </c>
      <c r="I1702" t="s">
        <v>15</v>
      </c>
      <c r="J1702" t="s">
        <v>15</v>
      </c>
      <c r="K1702">
        <v>1.29</v>
      </c>
      <c r="L1702">
        <v>0</v>
      </c>
    </row>
    <row r="1703" spans="1:12" x14ac:dyDescent="0.3">
      <c r="A1703" t="s">
        <v>1719</v>
      </c>
      <c r="B1703" t="s">
        <v>21</v>
      </c>
      <c r="C1703">
        <v>3098</v>
      </c>
      <c r="D1703">
        <v>9.2899999999999991</v>
      </c>
      <c r="E1703">
        <v>1.67</v>
      </c>
      <c r="F1703">
        <f>COUNTIFS(mdr_rate_cleaned!$A$2:$A$10,B1703,mdr_rate_cleaned!$B$2:$B$10,"&lt;"&amp;C1703,mdr_rate_cleaned!$F$2:$F$10,"&gt;="&amp;C1703)</f>
        <v>1</v>
      </c>
      <c r="G1703">
        <v>3.0000000000000001E-3</v>
      </c>
      <c r="H1703">
        <v>9.2899999999999991</v>
      </c>
      <c r="I1703" t="s">
        <v>15</v>
      </c>
      <c r="J1703" t="s">
        <v>15</v>
      </c>
      <c r="K1703">
        <v>1.67</v>
      </c>
      <c r="L1703">
        <v>0</v>
      </c>
    </row>
    <row r="1704" spans="1:12" x14ac:dyDescent="0.3">
      <c r="A1704" t="s">
        <v>1720</v>
      </c>
      <c r="B1704" t="s">
        <v>39</v>
      </c>
      <c r="C1704">
        <v>499</v>
      </c>
      <c r="D1704">
        <v>7.49</v>
      </c>
      <c r="E1704">
        <v>1.35</v>
      </c>
      <c r="F1704">
        <f>COUNTIFS(mdr_rate_cleaned!$A$2:$A$10,B1704,mdr_rate_cleaned!$B$2:$B$10,"&lt;"&amp;C1704,mdr_rate_cleaned!$F$2:$F$10,"&gt;="&amp;C1704)</f>
        <v>1</v>
      </c>
      <c r="G1704">
        <v>1.4999999999999999E-2</v>
      </c>
      <c r="H1704">
        <v>7.49</v>
      </c>
      <c r="I1704" t="s">
        <v>15</v>
      </c>
      <c r="J1704" t="s">
        <v>15</v>
      </c>
      <c r="K1704">
        <v>1.35</v>
      </c>
      <c r="L1704">
        <v>0</v>
      </c>
    </row>
    <row r="1705" spans="1:12" x14ac:dyDescent="0.3">
      <c r="A1705" t="s">
        <v>1721</v>
      </c>
      <c r="B1705" t="s">
        <v>21</v>
      </c>
      <c r="C1705">
        <v>1598</v>
      </c>
      <c r="D1705">
        <v>0</v>
      </c>
      <c r="E1705">
        <v>0</v>
      </c>
      <c r="F1705">
        <f>COUNTIFS(mdr_rate_cleaned!$A$2:$A$10,B1705,mdr_rate_cleaned!$B$2:$B$10,"&lt;"&amp;C1705,mdr_rate_cleaned!$F$2:$F$10,"&gt;="&amp;C1705)</f>
        <v>1</v>
      </c>
      <c r="G1705">
        <v>0</v>
      </c>
      <c r="H1705">
        <v>0</v>
      </c>
      <c r="I1705" t="s">
        <v>15</v>
      </c>
      <c r="J1705" t="s">
        <v>15</v>
      </c>
      <c r="K1705">
        <v>0</v>
      </c>
      <c r="L1705">
        <v>0</v>
      </c>
    </row>
    <row r="1706" spans="1:12" x14ac:dyDescent="0.3">
      <c r="A1706" t="s">
        <v>1722</v>
      </c>
      <c r="B1706" t="s">
        <v>21</v>
      </c>
      <c r="C1706">
        <v>1598</v>
      </c>
      <c r="D1706">
        <v>0</v>
      </c>
      <c r="E1706">
        <v>0</v>
      </c>
      <c r="F1706">
        <f>COUNTIFS(mdr_rate_cleaned!$A$2:$A$10,B1706,mdr_rate_cleaned!$B$2:$B$10,"&lt;"&amp;C1706,mdr_rate_cleaned!$F$2:$F$10,"&gt;="&amp;C1706)</f>
        <v>1</v>
      </c>
      <c r="G1706">
        <v>0</v>
      </c>
      <c r="H1706">
        <v>0</v>
      </c>
      <c r="I1706" t="s">
        <v>15</v>
      </c>
      <c r="J1706" t="s">
        <v>15</v>
      </c>
      <c r="K1706">
        <v>0</v>
      </c>
      <c r="L1706">
        <v>0</v>
      </c>
    </row>
    <row r="1707" spans="1:12" x14ac:dyDescent="0.3">
      <c r="A1707" t="s">
        <v>1723</v>
      </c>
      <c r="B1707" t="s">
        <v>17</v>
      </c>
      <c r="C1707">
        <v>2147</v>
      </c>
      <c r="D1707">
        <v>34.35</v>
      </c>
      <c r="E1707">
        <v>6.18</v>
      </c>
      <c r="F1707">
        <f>COUNTIFS(mdr_rate_cleaned!$A$2:$A$10,B1707,mdr_rate_cleaned!$B$2:$B$10,"&lt;"&amp;C1707,mdr_rate_cleaned!$F$2:$F$10,"&gt;="&amp;C1707)</f>
        <v>1</v>
      </c>
      <c r="G1707">
        <v>1.6E-2</v>
      </c>
      <c r="H1707">
        <v>34.35</v>
      </c>
      <c r="I1707" t="s">
        <v>15</v>
      </c>
      <c r="J1707" t="s">
        <v>15</v>
      </c>
      <c r="K1707">
        <v>6.18</v>
      </c>
      <c r="L1707">
        <v>0</v>
      </c>
    </row>
    <row r="1708" spans="1:12" x14ac:dyDescent="0.3">
      <c r="A1708" t="s">
        <v>1724</v>
      </c>
      <c r="B1708" t="s">
        <v>21</v>
      </c>
      <c r="C1708">
        <v>3098</v>
      </c>
      <c r="D1708">
        <v>9.2899999999999991</v>
      </c>
      <c r="E1708">
        <v>1.67</v>
      </c>
      <c r="F1708">
        <f>COUNTIFS(mdr_rate_cleaned!$A$2:$A$10,B1708,mdr_rate_cleaned!$B$2:$B$10,"&lt;"&amp;C1708,mdr_rate_cleaned!$F$2:$F$10,"&gt;="&amp;C1708)</f>
        <v>1</v>
      </c>
      <c r="G1708">
        <v>3.0000000000000001E-3</v>
      </c>
      <c r="H1708">
        <v>9.2899999999999991</v>
      </c>
      <c r="I1708" t="s">
        <v>15</v>
      </c>
      <c r="J1708" t="s">
        <v>15</v>
      </c>
      <c r="K1708">
        <v>1.67</v>
      </c>
      <c r="L1708">
        <v>0</v>
      </c>
    </row>
    <row r="1709" spans="1:12" x14ac:dyDescent="0.3">
      <c r="A1709" t="s">
        <v>1725</v>
      </c>
      <c r="B1709" t="s">
        <v>21</v>
      </c>
      <c r="C1709">
        <v>349</v>
      </c>
      <c r="D1709">
        <v>0</v>
      </c>
      <c r="E1709">
        <v>0</v>
      </c>
      <c r="F1709">
        <f>COUNTIFS(mdr_rate_cleaned!$A$2:$A$10,B1709,mdr_rate_cleaned!$B$2:$B$10,"&lt;"&amp;C1709,mdr_rate_cleaned!$F$2:$F$10,"&gt;="&amp;C1709)</f>
        <v>1</v>
      </c>
      <c r="G1709">
        <v>0</v>
      </c>
      <c r="H1709">
        <v>0</v>
      </c>
      <c r="I1709" t="s">
        <v>15</v>
      </c>
      <c r="J1709" t="s">
        <v>15</v>
      </c>
      <c r="K1709">
        <v>0</v>
      </c>
      <c r="L1709">
        <v>0</v>
      </c>
    </row>
    <row r="1710" spans="1:12" x14ac:dyDescent="0.3">
      <c r="A1710" t="s">
        <v>1726</v>
      </c>
      <c r="B1710" t="s">
        <v>21</v>
      </c>
      <c r="C1710">
        <v>2798</v>
      </c>
      <c r="D1710">
        <v>8.39</v>
      </c>
      <c r="E1710">
        <v>1.51</v>
      </c>
      <c r="F1710">
        <f>COUNTIFS(mdr_rate_cleaned!$A$2:$A$10,B1710,mdr_rate_cleaned!$B$2:$B$10,"&lt;"&amp;C1710,mdr_rate_cleaned!$F$2:$F$10,"&gt;="&amp;C1710)</f>
        <v>1</v>
      </c>
      <c r="G1710">
        <v>3.0000000000000001E-3</v>
      </c>
      <c r="H1710">
        <v>8.39</v>
      </c>
      <c r="I1710" t="s">
        <v>15</v>
      </c>
      <c r="J1710" t="s">
        <v>15</v>
      </c>
      <c r="K1710">
        <v>1.51</v>
      </c>
      <c r="L1710">
        <v>0</v>
      </c>
    </row>
    <row r="1711" spans="1:12" x14ac:dyDescent="0.3">
      <c r="A1711" t="s">
        <v>1727</v>
      </c>
      <c r="B1711" t="s">
        <v>17</v>
      </c>
      <c r="C1711">
        <v>4999</v>
      </c>
      <c r="D1711">
        <v>79.98</v>
      </c>
      <c r="E1711">
        <v>14.4</v>
      </c>
      <c r="F1711">
        <f>COUNTIFS(mdr_rate_cleaned!$A$2:$A$10,B1711,mdr_rate_cleaned!$B$2:$B$10,"&lt;"&amp;C1711,mdr_rate_cleaned!$F$2:$F$10,"&gt;="&amp;C1711)</f>
        <v>1</v>
      </c>
      <c r="G1711">
        <v>1.6E-2</v>
      </c>
      <c r="H1711">
        <v>79.98</v>
      </c>
      <c r="I1711" t="s">
        <v>15</v>
      </c>
      <c r="J1711" t="s">
        <v>15</v>
      </c>
      <c r="K1711">
        <v>14.4</v>
      </c>
      <c r="L1711">
        <v>0</v>
      </c>
    </row>
    <row r="1712" spans="1:12" x14ac:dyDescent="0.3">
      <c r="A1712" t="s">
        <v>1728</v>
      </c>
      <c r="B1712" t="s">
        <v>21</v>
      </c>
      <c r="C1712">
        <v>3499</v>
      </c>
      <c r="D1712">
        <v>10.5</v>
      </c>
      <c r="E1712">
        <v>1.89</v>
      </c>
      <c r="F1712">
        <f>COUNTIFS(mdr_rate_cleaned!$A$2:$A$10,B1712,mdr_rate_cleaned!$B$2:$B$10,"&lt;"&amp;C1712,mdr_rate_cleaned!$F$2:$F$10,"&gt;="&amp;C1712)</f>
        <v>1</v>
      </c>
      <c r="G1712">
        <v>3.0000000000000001E-3</v>
      </c>
      <c r="H1712">
        <v>10.5</v>
      </c>
      <c r="I1712" t="s">
        <v>15</v>
      </c>
      <c r="J1712" t="s">
        <v>15</v>
      </c>
      <c r="K1712">
        <v>1.89</v>
      </c>
      <c r="L1712">
        <v>0</v>
      </c>
    </row>
    <row r="1713" spans="1:12" x14ac:dyDescent="0.3">
      <c r="A1713" t="s">
        <v>1729</v>
      </c>
      <c r="B1713" t="s">
        <v>39</v>
      </c>
      <c r="C1713">
        <v>2798</v>
      </c>
      <c r="D1713">
        <v>33.58</v>
      </c>
      <c r="E1713">
        <v>6.04</v>
      </c>
      <c r="F1713">
        <f>COUNTIFS(mdr_rate_cleaned!$A$2:$A$10,B1713,mdr_rate_cleaned!$B$2:$B$10,"&lt;"&amp;C1713,mdr_rate_cleaned!$F$2:$F$10,"&gt;="&amp;C1713)</f>
        <v>1</v>
      </c>
      <c r="G1713">
        <v>1.2E-2</v>
      </c>
      <c r="H1713">
        <v>33.58</v>
      </c>
      <c r="I1713" t="s">
        <v>15</v>
      </c>
      <c r="J1713" t="s">
        <v>15</v>
      </c>
      <c r="K1713">
        <v>6.04</v>
      </c>
      <c r="L1713">
        <v>0</v>
      </c>
    </row>
    <row r="1714" spans="1:12" x14ac:dyDescent="0.3">
      <c r="A1714" t="s">
        <v>1730</v>
      </c>
      <c r="B1714" t="s">
        <v>17</v>
      </c>
      <c r="C1714">
        <v>349</v>
      </c>
      <c r="D1714">
        <v>6.28</v>
      </c>
      <c r="E1714">
        <v>1.1299999999999999</v>
      </c>
      <c r="F1714">
        <f>COUNTIFS(mdr_rate_cleaned!$A$2:$A$10,B1714,mdr_rate_cleaned!$B$2:$B$10,"&lt;"&amp;C1714,mdr_rate_cleaned!$F$2:$F$10,"&gt;="&amp;C1714)</f>
        <v>1</v>
      </c>
      <c r="G1714">
        <v>1.7999999999999999E-2</v>
      </c>
      <c r="H1714">
        <v>6.28</v>
      </c>
      <c r="I1714" t="s">
        <v>15</v>
      </c>
      <c r="J1714" t="s">
        <v>15</v>
      </c>
      <c r="K1714">
        <v>1.1299999999999999</v>
      </c>
      <c r="L1714">
        <v>0</v>
      </c>
    </row>
    <row r="1715" spans="1:12" x14ac:dyDescent="0.3">
      <c r="A1715" t="s">
        <v>1731</v>
      </c>
      <c r="B1715" t="s">
        <v>13</v>
      </c>
      <c r="C1715">
        <v>7999</v>
      </c>
      <c r="D1715">
        <v>135.97999999999999</v>
      </c>
      <c r="E1715">
        <v>24.48</v>
      </c>
      <c r="F1715">
        <f>COUNTIFS(mdr_rate_cleaned!$A$2:$A$10,B1715,mdr_rate_cleaned!$B$2:$B$10,"&lt;"&amp;C1715,mdr_rate_cleaned!$F$2:$F$10,"&gt;="&amp;C1715)</f>
        <v>1</v>
      </c>
      <c r="G1715">
        <v>1.7000000000000001E-2</v>
      </c>
      <c r="H1715">
        <v>135.97999999999999</v>
      </c>
      <c r="I1715" t="s">
        <v>15</v>
      </c>
      <c r="J1715" t="s">
        <v>15</v>
      </c>
      <c r="K1715">
        <v>24.48</v>
      </c>
      <c r="L1715">
        <v>0</v>
      </c>
    </row>
    <row r="1716" spans="1:12" x14ac:dyDescent="0.3">
      <c r="A1716" t="s">
        <v>1732</v>
      </c>
      <c r="B1716" t="s">
        <v>13</v>
      </c>
      <c r="C1716">
        <v>1147</v>
      </c>
      <c r="D1716">
        <v>21.79</v>
      </c>
      <c r="E1716">
        <v>3.92</v>
      </c>
      <c r="F1716">
        <f>COUNTIFS(mdr_rate_cleaned!$A$2:$A$10,B1716,mdr_rate_cleaned!$B$2:$B$10,"&lt;"&amp;C1716,mdr_rate_cleaned!$F$2:$F$10,"&gt;="&amp;C1716)</f>
        <v>1</v>
      </c>
      <c r="G1716">
        <v>1.9E-2</v>
      </c>
      <c r="H1716">
        <v>21.79</v>
      </c>
      <c r="I1716" t="s">
        <v>15</v>
      </c>
      <c r="J1716" t="s">
        <v>15</v>
      </c>
      <c r="K1716">
        <v>3.92</v>
      </c>
      <c r="L1716">
        <v>0</v>
      </c>
    </row>
    <row r="1717" spans="1:12" x14ac:dyDescent="0.3">
      <c r="A1717" t="s">
        <v>1733</v>
      </c>
      <c r="B1717" t="s">
        <v>21</v>
      </c>
      <c r="C1717">
        <v>1798</v>
      </c>
      <c r="D1717">
        <v>0</v>
      </c>
      <c r="E1717">
        <v>0</v>
      </c>
      <c r="F1717">
        <f>COUNTIFS(mdr_rate_cleaned!$A$2:$A$10,B1717,mdr_rate_cleaned!$B$2:$B$10,"&lt;"&amp;C1717,mdr_rate_cleaned!$F$2:$F$10,"&gt;="&amp;C1717)</f>
        <v>1</v>
      </c>
      <c r="G1717">
        <v>0</v>
      </c>
      <c r="H1717">
        <v>0</v>
      </c>
      <c r="I1717" t="s">
        <v>15</v>
      </c>
      <c r="J1717" t="s">
        <v>15</v>
      </c>
      <c r="K1717">
        <v>0</v>
      </c>
      <c r="L1717">
        <v>0</v>
      </c>
    </row>
    <row r="1718" spans="1:12" x14ac:dyDescent="0.3">
      <c r="A1718" t="s">
        <v>1734</v>
      </c>
      <c r="B1718" t="s">
        <v>17</v>
      </c>
      <c r="C1718">
        <v>11297</v>
      </c>
      <c r="D1718">
        <v>180.75</v>
      </c>
      <c r="E1718">
        <v>32.54</v>
      </c>
      <c r="F1718">
        <f>COUNTIFS(mdr_rate_cleaned!$A$2:$A$10,B1718,mdr_rate_cleaned!$B$2:$B$10,"&lt;"&amp;C1718,mdr_rate_cleaned!$F$2:$F$10,"&gt;="&amp;C1718)</f>
        <v>1</v>
      </c>
      <c r="G1718">
        <v>1.6E-2</v>
      </c>
      <c r="H1718">
        <v>180.75</v>
      </c>
      <c r="I1718" t="s">
        <v>15</v>
      </c>
      <c r="J1718" t="s">
        <v>15</v>
      </c>
      <c r="K1718">
        <v>32.54</v>
      </c>
      <c r="L1718">
        <v>0</v>
      </c>
    </row>
    <row r="1719" spans="1:12" x14ac:dyDescent="0.3">
      <c r="A1719" t="s">
        <v>1735</v>
      </c>
      <c r="B1719" t="s">
        <v>21</v>
      </c>
      <c r="C1719">
        <v>10847</v>
      </c>
      <c r="D1719">
        <v>32.54</v>
      </c>
      <c r="E1719">
        <v>5.86</v>
      </c>
      <c r="F1719">
        <f>COUNTIFS(mdr_rate_cleaned!$A$2:$A$10,B1719,mdr_rate_cleaned!$B$2:$B$10,"&lt;"&amp;C1719,mdr_rate_cleaned!$F$2:$F$10,"&gt;="&amp;C1719)</f>
        <v>1</v>
      </c>
      <c r="G1719">
        <v>3.0000000000000001E-3</v>
      </c>
      <c r="H1719">
        <v>32.54</v>
      </c>
      <c r="I1719" t="s">
        <v>15</v>
      </c>
      <c r="J1719" t="s">
        <v>15</v>
      </c>
      <c r="K1719">
        <v>5.86</v>
      </c>
      <c r="L1719">
        <v>0</v>
      </c>
    </row>
    <row r="1720" spans="1:12" x14ac:dyDescent="0.3">
      <c r="A1720" t="s">
        <v>1736</v>
      </c>
      <c r="B1720" t="s">
        <v>17</v>
      </c>
      <c r="C1720">
        <v>799</v>
      </c>
      <c r="D1720">
        <v>14.38</v>
      </c>
      <c r="E1720">
        <v>2.59</v>
      </c>
      <c r="F1720">
        <f>COUNTIFS(mdr_rate_cleaned!$A$2:$A$10,B1720,mdr_rate_cleaned!$B$2:$B$10,"&lt;"&amp;C1720,mdr_rate_cleaned!$F$2:$F$10,"&gt;="&amp;C1720)</f>
        <v>1</v>
      </c>
      <c r="G1720">
        <v>1.7999999999999999E-2</v>
      </c>
      <c r="H1720">
        <v>14.38</v>
      </c>
      <c r="I1720" t="s">
        <v>15</v>
      </c>
      <c r="J1720" t="s">
        <v>15</v>
      </c>
      <c r="K1720">
        <v>2.59</v>
      </c>
      <c r="L1720">
        <v>0</v>
      </c>
    </row>
    <row r="1721" spans="1:12" x14ac:dyDescent="0.3">
      <c r="A1721" t="s">
        <v>1737</v>
      </c>
      <c r="B1721" t="s">
        <v>39</v>
      </c>
      <c r="C1721">
        <v>349</v>
      </c>
      <c r="D1721">
        <v>5.24</v>
      </c>
      <c r="E1721">
        <v>0.94</v>
      </c>
      <c r="F1721">
        <f>COUNTIFS(mdr_rate_cleaned!$A$2:$A$10,B1721,mdr_rate_cleaned!$B$2:$B$10,"&lt;"&amp;C1721,mdr_rate_cleaned!$F$2:$F$10,"&gt;="&amp;C1721)</f>
        <v>1</v>
      </c>
      <c r="G1721">
        <v>1.4999999999999999E-2</v>
      </c>
      <c r="H1721">
        <v>5.24</v>
      </c>
      <c r="I1721" t="s">
        <v>15</v>
      </c>
      <c r="J1721" t="s">
        <v>15</v>
      </c>
      <c r="K1721">
        <v>0.94</v>
      </c>
      <c r="L1721">
        <v>0</v>
      </c>
    </row>
    <row r="1722" spans="1:12" x14ac:dyDescent="0.3">
      <c r="A1722" t="s">
        <v>1738</v>
      </c>
      <c r="B1722" t="s">
        <v>21</v>
      </c>
      <c r="C1722">
        <v>1898</v>
      </c>
      <c r="D1722">
        <v>0</v>
      </c>
      <c r="E1722">
        <v>0</v>
      </c>
      <c r="F1722">
        <f>COUNTIFS(mdr_rate_cleaned!$A$2:$A$10,B1722,mdr_rate_cleaned!$B$2:$B$10,"&lt;"&amp;C1722,mdr_rate_cleaned!$F$2:$F$10,"&gt;="&amp;C1722)</f>
        <v>1</v>
      </c>
      <c r="G1722">
        <v>0</v>
      </c>
      <c r="H1722">
        <v>0</v>
      </c>
      <c r="I1722" t="s">
        <v>15</v>
      </c>
      <c r="J1722" t="s">
        <v>15</v>
      </c>
      <c r="K1722">
        <v>0</v>
      </c>
      <c r="L1722">
        <v>0</v>
      </c>
    </row>
    <row r="1723" spans="1:12" x14ac:dyDescent="0.3">
      <c r="A1723" t="s">
        <v>1739</v>
      </c>
      <c r="B1723" t="s">
        <v>13</v>
      </c>
      <c r="C1723">
        <v>18497</v>
      </c>
      <c r="D1723">
        <v>314.45</v>
      </c>
      <c r="E1723">
        <v>56.6</v>
      </c>
      <c r="F1723">
        <f>COUNTIFS(mdr_rate_cleaned!$A$2:$A$10,B1723,mdr_rate_cleaned!$B$2:$B$10,"&lt;"&amp;C1723,mdr_rate_cleaned!$F$2:$F$10,"&gt;="&amp;C1723)</f>
        <v>1</v>
      </c>
      <c r="G1723">
        <v>1.7000000000000001E-2</v>
      </c>
      <c r="H1723">
        <v>314.45</v>
      </c>
      <c r="I1723" t="s">
        <v>15</v>
      </c>
      <c r="J1723" t="s">
        <v>15</v>
      </c>
      <c r="K1723">
        <v>56.6</v>
      </c>
      <c r="L1723">
        <v>0</v>
      </c>
    </row>
    <row r="1724" spans="1:12" x14ac:dyDescent="0.3">
      <c r="A1724" t="s">
        <v>1740</v>
      </c>
      <c r="B1724" t="s">
        <v>39</v>
      </c>
      <c r="C1724">
        <v>2597</v>
      </c>
      <c r="D1724">
        <v>31.16</v>
      </c>
      <c r="E1724">
        <v>5.61</v>
      </c>
      <c r="F1724">
        <f>COUNTIFS(mdr_rate_cleaned!$A$2:$A$10,B1724,mdr_rate_cleaned!$B$2:$B$10,"&lt;"&amp;C1724,mdr_rate_cleaned!$F$2:$F$10,"&gt;="&amp;C1724)</f>
        <v>1</v>
      </c>
      <c r="G1724">
        <v>1.2E-2</v>
      </c>
      <c r="H1724">
        <v>31.16</v>
      </c>
      <c r="I1724" t="s">
        <v>15</v>
      </c>
      <c r="J1724" t="s">
        <v>15</v>
      </c>
      <c r="K1724">
        <v>5.61</v>
      </c>
      <c r="L1724">
        <v>0</v>
      </c>
    </row>
    <row r="1725" spans="1:12" x14ac:dyDescent="0.3">
      <c r="A1725" t="s">
        <v>1741</v>
      </c>
      <c r="B1725" t="s">
        <v>17</v>
      </c>
      <c r="C1725">
        <v>299</v>
      </c>
      <c r="D1725">
        <v>5.38</v>
      </c>
      <c r="E1725">
        <v>0.97</v>
      </c>
      <c r="F1725">
        <f>COUNTIFS(mdr_rate_cleaned!$A$2:$A$10,B1725,mdr_rate_cleaned!$B$2:$B$10,"&lt;"&amp;C1725,mdr_rate_cleaned!$F$2:$F$10,"&gt;="&amp;C1725)</f>
        <v>1</v>
      </c>
      <c r="G1725">
        <v>1.7999999999999999E-2</v>
      </c>
      <c r="H1725">
        <v>5.38</v>
      </c>
      <c r="I1725" t="s">
        <v>15</v>
      </c>
      <c r="J1725" t="s">
        <v>15</v>
      </c>
      <c r="K1725">
        <v>0.97</v>
      </c>
      <c r="L1725">
        <v>0</v>
      </c>
    </row>
    <row r="1726" spans="1:12" x14ac:dyDescent="0.3">
      <c r="A1726" t="s">
        <v>1742</v>
      </c>
      <c r="B1726" t="s">
        <v>21</v>
      </c>
      <c r="C1726">
        <v>3897</v>
      </c>
      <c r="D1726">
        <v>11.69</v>
      </c>
      <c r="E1726">
        <v>2.1</v>
      </c>
      <c r="F1726">
        <f>COUNTIFS(mdr_rate_cleaned!$A$2:$A$10,B1726,mdr_rate_cleaned!$B$2:$B$10,"&lt;"&amp;C1726,mdr_rate_cleaned!$F$2:$F$10,"&gt;="&amp;C1726)</f>
        <v>1</v>
      </c>
      <c r="G1726">
        <v>3.0000000000000001E-3</v>
      </c>
      <c r="H1726">
        <v>11.69</v>
      </c>
      <c r="I1726" t="s">
        <v>15</v>
      </c>
      <c r="J1726" t="s">
        <v>15</v>
      </c>
      <c r="K1726">
        <v>2.1</v>
      </c>
      <c r="L1726">
        <v>0</v>
      </c>
    </row>
    <row r="1727" spans="1:12" x14ac:dyDescent="0.3">
      <c r="A1727" t="s">
        <v>1743</v>
      </c>
      <c r="B1727" t="s">
        <v>17</v>
      </c>
      <c r="C1727">
        <v>1499</v>
      </c>
      <c r="D1727">
        <v>26.98</v>
      </c>
      <c r="E1727">
        <v>4.8600000000000003</v>
      </c>
      <c r="F1727">
        <f>COUNTIFS(mdr_rate_cleaned!$A$2:$A$10,B1727,mdr_rate_cleaned!$B$2:$B$10,"&lt;"&amp;C1727,mdr_rate_cleaned!$F$2:$F$10,"&gt;="&amp;C1727)</f>
        <v>1</v>
      </c>
      <c r="G1727">
        <v>1.7999999999999999E-2</v>
      </c>
      <c r="H1727">
        <v>26.98</v>
      </c>
      <c r="I1727" t="s">
        <v>15</v>
      </c>
      <c r="J1727" t="s">
        <v>15</v>
      </c>
      <c r="K1727">
        <v>4.8600000000000003</v>
      </c>
      <c r="L1727">
        <v>0</v>
      </c>
    </row>
    <row r="1728" spans="1:12" x14ac:dyDescent="0.3">
      <c r="A1728" t="s">
        <v>1744</v>
      </c>
      <c r="B1728" t="s">
        <v>21</v>
      </c>
      <c r="C1728">
        <v>799</v>
      </c>
      <c r="D1728">
        <v>0</v>
      </c>
      <c r="E1728">
        <v>0</v>
      </c>
      <c r="F1728">
        <f>COUNTIFS(mdr_rate_cleaned!$A$2:$A$10,B1728,mdr_rate_cleaned!$B$2:$B$10,"&lt;"&amp;C1728,mdr_rate_cleaned!$F$2:$F$10,"&gt;="&amp;C1728)</f>
        <v>1</v>
      </c>
      <c r="G1728">
        <v>0</v>
      </c>
      <c r="H1728">
        <v>0</v>
      </c>
      <c r="I1728" t="s">
        <v>15</v>
      </c>
      <c r="J1728" t="s">
        <v>15</v>
      </c>
      <c r="K1728">
        <v>0</v>
      </c>
      <c r="L1728">
        <v>0</v>
      </c>
    </row>
    <row r="1729" spans="1:12" x14ac:dyDescent="0.3">
      <c r="A1729" t="s">
        <v>1745</v>
      </c>
      <c r="B1729" t="s">
        <v>39</v>
      </c>
      <c r="C1729">
        <v>799</v>
      </c>
      <c r="D1729">
        <v>11.99</v>
      </c>
      <c r="E1729">
        <v>2.16</v>
      </c>
      <c r="F1729">
        <f>COUNTIFS(mdr_rate_cleaned!$A$2:$A$10,B1729,mdr_rate_cleaned!$B$2:$B$10,"&lt;"&amp;C1729,mdr_rate_cleaned!$F$2:$F$10,"&gt;="&amp;C1729)</f>
        <v>1</v>
      </c>
      <c r="G1729">
        <v>1.4999999999999999E-2</v>
      </c>
      <c r="H1729">
        <v>11.99</v>
      </c>
      <c r="I1729" t="s">
        <v>15</v>
      </c>
      <c r="J1729" t="s">
        <v>15</v>
      </c>
      <c r="K1729">
        <v>2.16</v>
      </c>
      <c r="L1729">
        <v>0</v>
      </c>
    </row>
    <row r="1730" spans="1:12" x14ac:dyDescent="0.3">
      <c r="A1730" t="s">
        <v>1746</v>
      </c>
      <c r="B1730" t="s">
        <v>39</v>
      </c>
      <c r="C1730">
        <v>999</v>
      </c>
      <c r="D1730">
        <v>14.99</v>
      </c>
      <c r="E1730">
        <v>2.7</v>
      </c>
      <c r="F1730">
        <f>COUNTIFS(mdr_rate_cleaned!$A$2:$A$10,B1730,mdr_rate_cleaned!$B$2:$B$10,"&lt;"&amp;C1730,mdr_rate_cleaned!$F$2:$F$10,"&gt;="&amp;C1730)</f>
        <v>1</v>
      </c>
      <c r="G1730">
        <v>1.4999999999999999E-2</v>
      </c>
      <c r="H1730">
        <v>14.99</v>
      </c>
      <c r="I1730" t="s">
        <v>15</v>
      </c>
      <c r="J1730" t="s">
        <v>15</v>
      </c>
      <c r="K1730">
        <v>2.7</v>
      </c>
      <c r="L1730">
        <v>0</v>
      </c>
    </row>
    <row r="1731" spans="1:12" x14ac:dyDescent="0.3">
      <c r="A1731" t="s">
        <v>1747</v>
      </c>
      <c r="B1731" t="s">
        <v>17</v>
      </c>
      <c r="C1731">
        <v>999</v>
      </c>
      <c r="D1731">
        <v>17.98</v>
      </c>
      <c r="E1731">
        <v>3.24</v>
      </c>
      <c r="F1731">
        <f>COUNTIFS(mdr_rate_cleaned!$A$2:$A$10,B1731,mdr_rate_cleaned!$B$2:$B$10,"&lt;"&amp;C1731,mdr_rate_cleaned!$F$2:$F$10,"&gt;="&amp;C1731)</f>
        <v>1</v>
      </c>
      <c r="G1731">
        <v>1.7999999999999999E-2</v>
      </c>
      <c r="H1731">
        <v>17.98</v>
      </c>
      <c r="I1731" t="s">
        <v>15</v>
      </c>
      <c r="J1731" t="s">
        <v>15</v>
      </c>
      <c r="K1731">
        <v>3.24</v>
      </c>
      <c r="L1731">
        <v>0</v>
      </c>
    </row>
    <row r="1732" spans="1:12" x14ac:dyDescent="0.3">
      <c r="A1732" t="s">
        <v>1748</v>
      </c>
      <c r="B1732" t="s">
        <v>21</v>
      </c>
      <c r="C1732">
        <v>599</v>
      </c>
      <c r="D1732">
        <v>0</v>
      </c>
      <c r="E1732">
        <v>0</v>
      </c>
      <c r="F1732">
        <f>COUNTIFS(mdr_rate_cleaned!$A$2:$A$10,B1732,mdr_rate_cleaned!$B$2:$B$10,"&lt;"&amp;C1732,mdr_rate_cleaned!$F$2:$F$10,"&gt;="&amp;C1732)</f>
        <v>1</v>
      </c>
      <c r="G1732">
        <v>0</v>
      </c>
      <c r="H1732">
        <v>0</v>
      </c>
      <c r="I1732" t="s">
        <v>15</v>
      </c>
      <c r="J1732" t="s">
        <v>15</v>
      </c>
      <c r="K1732">
        <v>0</v>
      </c>
      <c r="L1732">
        <v>0</v>
      </c>
    </row>
    <row r="1733" spans="1:12" x14ac:dyDescent="0.3">
      <c r="A1733" t="s">
        <v>1749</v>
      </c>
      <c r="B1733" t="s">
        <v>13</v>
      </c>
      <c r="C1733">
        <v>1897</v>
      </c>
      <c r="D1733">
        <v>36.04</v>
      </c>
      <c r="E1733">
        <v>6.49</v>
      </c>
      <c r="F1733">
        <f>COUNTIFS(mdr_rate_cleaned!$A$2:$A$10,B1733,mdr_rate_cleaned!$B$2:$B$10,"&lt;"&amp;C1733,mdr_rate_cleaned!$F$2:$F$10,"&gt;="&amp;C1733)</f>
        <v>1</v>
      </c>
      <c r="G1733">
        <v>1.9E-2</v>
      </c>
      <c r="H1733">
        <v>36.04</v>
      </c>
      <c r="I1733" t="s">
        <v>15</v>
      </c>
      <c r="J1733" t="s">
        <v>15</v>
      </c>
      <c r="K1733">
        <v>6.49</v>
      </c>
      <c r="L1733">
        <v>0</v>
      </c>
    </row>
    <row r="1734" spans="1:12" x14ac:dyDescent="0.3">
      <c r="A1734" t="s">
        <v>1750</v>
      </c>
      <c r="B1734" t="s">
        <v>39</v>
      </c>
      <c r="C1734">
        <v>999</v>
      </c>
      <c r="D1734">
        <v>14.99</v>
      </c>
      <c r="E1734">
        <v>2.7</v>
      </c>
      <c r="F1734">
        <f>COUNTIFS(mdr_rate_cleaned!$A$2:$A$10,B1734,mdr_rate_cleaned!$B$2:$B$10,"&lt;"&amp;C1734,mdr_rate_cleaned!$F$2:$F$10,"&gt;="&amp;C1734)</f>
        <v>1</v>
      </c>
      <c r="G1734">
        <v>1.4999999999999999E-2</v>
      </c>
      <c r="H1734">
        <v>14.99</v>
      </c>
      <c r="I1734" t="s">
        <v>15</v>
      </c>
      <c r="J1734" t="s">
        <v>15</v>
      </c>
      <c r="K1734">
        <v>2.7</v>
      </c>
      <c r="L1734">
        <v>0</v>
      </c>
    </row>
    <row r="1735" spans="1:12" x14ac:dyDescent="0.3">
      <c r="A1735" t="s">
        <v>1751</v>
      </c>
      <c r="B1735" t="s">
        <v>17</v>
      </c>
      <c r="C1735">
        <v>9798</v>
      </c>
      <c r="D1735">
        <v>156.77000000000001</v>
      </c>
      <c r="E1735">
        <v>28.22</v>
      </c>
      <c r="F1735">
        <f>COUNTIFS(mdr_rate_cleaned!$A$2:$A$10,B1735,mdr_rate_cleaned!$B$2:$B$10,"&lt;"&amp;C1735,mdr_rate_cleaned!$F$2:$F$10,"&gt;="&amp;C1735)</f>
        <v>1</v>
      </c>
      <c r="G1735">
        <v>1.6E-2</v>
      </c>
      <c r="H1735">
        <v>156.77000000000001</v>
      </c>
      <c r="I1735" t="s">
        <v>15</v>
      </c>
      <c r="J1735" t="s">
        <v>15</v>
      </c>
      <c r="K1735">
        <v>28.22</v>
      </c>
      <c r="L1735">
        <v>0</v>
      </c>
    </row>
    <row r="1736" spans="1:12" x14ac:dyDescent="0.3">
      <c r="A1736" t="s">
        <v>1752</v>
      </c>
      <c r="B1736" t="s">
        <v>39</v>
      </c>
      <c r="C1736">
        <v>4999</v>
      </c>
      <c r="D1736">
        <v>59.99</v>
      </c>
      <c r="E1736">
        <v>10.8</v>
      </c>
      <c r="F1736">
        <f>COUNTIFS(mdr_rate_cleaned!$A$2:$A$10,B1736,mdr_rate_cleaned!$B$2:$B$10,"&lt;"&amp;C1736,mdr_rate_cleaned!$F$2:$F$10,"&gt;="&amp;C1736)</f>
        <v>1</v>
      </c>
      <c r="G1736">
        <v>1.2E-2</v>
      </c>
      <c r="H1736">
        <v>59.99</v>
      </c>
      <c r="I1736" t="s">
        <v>15</v>
      </c>
      <c r="J1736" t="s">
        <v>15</v>
      </c>
      <c r="K1736">
        <v>10.8</v>
      </c>
      <c r="L1736">
        <v>0</v>
      </c>
    </row>
    <row r="1737" spans="1:12" x14ac:dyDescent="0.3">
      <c r="A1737" t="s">
        <v>1753</v>
      </c>
      <c r="B1737" t="s">
        <v>21</v>
      </c>
      <c r="C1737">
        <v>4298</v>
      </c>
      <c r="D1737">
        <v>12.89</v>
      </c>
      <c r="E1737">
        <v>2.3199999999999998</v>
      </c>
      <c r="F1737">
        <f>COUNTIFS(mdr_rate_cleaned!$A$2:$A$10,B1737,mdr_rate_cleaned!$B$2:$B$10,"&lt;"&amp;C1737,mdr_rate_cleaned!$F$2:$F$10,"&gt;="&amp;C1737)</f>
        <v>1</v>
      </c>
      <c r="G1737">
        <v>3.0000000000000001E-3</v>
      </c>
      <c r="H1737">
        <v>12.89</v>
      </c>
      <c r="I1737" t="s">
        <v>15</v>
      </c>
      <c r="J1737" t="s">
        <v>15</v>
      </c>
      <c r="K1737">
        <v>2.3199999999999998</v>
      </c>
      <c r="L1737">
        <v>0</v>
      </c>
    </row>
    <row r="1738" spans="1:12" x14ac:dyDescent="0.3">
      <c r="A1738" t="s">
        <v>1754</v>
      </c>
      <c r="B1738" t="s">
        <v>21</v>
      </c>
      <c r="C1738">
        <v>2499</v>
      </c>
      <c r="D1738">
        <v>7.5</v>
      </c>
      <c r="E1738">
        <v>1.35</v>
      </c>
      <c r="F1738">
        <f>COUNTIFS(mdr_rate_cleaned!$A$2:$A$10,B1738,mdr_rate_cleaned!$B$2:$B$10,"&lt;"&amp;C1738,mdr_rate_cleaned!$F$2:$F$10,"&gt;="&amp;C1738)</f>
        <v>1</v>
      </c>
      <c r="G1738">
        <v>3.0000000000000001E-3</v>
      </c>
      <c r="H1738">
        <v>7.5</v>
      </c>
      <c r="I1738" t="s">
        <v>15</v>
      </c>
      <c r="J1738" t="s">
        <v>15</v>
      </c>
      <c r="K1738">
        <v>1.35</v>
      </c>
      <c r="L1738">
        <v>0</v>
      </c>
    </row>
    <row r="1739" spans="1:12" x14ac:dyDescent="0.3">
      <c r="A1739" t="s">
        <v>1755</v>
      </c>
      <c r="B1739" t="s">
        <v>13</v>
      </c>
      <c r="C1739">
        <v>4298</v>
      </c>
      <c r="D1739">
        <v>73.069999999999993</v>
      </c>
      <c r="E1739">
        <v>13.15</v>
      </c>
      <c r="F1739">
        <f>COUNTIFS(mdr_rate_cleaned!$A$2:$A$10,B1739,mdr_rate_cleaned!$B$2:$B$10,"&lt;"&amp;C1739,mdr_rate_cleaned!$F$2:$F$10,"&gt;="&amp;C1739)</f>
        <v>1</v>
      </c>
      <c r="G1739">
        <v>1.7000000000000001E-2</v>
      </c>
      <c r="H1739">
        <v>73.069999999999993</v>
      </c>
      <c r="I1739" t="s">
        <v>15</v>
      </c>
      <c r="J1739" t="s">
        <v>15</v>
      </c>
      <c r="K1739">
        <v>13.15</v>
      </c>
      <c r="L1739">
        <v>0</v>
      </c>
    </row>
    <row r="1740" spans="1:12" x14ac:dyDescent="0.3">
      <c r="A1740" t="s">
        <v>1756</v>
      </c>
      <c r="B1740" t="s">
        <v>21</v>
      </c>
      <c r="C1740">
        <v>5598</v>
      </c>
      <c r="D1740">
        <v>16.79</v>
      </c>
      <c r="E1740">
        <v>3.02</v>
      </c>
      <c r="F1740">
        <f>COUNTIFS(mdr_rate_cleaned!$A$2:$A$10,B1740,mdr_rate_cleaned!$B$2:$B$10,"&lt;"&amp;C1740,mdr_rate_cleaned!$F$2:$F$10,"&gt;="&amp;C1740)</f>
        <v>1</v>
      </c>
      <c r="G1740">
        <v>3.0000000000000001E-3</v>
      </c>
      <c r="H1740">
        <v>16.79</v>
      </c>
      <c r="I1740" t="s">
        <v>15</v>
      </c>
      <c r="J1740" t="s">
        <v>15</v>
      </c>
      <c r="K1740">
        <v>3.02</v>
      </c>
      <c r="L1740">
        <v>0</v>
      </c>
    </row>
    <row r="1741" spans="1:12" x14ac:dyDescent="0.3">
      <c r="A1741" t="s">
        <v>1757</v>
      </c>
      <c r="B1741" t="s">
        <v>13</v>
      </c>
      <c r="C1741">
        <v>2398</v>
      </c>
      <c r="D1741">
        <v>40.770000000000003</v>
      </c>
      <c r="E1741">
        <v>7.34</v>
      </c>
      <c r="F1741">
        <f>COUNTIFS(mdr_rate_cleaned!$A$2:$A$10,B1741,mdr_rate_cleaned!$B$2:$B$10,"&lt;"&amp;C1741,mdr_rate_cleaned!$F$2:$F$10,"&gt;="&amp;C1741)</f>
        <v>1</v>
      </c>
      <c r="G1741">
        <v>1.7000000000000001E-2</v>
      </c>
      <c r="H1741">
        <v>40.770000000000003</v>
      </c>
      <c r="I1741" t="s">
        <v>15</v>
      </c>
      <c r="J1741" t="s">
        <v>15</v>
      </c>
      <c r="K1741">
        <v>7.34</v>
      </c>
      <c r="L1741">
        <v>0</v>
      </c>
    </row>
    <row r="1742" spans="1:12" x14ac:dyDescent="0.3">
      <c r="A1742" t="s">
        <v>1758</v>
      </c>
      <c r="B1742" t="s">
        <v>21</v>
      </c>
      <c r="C1742">
        <v>3098</v>
      </c>
      <c r="D1742">
        <v>9.2899999999999991</v>
      </c>
      <c r="E1742">
        <v>1.67</v>
      </c>
      <c r="F1742">
        <f>COUNTIFS(mdr_rate_cleaned!$A$2:$A$10,B1742,mdr_rate_cleaned!$B$2:$B$10,"&lt;"&amp;C1742,mdr_rate_cleaned!$F$2:$F$10,"&gt;="&amp;C1742)</f>
        <v>1</v>
      </c>
      <c r="G1742">
        <v>3.0000000000000001E-3</v>
      </c>
      <c r="H1742">
        <v>9.2899999999999991</v>
      </c>
      <c r="I1742" t="s">
        <v>15</v>
      </c>
      <c r="J1742" t="s">
        <v>15</v>
      </c>
      <c r="K1742">
        <v>1.67</v>
      </c>
      <c r="L1742">
        <v>0</v>
      </c>
    </row>
    <row r="1743" spans="1:12" x14ac:dyDescent="0.3">
      <c r="A1743" t="s">
        <v>1759</v>
      </c>
      <c r="B1743" t="s">
        <v>21</v>
      </c>
      <c r="C1743">
        <v>2598</v>
      </c>
      <c r="D1743">
        <v>7.79</v>
      </c>
      <c r="E1743">
        <v>1.4</v>
      </c>
      <c r="F1743">
        <f>COUNTIFS(mdr_rate_cleaned!$A$2:$A$10,B1743,mdr_rate_cleaned!$B$2:$B$10,"&lt;"&amp;C1743,mdr_rate_cleaned!$F$2:$F$10,"&gt;="&amp;C1743)</f>
        <v>1</v>
      </c>
      <c r="G1743">
        <v>3.0000000000000001E-3</v>
      </c>
      <c r="H1743">
        <v>7.79</v>
      </c>
      <c r="I1743" t="s">
        <v>15</v>
      </c>
      <c r="J1743" t="s">
        <v>15</v>
      </c>
      <c r="K1743">
        <v>1.4</v>
      </c>
      <c r="L1743">
        <v>0</v>
      </c>
    </row>
    <row r="1744" spans="1:12" x14ac:dyDescent="0.3">
      <c r="A1744" t="s">
        <v>1760</v>
      </c>
      <c r="B1744" t="s">
        <v>21</v>
      </c>
      <c r="C1744">
        <v>9498</v>
      </c>
      <c r="D1744">
        <v>28.49</v>
      </c>
      <c r="E1744">
        <v>5.13</v>
      </c>
      <c r="F1744">
        <f>COUNTIFS(mdr_rate_cleaned!$A$2:$A$10,B1744,mdr_rate_cleaned!$B$2:$B$10,"&lt;"&amp;C1744,mdr_rate_cleaned!$F$2:$F$10,"&gt;="&amp;C1744)</f>
        <v>1</v>
      </c>
      <c r="G1744">
        <v>3.0000000000000001E-3</v>
      </c>
      <c r="H1744">
        <v>28.49</v>
      </c>
      <c r="I1744" t="s">
        <v>15</v>
      </c>
      <c r="J1744" t="s">
        <v>15</v>
      </c>
      <c r="K1744">
        <v>5.13</v>
      </c>
      <c r="L1744">
        <v>0</v>
      </c>
    </row>
    <row r="1745" spans="1:12" x14ac:dyDescent="0.3">
      <c r="A1745" t="s">
        <v>1761</v>
      </c>
      <c r="B1745" t="s">
        <v>17</v>
      </c>
      <c r="C1745">
        <v>8348</v>
      </c>
      <c r="D1745">
        <v>133.57</v>
      </c>
      <c r="E1745">
        <v>24.04</v>
      </c>
      <c r="F1745">
        <f>COUNTIFS(mdr_rate_cleaned!$A$2:$A$10,B1745,mdr_rate_cleaned!$B$2:$B$10,"&lt;"&amp;C1745,mdr_rate_cleaned!$F$2:$F$10,"&gt;="&amp;C1745)</f>
        <v>1</v>
      </c>
      <c r="G1745">
        <v>1.6E-2</v>
      </c>
      <c r="H1745">
        <v>133.57</v>
      </c>
      <c r="I1745" t="s">
        <v>15</v>
      </c>
      <c r="J1745" t="s">
        <v>15</v>
      </c>
      <c r="K1745">
        <v>24.04</v>
      </c>
      <c r="L1745">
        <v>0</v>
      </c>
    </row>
    <row r="1746" spans="1:12" x14ac:dyDescent="0.3">
      <c r="A1746" t="s">
        <v>1762</v>
      </c>
      <c r="B1746" t="s">
        <v>17</v>
      </c>
      <c r="C1746">
        <v>1299</v>
      </c>
      <c r="D1746">
        <v>23.38</v>
      </c>
      <c r="E1746">
        <v>4.21</v>
      </c>
      <c r="F1746">
        <f>COUNTIFS(mdr_rate_cleaned!$A$2:$A$10,B1746,mdr_rate_cleaned!$B$2:$B$10,"&lt;"&amp;C1746,mdr_rate_cleaned!$F$2:$F$10,"&gt;="&amp;C1746)</f>
        <v>1</v>
      </c>
      <c r="G1746">
        <v>1.7999999999999999E-2</v>
      </c>
      <c r="H1746">
        <v>23.38</v>
      </c>
      <c r="I1746" t="s">
        <v>15</v>
      </c>
      <c r="J1746" t="s">
        <v>15</v>
      </c>
      <c r="K1746">
        <v>4.21</v>
      </c>
      <c r="L1746">
        <v>0</v>
      </c>
    </row>
    <row r="1747" spans="1:12" x14ac:dyDescent="0.3">
      <c r="A1747" t="s">
        <v>1763</v>
      </c>
      <c r="B1747" t="s">
        <v>13</v>
      </c>
      <c r="C1747">
        <v>1299</v>
      </c>
      <c r="D1747">
        <v>24.68</v>
      </c>
      <c r="E1747">
        <v>4.4400000000000004</v>
      </c>
      <c r="F1747">
        <f>COUNTIFS(mdr_rate_cleaned!$A$2:$A$10,B1747,mdr_rate_cleaned!$B$2:$B$10,"&lt;"&amp;C1747,mdr_rate_cleaned!$F$2:$F$10,"&gt;="&amp;C1747)</f>
        <v>1</v>
      </c>
      <c r="G1747">
        <v>1.9E-2</v>
      </c>
      <c r="H1747">
        <v>24.68</v>
      </c>
      <c r="I1747" t="s">
        <v>15</v>
      </c>
      <c r="J1747" t="s">
        <v>15</v>
      </c>
      <c r="K1747">
        <v>4.4400000000000004</v>
      </c>
      <c r="L1747">
        <v>0</v>
      </c>
    </row>
    <row r="1748" spans="1:12" x14ac:dyDescent="0.3">
      <c r="A1748" t="s">
        <v>1764</v>
      </c>
      <c r="B1748" t="s">
        <v>17</v>
      </c>
      <c r="C1748">
        <v>8097</v>
      </c>
      <c r="D1748">
        <v>129.55000000000001</v>
      </c>
      <c r="E1748">
        <v>23.32</v>
      </c>
      <c r="F1748">
        <f>COUNTIFS(mdr_rate_cleaned!$A$2:$A$10,B1748,mdr_rate_cleaned!$B$2:$B$10,"&lt;"&amp;C1748,mdr_rate_cleaned!$F$2:$F$10,"&gt;="&amp;C1748)</f>
        <v>1</v>
      </c>
      <c r="G1748">
        <v>1.6E-2</v>
      </c>
      <c r="H1748">
        <v>129.55000000000001</v>
      </c>
      <c r="I1748" t="s">
        <v>15</v>
      </c>
      <c r="J1748" t="s">
        <v>15</v>
      </c>
      <c r="K1748">
        <v>23.32</v>
      </c>
      <c r="L1748">
        <v>0</v>
      </c>
    </row>
    <row r="1749" spans="1:12" x14ac:dyDescent="0.3">
      <c r="A1749" t="s">
        <v>1765</v>
      </c>
      <c r="B1749" t="s">
        <v>21</v>
      </c>
      <c r="C1749">
        <v>2447</v>
      </c>
      <c r="D1749">
        <v>7.34</v>
      </c>
      <c r="E1749">
        <v>1.32</v>
      </c>
      <c r="F1749">
        <f>COUNTIFS(mdr_rate_cleaned!$A$2:$A$10,B1749,mdr_rate_cleaned!$B$2:$B$10,"&lt;"&amp;C1749,mdr_rate_cleaned!$F$2:$F$10,"&gt;="&amp;C1749)</f>
        <v>1</v>
      </c>
      <c r="G1749">
        <v>3.0000000000000001E-3</v>
      </c>
      <c r="H1749">
        <v>7.34</v>
      </c>
      <c r="I1749" t="s">
        <v>15</v>
      </c>
      <c r="J1749" t="s">
        <v>15</v>
      </c>
      <c r="K1749">
        <v>1.32</v>
      </c>
      <c r="L1749">
        <v>0</v>
      </c>
    </row>
    <row r="1750" spans="1:12" x14ac:dyDescent="0.3">
      <c r="A1750" t="s">
        <v>1766</v>
      </c>
      <c r="B1750" t="s">
        <v>17</v>
      </c>
      <c r="C1750">
        <v>11997</v>
      </c>
      <c r="D1750">
        <v>191.95</v>
      </c>
      <c r="E1750">
        <v>34.549999999999997</v>
      </c>
      <c r="F1750">
        <f>COUNTIFS(mdr_rate_cleaned!$A$2:$A$10,B1750,mdr_rate_cleaned!$B$2:$B$10,"&lt;"&amp;C1750,mdr_rate_cleaned!$F$2:$F$10,"&gt;="&amp;C1750)</f>
        <v>1</v>
      </c>
      <c r="G1750">
        <v>1.6E-2</v>
      </c>
      <c r="H1750">
        <v>191.95</v>
      </c>
      <c r="I1750" t="s">
        <v>15</v>
      </c>
      <c r="J1750" t="s">
        <v>15</v>
      </c>
      <c r="K1750">
        <v>34.549999999999997</v>
      </c>
      <c r="L1750">
        <v>0</v>
      </c>
    </row>
    <row r="1751" spans="1:12" x14ac:dyDescent="0.3">
      <c r="A1751" t="s">
        <v>1767</v>
      </c>
      <c r="B1751" t="s">
        <v>21</v>
      </c>
      <c r="C1751">
        <v>2999</v>
      </c>
      <c r="D1751">
        <v>9</v>
      </c>
      <c r="E1751">
        <v>1.62</v>
      </c>
      <c r="F1751">
        <f>COUNTIFS(mdr_rate_cleaned!$A$2:$A$10,B1751,mdr_rate_cleaned!$B$2:$B$10,"&lt;"&amp;C1751,mdr_rate_cleaned!$F$2:$F$10,"&gt;="&amp;C1751)</f>
        <v>1</v>
      </c>
      <c r="G1751">
        <v>3.0000000000000001E-3</v>
      </c>
      <c r="H1751">
        <v>9</v>
      </c>
      <c r="I1751" t="s">
        <v>15</v>
      </c>
      <c r="J1751" t="s">
        <v>15</v>
      </c>
      <c r="K1751">
        <v>1.62</v>
      </c>
      <c r="L1751">
        <v>0</v>
      </c>
    </row>
    <row r="1752" spans="1:12" x14ac:dyDescent="0.3">
      <c r="A1752" t="s">
        <v>1768</v>
      </c>
      <c r="B1752" t="s">
        <v>39</v>
      </c>
      <c r="C1752">
        <v>9498</v>
      </c>
      <c r="D1752">
        <v>113.98</v>
      </c>
      <c r="E1752">
        <v>20.52</v>
      </c>
      <c r="F1752">
        <f>COUNTIFS(mdr_rate_cleaned!$A$2:$A$10,B1752,mdr_rate_cleaned!$B$2:$B$10,"&lt;"&amp;C1752,mdr_rate_cleaned!$F$2:$F$10,"&gt;="&amp;C1752)</f>
        <v>1</v>
      </c>
      <c r="G1752">
        <v>1.2E-2</v>
      </c>
      <c r="H1752">
        <v>113.98</v>
      </c>
      <c r="I1752" t="s">
        <v>15</v>
      </c>
      <c r="J1752" t="s">
        <v>15</v>
      </c>
      <c r="K1752">
        <v>20.52</v>
      </c>
      <c r="L1752">
        <v>0</v>
      </c>
    </row>
    <row r="1753" spans="1:12" x14ac:dyDescent="0.3">
      <c r="A1753" t="s">
        <v>1769</v>
      </c>
      <c r="B1753" t="s">
        <v>21</v>
      </c>
      <c r="C1753">
        <v>599</v>
      </c>
      <c r="D1753">
        <v>0</v>
      </c>
      <c r="E1753">
        <v>0</v>
      </c>
      <c r="F1753">
        <f>COUNTIFS(mdr_rate_cleaned!$A$2:$A$10,B1753,mdr_rate_cleaned!$B$2:$B$10,"&lt;"&amp;C1753,mdr_rate_cleaned!$F$2:$F$10,"&gt;="&amp;C1753)</f>
        <v>1</v>
      </c>
      <c r="G1753">
        <v>0</v>
      </c>
      <c r="H1753">
        <v>0</v>
      </c>
      <c r="I1753" t="s">
        <v>15</v>
      </c>
      <c r="J1753" t="s">
        <v>15</v>
      </c>
      <c r="K1753">
        <v>0</v>
      </c>
      <c r="L1753">
        <v>0</v>
      </c>
    </row>
    <row r="1754" spans="1:12" x14ac:dyDescent="0.3">
      <c r="A1754" t="s">
        <v>1770</v>
      </c>
      <c r="B1754" t="s">
        <v>17</v>
      </c>
      <c r="C1754">
        <v>5298</v>
      </c>
      <c r="D1754">
        <v>84.77</v>
      </c>
      <c r="E1754">
        <v>15.26</v>
      </c>
      <c r="F1754">
        <f>COUNTIFS(mdr_rate_cleaned!$A$2:$A$10,B1754,mdr_rate_cleaned!$B$2:$B$10,"&lt;"&amp;C1754,mdr_rate_cleaned!$F$2:$F$10,"&gt;="&amp;C1754)</f>
        <v>1</v>
      </c>
      <c r="G1754">
        <v>1.6E-2</v>
      </c>
      <c r="H1754">
        <v>84.77</v>
      </c>
      <c r="I1754" t="s">
        <v>15</v>
      </c>
      <c r="J1754" t="s">
        <v>15</v>
      </c>
      <c r="K1754">
        <v>15.26</v>
      </c>
      <c r="L1754">
        <v>0</v>
      </c>
    </row>
    <row r="1755" spans="1:12" x14ac:dyDescent="0.3">
      <c r="A1755" t="s">
        <v>1771</v>
      </c>
      <c r="B1755" t="s">
        <v>21</v>
      </c>
      <c r="C1755">
        <v>1647</v>
      </c>
      <c r="D1755">
        <v>0</v>
      </c>
      <c r="E1755">
        <v>0</v>
      </c>
      <c r="F1755">
        <f>COUNTIFS(mdr_rate_cleaned!$A$2:$A$10,B1755,mdr_rate_cleaned!$B$2:$B$10,"&lt;"&amp;C1755,mdr_rate_cleaned!$F$2:$F$10,"&gt;="&amp;C1755)</f>
        <v>1</v>
      </c>
      <c r="G1755">
        <v>0</v>
      </c>
      <c r="H1755">
        <v>0</v>
      </c>
      <c r="I1755" t="s">
        <v>15</v>
      </c>
      <c r="J1755" t="s">
        <v>15</v>
      </c>
      <c r="K1755">
        <v>0</v>
      </c>
      <c r="L1755">
        <v>0</v>
      </c>
    </row>
    <row r="1756" spans="1:12" x14ac:dyDescent="0.3">
      <c r="A1756" t="s">
        <v>1772</v>
      </c>
      <c r="B1756" t="s">
        <v>17</v>
      </c>
      <c r="C1756">
        <v>1299</v>
      </c>
      <c r="D1756">
        <v>23.38</v>
      </c>
      <c r="E1756">
        <v>4.21</v>
      </c>
      <c r="F1756">
        <f>COUNTIFS(mdr_rate_cleaned!$A$2:$A$10,B1756,mdr_rate_cleaned!$B$2:$B$10,"&lt;"&amp;C1756,mdr_rate_cleaned!$F$2:$F$10,"&gt;="&amp;C1756)</f>
        <v>1</v>
      </c>
      <c r="G1756">
        <v>1.7999999999999999E-2</v>
      </c>
      <c r="H1756">
        <v>23.38</v>
      </c>
      <c r="I1756" t="s">
        <v>15</v>
      </c>
      <c r="J1756" t="s">
        <v>15</v>
      </c>
      <c r="K1756">
        <v>4.21</v>
      </c>
      <c r="L1756">
        <v>0</v>
      </c>
    </row>
    <row r="1757" spans="1:12" x14ac:dyDescent="0.3">
      <c r="A1757" t="s">
        <v>1773</v>
      </c>
      <c r="B1757" t="s">
        <v>21</v>
      </c>
      <c r="C1757">
        <v>9498</v>
      </c>
      <c r="D1757">
        <v>28.49</v>
      </c>
      <c r="E1757">
        <v>5.13</v>
      </c>
      <c r="F1757">
        <f>COUNTIFS(mdr_rate_cleaned!$A$2:$A$10,B1757,mdr_rate_cleaned!$B$2:$B$10,"&lt;"&amp;C1757,mdr_rate_cleaned!$F$2:$F$10,"&gt;="&amp;C1757)</f>
        <v>1</v>
      </c>
      <c r="G1757">
        <v>3.0000000000000001E-3</v>
      </c>
      <c r="H1757">
        <v>28.49</v>
      </c>
      <c r="I1757" t="s">
        <v>15</v>
      </c>
      <c r="J1757" t="s">
        <v>15</v>
      </c>
      <c r="K1757">
        <v>5.13</v>
      </c>
      <c r="L1757">
        <v>0</v>
      </c>
    </row>
    <row r="1758" spans="1:12" x14ac:dyDescent="0.3">
      <c r="A1758" t="s">
        <v>1774</v>
      </c>
      <c r="B1758" t="s">
        <v>17</v>
      </c>
      <c r="C1758">
        <v>3499</v>
      </c>
      <c r="D1758">
        <v>55.98</v>
      </c>
      <c r="E1758">
        <v>10.08</v>
      </c>
      <c r="F1758">
        <f>COUNTIFS(mdr_rate_cleaned!$A$2:$A$10,B1758,mdr_rate_cleaned!$B$2:$B$10,"&lt;"&amp;C1758,mdr_rate_cleaned!$F$2:$F$10,"&gt;="&amp;C1758)</f>
        <v>1</v>
      </c>
      <c r="G1758">
        <v>1.6E-2</v>
      </c>
      <c r="H1758">
        <v>55.98</v>
      </c>
      <c r="I1758" t="s">
        <v>15</v>
      </c>
      <c r="J1758" t="s">
        <v>15</v>
      </c>
      <c r="K1758">
        <v>10.08</v>
      </c>
      <c r="L1758">
        <v>0</v>
      </c>
    </row>
    <row r="1759" spans="1:12" x14ac:dyDescent="0.3">
      <c r="A1759" t="s">
        <v>1775</v>
      </c>
      <c r="B1759" t="s">
        <v>21</v>
      </c>
      <c r="C1759">
        <v>1499</v>
      </c>
      <c r="D1759">
        <v>0</v>
      </c>
      <c r="E1759">
        <v>0</v>
      </c>
      <c r="F1759">
        <f>COUNTIFS(mdr_rate_cleaned!$A$2:$A$10,B1759,mdr_rate_cleaned!$B$2:$B$10,"&lt;"&amp;C1759,mdr_rate_cleaned!$F$2:$F$10,"&gt;="&amp;C1759)</f>
        <v>1</v>
      </c>
      <c r="G1759">
        <v>0</v>
      </c>
      <c r="H1759">
        <v>0</v>
      </c>
      <c r="I1759" t="s">
        <v>15</v>
      </c>
      <c r="J1759" t="s">
        <v>15</v>
      </c>
      <c r="K1759">
        <v>0</v>
      </c>
      <c r="L1759">
        <v>0</v>
      </c>
    </row>
    <row r="1760" spans="1:12" x14ac:dyDescent="0.3">
      <c r="A1760" t="s">
        <v>1776</v>
      </c>
      <c r="B1760" t="s">
        <v>13</v>
      </c>
      <c r="C1760">
        <v>799</v>
      </c>
      <c r="D1760">
        <v>15.18</v>
      </c>
      <c r="E1760">
        <v>2.73</v>
      </c>
      <c r="F1760">
        <f>COUNTIFS(mdr_rate_cleaned!$A$2:$A$10,B1760,mdr_rate_cleaned!$B$2:$B$10,"&lt;"&amp;C1760,mdr_rate_cleaned!$F$2:$F$10,"&gt;="&amp;C1760)</f>
        <v>1</v>
      </c>
      <c r="G1760">
        <v>1.9E-2</v>
      </c>
      <c r="H1760">
        <v>15.18</v>
      </c>
      <c r="I1760" t="s">
        <v>15</v>
      </c>
      <c r="J1760" t="s">
        <v>15</v>
      </c>
      <c r="K1760">
        <v>2.73</v>
      </c>
      <c r="L1760">
        <v>0</v>
      </c>
    </row>
    <row r="1761" spans="1:12" x14ac:dyDescent="0.3">
      <c r="A1761" t="s">
        <v>1777</v>
      </c>
      <c r="B1761" t="s">
        <v>17</v>
      </c>
      <c r="C1761">
        <v>7999</v>
      </c>
      <c r="D1761">
        <v>127.98</v>
      </c>
      <c r="E1761">
        <v>23.04</v>
      </c>
      <c r="F1761">
        <f>COUNTIFS(mdr_rate_cleaned!$A$2:$A$10,B1761,mdr_rate_cleaned!$B$2:$B$10,"&lt;"&amp;C1761,mdr_rate_cleaned!$F$2:$F$10,"&gt;="&amp;C1761)</f>
        <v>1</v>
      </c>
      <c r="G1761">
        <v>1.6E-2</v>
      </c>
      <c r="H1761">
        <v>127.98</v>
      </c>
      <c r="I1761" t="s">
        <v>15</v>
      </c>
      <c r="J1761" t="s">
        <v>15</v>
      </c>
      <c r="K1761">
        <v>23.04</v>
      </c>
      <c r="L1761">
        <v>0</v>
      </c>
    </row>
    <row r="1762" spans="1:12" x14ac:dyDescent="0.3">
      <c r="A1762" t="s">
        <v>1778</v>
      </c>
      <c r="B1762" t="s">
        <v>21</v>
      </c>
      <c r="C1762">
        <v>7999</v>
      </c>
      <c r="D1762">
        <v>24</v>
      </c>
      <c r="E1762">
        <v>4.32</v>
      </c>
      <c r="F1762">
        <f>COUNTIFS(mdr_rate_cleaned!$A$2:$A$10,B1762,mdr_rate_cleaned!$B$2:$B$10,"&lt;"&amp;C1762,mdr_rate_cleaned!$F$2:$F$10,"&gt;="&amp;C1762)</f>
        <v>1</v>
      </c>
      <c r="G1762">
        <v>3.0000000000000001E-3</v>
      </c>
      <c r="H1762">
        <v>24</v>
      </c>
      <c r="I1762" t="s">
        <v>15</v>
      </c>
      <c r="J1762" t="s">
        <v>15</v>
      </c>
      <c r="K1762">
        <v>4.32</v>
      </c>
      <c r="L1762">
        <v>0</v>
      </c>
    </row>
    <row r="1763" spans="1:12" x14ac:dyDescent="0.3">
      <c r="A1763" t="s">
        <v>1779</v>
      </c>
      <c r="B1763" t="s">
        <v>21</v>
      </c>
      <c r="C1763">
        <v>8998</v>
      </c>
      <c r="D1763">
        <v>26.99</v>
      </c>
      <c r="E1763">
        <v>4.8600000000000003</v>
      </c>
      <c r="F1763">
        <f>COUNTIFS(mdr_rate_cleaned!$A$2:$A$10,B1763,mdr_rate_cleaned!$B$2:$B$10,"&lt;"&amp;C1763,mdr_rate_cleaned!$F$2:$F$10,"&gt;="&amp;C1763)</f>
        <v>1</v>
      </c>
      <c r="G1763">
        <v>3.0000000000000001E-3</v>
      </c>
      <c r="H1763">
        <v>26.99</v>
      </c>
      <c r="I1763" t="s">
        <v>15</v>
      </c>
      <c r="J1763" t="s">
        <v>15</v>
      </c>
      <c r="K1763">
        <v>4.8600000000000003</v>
      </c>
      <c r="L1763">
        <v>0</v>
      </c>
    </row>
    <row r="1764" spans="1:12" x14ac:dyDescent="0.3">
      <c r="A1764" t="s">
        <v>1780</v>
      </c>
      <c r="B1764" t="s">
        <v>21</v>
      </c>
      <c r="C1764">
        <v>2397</v>
      </c>
      <c r="D1764">
        <v>7.19</v>
      </c>
      <c r="E1764">
        <v>1.29</v>
      </c>
      <c r="F1764">
        <f>COUNTIFS(mdr_rate_cleaned!$A$2:$A$10,B1764,mdr_rate_cleaned!$B$2:$B$10,"&lt;"&amp;C1764,mdr_rate_cleaned!$F$2:$F$10,"&gt;="&amp;C1764)</f>
        <v>1</v>
      </c>
      <c r="G1764">
        <v>3.0000000000000001E-3</v>
      </c>
      <c r="H1764">
        <v>7.19</v>
      </c>
      <c r="I1764" t="s">
        <v>15</v>
      </c>
      <c r="J1764" t="s">
        <v>15</v>
      </c>
      <c r="K1764">
        <v>1.29</v>
      </c>
      <c r="L1764">
        <v>0</v>
      </c>
    </row>
    <row r="1765" spans="1:12" x14ac:dyDescent="0.3">
      <c r="A1765" t="s">
        <v>1781</v>
      </c>
      <c r="B1765" t="s">
        <v>21</v>
      </c>
      <c r="C1765">
        <v>4597</v>
      </c>
      <c r="D1765">
        <v>13.79</v>
      </c>
      <c r="E1765">
        <v>2.48</v>
      </c>
      <c r="F1765">
        <f>COUNTIFS(mdr_rate_cleaned!$A$2:$A$10,B1765,mdr_rate_cleaned!$B$2:$B$10,"&lt;"&amp;C1765,mdr_rate_cleaned!$F$2:$F$10,"&gt;="&amp;C1765)</f>
        <v>1</v>
      </c>
      <c r="G1765">
        <v>3.0000000000000001E-3</v>
      </c>
      <c r="H1765">
        <v>13.79</v>
      </c>
      <c r="I1765" t="s">
        <v>15</v>
      </c>
      <c r="J1765" t="s">
        <v>15</v>
      </c>
      <c r="K1765">
        <v>2.48</v>
      </c>
      <c r="L1765">
        <v>0</v>
      </c>
    </row>
    <row r="1766" spans="1:12" x14ac:dyDescent="0.3">
      <c r="A1766" t="s">
        <v>1782</v>
      </c>
      <c r="B1766" t="s">
        <v>39</v>
      </c>
      <c r="C1766">
        <v>1798</v>
      </c>
      <c r="D1766">
        <v>26.97</v>
      </c>
      <c r="E1766">
        <v>4.8499999999999996</v>
      </c>
      <c r="F1766">
        <f>COUNTIFS(mdr_rate_cleaned!$A$2:$A$10,B1766,mdr_rate_cleaned!$B$2:$B$10,"&lt;"&amp;C1766,mdr_rate_cleaned!$F$2:$F$10,"&gt;="&amp;C1766)</f>
        <v>1</v>
      </c>
      <c r="G1766">
        <v>1.4999999999999999E-2</v>
      </c>
      <c r="H1766">
        <v>26.97</v>
      </c>
      <c r="I1766" t="s">
        <v>15</v>
      </c>
      <c r="J1766" t="s">
        <v>15</v>
      </c>
      <c r="K1766">
        <v>4.8499999999999996</v>
      </c>
      <c r="L1766">
        <v>0</v>
      </c>
    </row>
    <row r="1767" spans="1:12" x14ac:dyDescent="0.3">
      <c r="A1767" t="s">
        <v>1783</v>
      </c>
      <c r="B1767" t="s">
        <v>21</v>
      </c>
      <c r="C1767">
        <v>799</v>
      </c>
      <c r="D1767">
        <v>0</v>
      </c>
      <c r="E1767">
        <v>0</v>
      </c>
      <c r="F1767">
        <f>COUNTIFS(mdr_rate_cleaned!$A$2:$A$10,B1767,mdr_rate_cleaned!$B$2:$B$10,"&lt;"&amp;C1767,mdr_rate_cleaned!$F$2:$F$10,"&gt;="&amp;C1767)</f>
        <v>1</v>
      </c>
      <c r="G1767">
        <v>0</v>
      </c>
      <c r="H1767">
        <v>0</v>
      </c>
      <c r="I1767" t="s">
        <v>15</v>
      </c>
      <c r="J1767" t="s">
        <v>15</v>
      </c>
      <c r="K1767">
        <v>0</v>
      </c>
      <c r="L1767">
        <v>0</v>
      </c>
    </row>
    <row r="1768" spans="1:12" x14ac:dyDescent="0.3">
      <c r="A1768" t="s">
        <v>1784</v>
      </c>
      <c r="B1768" t="s">
        <v>17</v>
      </c>
      <c r="C1768">
        <v>299</v>
      </c>
      <c r="D1768">
        <v>5.38</v>
      </c>
      <c r="E1768">
        <v>0.97</v>
      </c>
      <c r="F1768">
        <f>COUNTIFS(mdr_rate_cleaned!$A$2:$A$10,B1768,mdr_rate_cleaned!$B$2:$B$10,"&lt;"&amp;C1768,mdr_rate_cleaned!$F$2:$F$10,"&gt;="&amp;C1768)</f>
        <v>1</v>
      </c>
      <c r="G1768">
        <v>1.7999999999999999E-2</v>
      </c>
      <c r="H1768">
        <v>5.38</v>
      </c>
      <c r="I1768" t="s">
        <v>15</v>
      </c>
      <c r="J1768" t="s">
        <v>15</v>
      </c>
      <c r="K1768">
        <v>0.97</v>
      </c>
      <c r="L1768">
        <v>0</v>
      </c>
    </row>
    <row r="1769" spans="1:12" x14ac:dyDescent="0.3">
      <c r="A1769" t="s">
        <v>1785</v>
      </c>
      <c r="B1769" t="s">
        <v>13</v>
      </c>
      <c r="C1769">
        <v>349</v>
      </c>
      <c r="D1769">
        <v>6.63</v>
      </c>
      <c r="E1769">
        <v>1.19</v>
      </c>
      <c r="F1769">
        <f>COUNTIFS(mdr_rate_cleaned!$A$2:$A$10,B1769,mdr_rate_cleaned!$B$2:$B$10,"&lt;"&amp;C1769,mdr_rate_cleaned!$F$2:$F$10,"&gt;="&amp;C1769)</f>
        <v>1</v>
      </c>
      <c r="G1769">
        <v>1.9E-2</v>
      </c>
      <c r="H1769">
        <v>6.63</v>
      </c>
      <c r="I1769" t="s">
        <v>15</v>
      </c>
      <c r="J1769" t="s">
        <v>15</v>
      </c>
      <c r="K1769">
        <v>1.19</v>
      </c>
      <c r="L1769">
        <v>0</v>
      </c>
    </row>
    <row r="1770" spans="1:12" x14ac:dyDescent="0.3">
      <c r="A1770" t="s">
        <v>1786</v>
      </c>
      <c r="B1770" t="s">
        <v>21</v>
      </c>
      <c r="C1770">
        <v>5498</v>
      </c>
      <c r="D1770">
        <v>16.489999999999998</v>
      </c>
      <c r="E1770">
        <v>2.97</v>
      </c>
      <c r="F1770">
        <f>COUNTIFS(mdr_rate_cleaned!$A$2:$A$10,B1770,mdr_rate_cleaned!$B$2:$B$10,"&lt;"&amp;C1770,mdr_rate_cleaned!$F$2:$F$10,"&gt;="&amp;C1770)</f>
        <v>1</v>
      </c>
      <c r="G1770">
        <v>3.0000000000000001E-3</v>
      </c>
      <c r="H1770">
        <v>16.489999999999998</v>
      </c>
      <c r="I1770" t="s">
        <v>15</v>
      </c>
      <c r="J1770" t="s">
        <v>15</v>
      </c>
      <c r="K1770">
        <v>2.97</v>
      </c>
      <c r="L1770">
        <v>0</v>
      </c>
    </row>
    <row r="1771" spans="1:12" x14ac:dyDescent="0.3">
      <c r="A1771" t="s">
        <v>1787</v>
      </c>
      <c r="B1771" t="s">
        <v>21</v>
      </c>
      <c r="C1771">
        <v>4999</v>
      </c>
      <c r="D1771">
        <v>15</v>
      </c>
      <c r="E1771">
        <v>2.7</v>
      </c>
      <c r="F1771">
        <f>COUNTIFS(mdr_rate_cleaned!$A$2:$A$10,B1771,mdr_rate_cleaned!$B$2:$B$10,"&lt;"&amp;C1771,mdr_rate_cleaned!$F$2:$F$10,"&gt;="&amp;C1771)</f>
        <v>1</v>
      </c>
      <c r="G1771">
        <v>3.0000000000000001E-3</v>
      </c>
      <c r="H1771">
        <v>15</v>
      </c>
      <c r="I1771" t="s">
        <v>15</v>
      </c>
      <c r="J1771" t="s">
        <v>15</v>
      </c>
      <c r="K1771">
        <v>2.7</v>
      </c>
      <c r="L1771">
        <v>0</v>
      </c>
    </row>
    <row r="1772" spans="1:12" x14ac:dyDescent="0.3">
      <c r="A1772" t="s">
        <v>1788</v>
      </c>
      <c r="B1772" t="s">
        <v>21</v>
      </c>
      <c r="C1772">
        <v>299</v>
      </c>
      <c r="D1772">
        <v>0</v>
      </c>
      <c r="E1772">
        <v>0</v>
      </c>
      <c r="F1772">
        <f>COUNTIFS(mdr_rate_cleaned!$A$2:$A$10,B1772,mdr_rate_cleaned!$B$2:$B$10,"&lt;"&amp;C1772,mdr_rate_cleaned!$F$2:$F$10,"&gt;="&amp;C1772)</f>
        <v>1</v>
      </c>
      <c r="G1772">
        <v>0</v>
      </c>
      <c r="H1772">
        <v>0</v>
      </c>
      <c r="I1772" t="s">
        <v>15</v>
      </c>
      <c r="J1772" t="s">
        <v>15</v>
      </c>
      <c r="K1772">
        <v>0</v>
      </c>
      <c r="L1772">
        <v>0</v>
      </c>
    </row>
    <row r="1773" spans="1:12" x14ac:dyDescent="0.3">
      <c r="A1773" t="s">
        <v>1789</v>
      </c>
      <c r="B1773" t="s">
        <v>21</v>
      </c>
      <c r="C1773">
        <v>1798</v>
      </c>
      <c r="D1773">
        <v>0</v>
      </c>
      <c r="E1773">
        <v>0</v>
      </c>
      <c r="F1773">
        <f>COUNTIFS(mdr_rate_cleaned!$A$2:$A$10,B1773,mdr_rate_cleaned!$B$2:$B$10,"&lt;"&amp;C1773,mdr_rate_cleaned!$F$2:$F$10,"&gt;="&amp;C1773)</f>
        <v>1</v>
      </c>
      <c r="G1773">
        <v>0</v>
      </c>
      <c r="H1773">
        <v>0</v>
      </c>
      <c r="I1773" t="s">
        <v>15</v>
      </c>
      <c r="J1773" t="s">
        <v>15</v>
      </c>
      <c r="K1773">
        <v>0</v>
      </c>
      <c r="L1773">
        <v>0</v>
      </c>
    </row>
    <row r="1774" spans="1:12" x14ac:dyDescent="0.3">
      <c r="A1774" t="s">
        <v>1790</v>
      </c>
      <c r="B1774" t="s">
        <v>17</v>
      </c>
      <c r="C1774">
        <v>349</v>
      </c>
      <c r="D1774">
        <v>6.28</v>
      </c>
      <c r="E1774">
        <v>1.1299999999999999</v>
      </c>
      <c r="F1774">
        <f>COUNTIFS(mdr_rate_cleaned!$A$2:$A$10,B1774,mdr_rate_cleaned!$B$2:$B$10,"&lt;"&amp;C1774,mdr_rate_cleaned!$F$2:$F$10,"&gt;="&amp;C1774)</f>
        <v>1</v>
      </c>
      <c r="G1774">
        <v>1.7999999999999999E-2</v>
      </c>
      <c r="H1774">
        <v>6.28</v>
      </c>
      <c r="I1774" t="s">
        <v>15</v>
      </c>
      <c r="J1774" t="s">
        <v>15</v>
      </c>
      <c r="K1774">
        <v>1.1299999999999999</v>
      </c>
      <c r="L1774">
        <v>0</v>
      </c>
    </row>
    <row r="1775" spans="1:12" x14ac:dyDescent="0.3">
      <c r="A1775" t="s">
        <v>1791</v>
      </c>
      <c r="B1775" t="s">
        <v>21</v>
      </c>
      <c r="C1775">
        <v>4397</v>
      </c>
      <c r="D1775">
        <v>13.19</v>
      </c>
      <c r="E1775">
        <v>2.37</v>
      </c>
      <c r="F1775">
        <f>COUNTIFS(mdr_rate_cleaned!$A$2:$A$10,B1775,mdr_rate_cleaned!$B$2:$B$10,"&lt;"&amp;C1775,mdr_rate_cleaned!$F$2:$F$10,"&gt;="&amp;C1775)</f>
        <v>1</v>
      </c>
      <c r="G1775">
        <v>3.0000000000000001E-3</v>
      </c>
      <c r="H1775">
        <v>13.19</v>
      </c>
      <c r="I1775" t="s">
        <v>15</v>
      </c>
      <c r="J1775" t="s">
        <v>15</v>
      </c>
      <c r="K1775">
        <v>2.37</v>
      </c>
      <c r="L1775">
        <v>0</v>
      </c>
    </row>
    <row r="1776" spans="1:12" x14ac:dyDescent="0.3">
      <c r="A1776" t="s">
        <v>1792</v>
      </c>
      <c r="B1776" t="s">
        <v>21</v>
      </c>
      <c r="C1776">
        <v>599</v>
      </c>
      <c r="D1776">
        <v>0</v>
      </c>
      <c r="E1776">
        <v>0</v>
      </c>
      <c r="F1776">
        <f>COUNTIFS(mdr_rate_cleaned!$A$2:$A$10,B1776,mdr_rate_cleaned!$B$2:$B$10,"&lt;"&amp;C1776,mdr_rate_cleaned!$F$2:$F$10,"&gt;="&amp;C1776)</f>
        <v>1</v>
      </c>
      <c r="G1776">
        <v>0</v>
      </c>
      <c r="H1776">
        <v>0</v>
      </c>
      <c r="I1776" t="s">
        <v>15</v>
      </c>
      <c r="J1776" t="s">
        <v>15</v>
      </c>
      <c r="K1776">
        <v>0</v>
      </c>
      <c r="L1776">
        <v>0</v>
      </c>
    </row>
    <row r="1777" spans="1:12" x14ac:dyDescent="0.3">
      <c r="A1777" t="s">
        <v>1793</v>
      </c>
      <c r="B1777" t="s">
        <v>39</v>
      </c>
      <c r="C1777">
        <v>349</v>
      </c>
      <c r="D1777">
        <v>5.24</v>
      </c>
      <c r="E1777">
        <v>0.94</v>
      </c>
      <c r="F1777">
        <f>COUNTIFS(mdr_rate_cleaned!$A$2:$A$10,B1777,mdr_rate_cleaned!$B$2:$B$10,"&lt;"&amp;C1777,mdr_rate_cleaned!$F$2:$F$10,"&gt;="&amp;C1777)</f>
        <v>1</v>
      </c>
      <c r="G1777">
        <v>1.4999999999999999E-2</v>
      </c>
      <c r="H1777">
        <v>5.24</v>
      </c>
      <c r="I1777" t="s">
        <v>15</v>
      </c>
      <c r="J1777" t="s">
        <v>15</v>
      </c>
      <c r="K1777">
        <v>0.94</v>
      </c>
      <c r="L1777">
        <v>0</v>
      </c>
    </row>
    <row r="1778" spans="1:12" x14ac:dyDescent="0.3">
      <c r="A1778" t="s">
        <v>1794</v>
      </c>
      <c r="B1778" t="s">
        <v>21</v>
      </c>
      <c r="C1778">
        <v>2247</v>
      </c>
      <c r="D1778">
        <v>6.74</v>
      </c>
      <c r="E1778">
        <v>1.21</v>
      </c>
      <c r="F1778">
        <f>COUNTIFS(mdr_rate_cleaned!$A$2:$A$10,B1778,mdr_rate_cleaned!$B$2:$B$10,"&lt;"&amp;C1778,mdr_rate_cleaned!$F$2:$F$10,"&gt;="&amp;C1778)</f>
        <v>1</v>
      </c>
      <c r="G1778">
        <v>3.0000000000000001E-3</v>
      </c>
      <c r="H1778">
        <v>6.74</v>
      </c>
      <c r="I1778" t="s">
        <v>15</v>
      </c>
      <c r="J1778" t="s">
        <v>15</v>
      </c>
      <c r="K1778">
        <v>1.21</v>
      </c>
      <c r="L1778">
        <v>0</v>
      </c>
    </row>
    <row r="1779" spans="1:12" x14ac:dyDescent="0.3">
      <c r="A1779" t="s">
        <v>1795</v>
      </c>
      <c r="B1779" t="s">
        <v>17</v>
      </c>
      <c r="C1779">
        <v>349</v>
      </c>
      <c r="D1779">
        <v>6.28</v>
      </c>
      <c r="E1779">
        <v>1.1299999999999999</v>
      </c>
      <c r="F1779">
        <f>COUNTIFS(mdr_rate_cleaned!$A$2:$A$10,B1779,mdr_rate_cleaned!$B$2:$B$10,"&lt;"&amp;C1779,mdr_rate_cleaned!$F$2:$F$10,"&gt;="&amp;C1779)</f>
        <v>1</v>
      </c>
      <c r="G1779">
        <v>1.7999999999999999E-2</v>
      </c>
      <c r="H1779">
        <v>6.28</v>
      </c>
      <c r="I1779" t="s">
        <v>15</v>
      </c>
      <c r="J1779" t="s">
        <v>15</v>
      </c>
      <c r="K1779">
        <v>1.1299999999999999</v>
      </c>
      <c r="L1779">
        <v>0</v>
      </c>
    </row>
    <row r="1780" spans="1:12" x14ac:dyDescent="0.3">
      <c r="A1780" t="s">
        <v>1796</v>
      </c>
      <c r="B1780" t="s">
        <v>13</v>
      </c>
      <c r="C1780">
        <v>3498</v>
      </c>
      <c r="D1780">
        <v>59.47</v>
      </c>
      <c r="E1780">
        <v>10.7</v>
      </c>
      <c r="F1780">
        <f>COUNTIFS(mdr_rate_cleaned!$A$2:$A$10,B1780,mdr_rate_cleaned!$B$2:$B$10,"&lt;"&amp;C1780,mdr_rate_cleaned!$F$2:$F$10,"&gt;="&amp;C1780)</f>
        <v>1</v>
      </c>
      <c r="G1780">
        <v>1.7000000000000001E-2</v>
      </c>
      <c r="H1780">
        <v>59.47</v>
      </c>
      <c r="I1780" t="s">
        <v>15</v>
      </c>
      <c r="J1780" t="s">
        <v>15</v>
      </c>
      <c r="K1780">
        <v>10.7</v>
      </c>
      <c r="L1780">
        <v>0</v>
      </c>
    </row>
    <row r="1781" spans="1:12" x14ac:dyDescent="0.3">
      <c r="A1781" t="s">
        <v>1797</v>
      </c>
      <c r="B1781" t="s">
        <v>17</v>
      </c>
      <c r="C1781">
        <v>6498</v>
      </c>
      <c r="D1781">
        <v>103.97</v>
      </c>
      <c r="E1781">
        <v>18.71</v>
      </c>
      <c r="F1781">
        <f>COUNTIFS(mdr_rate_cleaned!$A$2:$A$10,B1781,mdr_rate_cleaned!$B$2:$B$10,"&lt;"&amp;C1781,mdr_rate_cleaned!$F$2:$F$10,"&gt;="&amp;C1781)</f>
        <v>1</v>
      </c>
      <c r="G1781">
        <v>1.6E-2</v>
      </c>
      <c r="H1781">
        <v>103.97</v>
      </c>
      <c r="I1781" t="s">
        <v>15</v>
      </c>
      <c r="J1781" t="s">
        <v>15</v>
      </c>
      <c r="K1781">
        <v>18.71</v>
      </c>
      <c r="L1781">
        <v>0</v>
      </c>
    </row>
    <row r="1782" spans="1:12" x14ac:dyDescent="0.3">
      <c r="A1782" t="s">
        <v>1798</v>
      </c>
      <c r="B1782" t="s">
        <v>17</v>
      </c>
      <c r="C1782">
        <v>1648</v>
      </c>
      <c r="D1782">
        <v>29.66</v>
      </c>
      <c r="E1782">
        <v>5.34</v>
      </c>
      <c r="F1782">
        <f>COUNTIFS(mdr_rate_cleaned!$A$2:$A$10,B1782,mdr_rate_cleaned!$B$2:$B$10,"&lt;"&amp;C1782,mdr_rate_cleaned!$F$2:$F$10,"&gt;="&amp;C1782)</f>
        <v>1</v>
      </c>
      <c r="G1782">
        <v>1.7999999999999999E-2</v>
      </c>
      <c r="H1782">
        <v>29.66</v>
      </c>
      <c r="I1782" t="s">
        <v>15</v>
      </c>
      <c r="J1782" t="s">
        <v>15</v>
      </c>
      <c r="K1782">
        <v>5.34</v>
      </c>
      <c r="L1782">
        <v>0</v>
      </c>
    </row>
    <row r="1783" spans="1:12" x14ac:dyDescent="0.3">
      <c r="A1783" t="s">
        <v>1799</v>
      </c>
      <c r="B1783" t="s">
        <v>21</v>
      </c>
      <c r="C1783">
        <v>1598</v>
      </c>
      <c r="D1783">
        <v>0</v>
      </c>
      <c r="E1783">
        <v>0</v>
      </c>
      <c r="F1783">
        <f>COUNTIFS(mdr_rate_cleaned!$A$2:$A$10,B1783,mdr_rate_cleaned!$B$2:$B$10,"&lt;"&amp;C1783,mdr_rate_cleaned!$F$2:$F$10,"&gt;="&amp;C1783)</f>
        <v>1</v>
      </c>
      <c r="G1783">
        <v>0</v>
      </c>
      <c r="H1783">
        <v>0</v>
      </c>
      <c r="I1783" t="s">
        <v>15</v>
      </c>
      <c r="J1783" t="s">
        <v>15</v>
      </c>
      <c r="K1783">
        <v>0</v>
      </c>
      <c r="L1783">
        <v>0</v>
      </c>
    </row>
    <row r="1784" spans="1:12" x14ac:dyDescent="0.3">
      <c r="A1784" t="s">
        <v>1800</v>
      </c>
      <c r="B1784" t="s">
        <v>21</v>
      </c>
      <c r="C1784">
        <v>1648</v>
      </c>
      <c r="D1784">
        <v>0</v>
      </c>
      <c r="E1784">
        <v>0</v>
      </c>
      <c r="F1784">
        <f>COUNTIFS(mdr_rate_cleaned!$A$2:$A$10,B1784,mdr_rate_cleaned!$B$2:$B$10,"&lt;"&amp;C1784,mdr_rate_cleaned!$F$2:$F$10,"&gt;="&amp;C1784)</f>
        <v>1</v>
      </c>
      <c r="G1784">
        <v>0</v>
      </c>
      <c r="H1784">
        <v>0</v>
      </c>
      <c r="I1784" t="s">
        <v>15</v>
      </c>
      <c r="J1784" t="s">
        <v>15</v>
      </c>
      <c r="K1784">
        <v>0</v>
      </c>
      <c r="L1784">
        <v>0</v>
      </c>
    </row>
    <row r="1785" spans="1:12" x14ac:dyDescent="0.3">
      <c r="A1785" t="s">
        <v>1801</v>
      </c>
      <c r="B1785" t="s">
        <v>21</v>
      </c>
      <c r="C1785">
        <v>499</v>
      </c>
      <c r="D1785">
        <v>0</v>
      </c>
      <c r="E1785">
        <v>0</v>
      </c>
      <c r="F1785">
        <f>COUNTIFS(mdr_rate_cleaned!$A$2:$A$10,B1785,mdr_rate_cleaned!$B$2:$B$10,"&lt;"&amp;C1785,mdr_rate_cleaned!$F$2:$F$10,"&gt;="&amp;C1785)</f>
        <v>1</v>
      </c>
      <c r="G1785">
        <v>0</v>
      </c>
      <c r="H1785">
        <v>0</v>
      </c>
      <c r="I1785" t="s">
        <v>15</v>
      </c>
      <c r="J1785" t="s">
        <v>15</v>
      </c>
      <c r="K1785">
        <v>0</v>
      </c>
      <c r="L1785">
        <v>0</v>
      </c>
    </row>
    <row r="1786" spans="1:12" x14ac:dyDescent="0.3">
      <c r="A1786" t="s">
        <v>1802</v>
      </c>
      <c r="B1786" t="s">
        <v>17</v>
      </c>
      <c r="C1786">
        <v>2499</v>
      </c>
      <c r="D1786">
        <v>39.979999999999997</v>
      </c>
      <c r="E1786">
        <v>7.2</v>
      </c>
      <c r="F1786">
        <f>COUNTIFS(mdr_rate_cleaned!$A$2:$A$10,B1786,mdr_rate_cleaned!$B$2:$B$10,"&lt;"&amp;C1786,mdr_rate_cleaned!$F$2:$F$10,"&gt;="&amp;C1786)</f>
        <v>1</v>
      </c>
      <c r="G1786">
        <v>1.6E-2</v>
      </c>
      <c r="H1786">
        <v>39.979999999999997</v>
      </c>
      <c r="I1786" t="s">
        <v>15</v>
      </c>
      <c r="J1786" t="s">
        <v>15</v>
      </c>
      <c r="K1786">
        <v>7.2</v>
      </c>
      <c r="L1786">
        <v>0</v>
      </c>
    </row>
    <row r="1787" spans="1:12" x14ac:dyDescent="0.3">
      <c r="A1787" t="s">
        <v>1803</v>
      </c>
      <c r="B1787" t="s">
        <v>21</v>
      </c>
      <c r="C1787">
        <v>499</v>
      </c>
      <c r="D1787">
        <v>0</v>
      </c>
      <c r="E1787">
        <v>0</v>
      </c>
      <c r="F1787">
        <f>COUNTIFS(mdr_rate_cleaned!$A$2:$A$10,B1787,mdr_rate_cleaned!$B$2:$B$10,"&lt;"&amp;C1787,mdr_rate_cleaned!$F$2:$F$10,"&gt;="&amp;C1787)</f>
        <v>1</v>
      </c>
      <c r="G1787">
        <v>0</v>
      </c>
      <c r="H1787">
        <v>0</v>
      </c>
      <c r="I1787" t="s">
        <v>15</v>
      </c>
      <c r="J1787" t="s">
        <v>15</v>
      </c>
      <c r="K1787">
        <v>0</v>
      </c>
      <c r="L1787">
        <v>0</v>
      </c>
    </row>
    <row r="1788" spans="1:12" x14ac:dyDescent="0.3">
      <c r="A1788" t="s">
        <v>1804</v>
      </c>
      <c r="B1788" t="s">
        <v>13</v>
      </c>
      <c r="C1788">
        <v>7297</v>
      </c>
      <c r="D1788">
        <v>124.05</v>
      </c>
      <c r="E1788">
        <v>22.33</v>
      </c>
      <c r="F1788">
        <f>COUNTIFS(mdr_rate_cleaned!$A$2:$A$10,B1788,mdr_rate_cleaned!$B$2:$B$10,"&lt;"&amp;C1788,mdr_rate_cleaned!$F$2:$F$10,"&gt;="&amp;C1788)</f>
        <v>1</v>
      </c>
      <c r="G1788">
        <v>1.7000000000000001E-2</v>
      </c>
      <c r="H1788">
        <v>124.05</v>
      </c>
      <c r="I1788" t="s">
        <v>15</v>
      </c>
      <c r="J1788" t="s">
        <v>15</v>
      </c>
      <c r="K1788">
        <v>22.33</v>
      </c>
      <c r="L1788">
        <v>0</v>
      </c>
    </row>
    <row r="1789" spans="1:12" x14ac:dyDescent="0.3">
      <c r="A1789" t="s">
        <v>1805</v>
      </c>
      <c r="B1789" t="s">
        <v>21</v>
      </c>
      <c r="C1789">
        <v>1799</v>
      </c>
      <c r="D1789">
        <v>0</v>
      </c>
      <c r="E1789">
        <v>0</v>
      </c>
      <c r="F1789">
        <f>COUNTIFS(mdr_rate_cleaned!$A$2:$A$10,B1789,mdr_rate_cleaned!$B$2:$B$10,"&lt;"&amp;C1789,mdr_rate_cleaned!$F$2:$F$10,"&gt;="&amp;C1789)</f>
        <v>1</v>
      </c>
      <c r="G1789">
        <v>0</v>
      </c>
      <c r="H1789">
        <v>0</v>
      </c>
      <c r="I1789" t="s">
        <v>15</v>
      </c>
      <c r="J1789" t="s">
        <v>15</v>
      </c>
      <c r="K1789">
        <v>0</v>
      </c>
      <c r="L1789">
        <v>0</v>
      </c>
    </row>
    <row r="1790" spans="1:12" x14ac:dyDescent="0.3">
      <c r="A1790" t="s">
        <v>1806</v>
      </c>
      <c r="B1790" t="s">
        <v>39</v>
      </c>
      <c r="C1790">
        <v>1799</v>
      </c>
      <c r="D1790">
        <v>26.99</v>
      </c>
      <c r="E1790">
        <v>4.8600000000000003</v>
      </c>
      <c r="F1790">
        <f>COUNTIFS(mdr_rate_cleaned!$A$2:$A$10,B1790,mdr_rate_cleaned!$B$2:$B$10,"&lt;"&amp;C1790,mdr_rate_cleaned!$F$2:$F$10,"&gt;="&amp;C1790)</f>
        <v>1</v>
      </c>
      <c r="G1790">
        <v>1.4999999999999999E-2</v>
      </c>
      <c r="H1790">
        <v>26.99</v>
      </c>
      <c r="I1790" t="s">
        <v>15</v>
      </c>
      <c r="J1790" t="s">
        <v>15</v>
      </c>
      <c r="K1790">
        <v>4.8600000000000003</v>
      </c>
      <c r="L1790">
        <v>0</v>
      </c>
    </row>
    <row r="1791" spans="1:12" x14ac:dyDescent="0.3">
      <c r="A1791" t="s">
        <v>1807</v>
      </c>
      <c r="B1791" t="s">
        <v>17</v>
      </c>
      <c r="C1791">
        <v>1299</v>
      </c>
      <c r="D1791">
        <v>23.38</v>
      </c>
      <c r="E1791">
        <v>4.21</v>
      </c>
      <c r="F1791">
        <f>COUNTIFS(mdr_rate_cleaned!$A$2:$A$10,B1791,mdr_rate_cleaned!$B$2:$B$10,"&lt;"&amp;C1791,mdr_rate_cleaned!$F$2:$F$10,"&gt;="&amp;C1791)</f>
        <v>1</v>
      </c>
      <c r="G1791">
        <v>1.7999999999999999E-2</v>
      </c>
      <c r="H1791">
        <v>23.38</v>
      </c>
      <c r="I1791" t="s">
        <v>15</v>
      </c>
      <c r="J1791" t="s">
        <v>15</v>
      </c>
      <c r="K1791">
        <v>4.21</v>
      </c>
      <c r="L1791">
        <v>0</v>
      </c>
    </row>
    <row r="1792" spans="1:12" x14ac:dyDescent="0.3">
      <c r="A1792" t="s">
        <v>1808</v>
      </c>
      <c r="B1792" t="s">
        <v>17</v>
      </c>
      <c r="C1792">
        <v>999</v>
      </c>
      <c r="D1792">
        <v>17.98</v>
      </c>
      <c r="E1792">
        <v>3.24</v>
      </c>
      <c r="F1792">
        <f>COUNTIFS(mdr_rate_cleaned!$A$2:$A$10,B1792,mdr_rate_cleaned!$B$2:$B$10,"&lt;"&amp;C1792,mdr_rate_cleaned!$F$2:$F$10,"&gt;="&amp;C1792)</f>
        <v>1</v>
      </c>
      <c r="G1792">
        <v>1.7999999999999999E-2</v>
      </c>
      <c r="H1792">
        <v>17.98</v>
      </c>
      <c r="I1792" t="s">
        <v>15</v>
      </c>
      <c r="J1792" t="s">
        <v>15</v>
      </c>
      <c r="K1792">
        <v>3.24</v>
      </c>
      <c r="L1792">
        <v>0</v>
      </c>
    </row>
    <row r="1793" spans="1:12" x14ac:dyDescent="0.3">
      <c r="A1793" t="s">
        <v>1809</v>
      </c>
      <c r="B1793" t="s">
        <v>17</v>
      </c>
      <c r="C1793">
        <v>5998</v>
      </c>
      <c r="D1793">
        <v>95.97</v>
      </c>
      <c r="E1793">
        <v>17.27</v>
      </c>
      <c r="F1793">
        <f>COUNTIFS(mdr_rate_cleaned!$A$2:$A$10,B1793,mdr_rate_cleaned!$B$2:$B$10,"&lt;"&amp;C1793,mdr_rate_cleaned!$F$2:$F$10,"&gt;="&amp;C1793)</f>
        <v>1</v>
      </c>
      <c r="G1793">
        <v>1.6E-2</v>
      </c>
      <c r="H1793">
        <v>95.97</v>
      </c>
      <c r="I1793" t="s">
        <v>15</v>
      </c>
      <c r="J1793" t="s">
        <v>15</v>
      </c>
      <c r="K1793">
        <v>17.27</v>
      </c>
      <c r="L1793">
        <v>0</v>
      </c>
    </row>
    <row r="1794" spans="1:12" x14ac:dyDescent="0.3">
      <c r="A1794" t="s">
        <v>1810</v>
      </c>
      <c r="B1794" t="s">
        <v>39</v>
      </c>
      <c r="C1794">
        <v>499</v>
      </c>
      <c r="D1794">
        <v>7.49</v>
      </c>
      <c r="E1794">
        <v>1.35</v>
      </c>
      <c r="F1794">
        <f>COUNTIFS(mdr_rate_cleaned!$A$2:$A$10,B1794,mdr_rate_cleaned!$B$2:$B$10,"&lt;"&amp;C1794,mdr_rate_cleaned!$F$2:$F$10,"&gt;="&amp;C1794)</f>
        <v>1</v>
      </c>
      <c r="G1794">
        <v>1.4999999999999999E-2</v>
      </c>
      <c r="H1794">
        <v>7.49</v>
      </c>
      <c r="I1794" t="s">
        <v>15</v>
      </c>
      <c r="J1794" t="s">
        <v>15</v>
      </c>
      <c r="K1794">
        <v>1.35</v>
      </c>
      <c r="L1794">
        <v>0</v>
      </c>
    </row>
    <row r="1795" spans="1:12" x14ac:dyDescent="0.3">
      <c r="A1795" t="s">
        <v>1811</v>
      </c>
      <c r="B1795" t="s">
        <v>21</v>
      </c>
      <c r="C1795">
        <v>3499</v>
      </c>
      <c r="D1795">
        <v>10.5</v>
      </c>
      <c r="E1795">
        <v>1.89</v>
      </c>
      <c r="F1795">
        <f>COUNTIFS(mdr_rate_cleaned!$A$2:$A$10,B1795,mdr_rate_cleaned!$B$2:$B$10,"&lt;"&amp;C1795,mdr_rate_cleaned!$F$2:$F$10,"&gt;="&amp;C1795)</f>
        <v>1</v>
      </c>
      <c r="G1795">
        <v>3.0000000000000001E-3</v>
      </c>
      <c r="H1795">
        <v>10.5</v>
      </c>
      <c r="I1795" t="s">
        <v>15</v>
      </c>
      <c r="J1795" t="s">
        <v>15</v>
      </c>
      <c r="K1795">
        <v>1.89</v>
      </c>
      <c r="L1795">
        <v>0</v>
      </c>
    </row>
    <row r="1796" spans="1:12" x14ac:dyDescent="0.3">
      <c r="A1796" t="s">
        <v>1812</v>
      </c>
      <c r="B1796" t="s">
        <v>21</v>
      </c>
      <c r="C1796">
        <v>6298</v>
      </c>
      <c r="D1796">
        <v>18.89</v>
      </c>
      <c r="E1796">
        <v>3.4</v>
      </c>
      <c r="F1796">
        <f>COUNTIFS(mdr_rate_cleaned!$A$2:$A$10,B1796,mdr_rate_cleaned!$B$2:$B$10,"&lt;"&amp;C1796,mdr_rate_cleaned!$F$2:$F$10,"&gt;="&amp;C1796)</f>
        <v>1</v>
      </c>
      <c r="G1796">
        <v>3.0000000000000001E-3</v>
      </c>
      <c r="H1796">
        <v>18.89</v>
      </c>
      <c r="I1796" t="s">
        <v>15</v>
      </c>
      <c r="J1796" t="s">
        <v>15</v>
      </c>
      <c r="K1796">
        <v>3.4</v>
      </c>
      <c r="L1796">
        <v>0</v>
      </c>
    </row>
    <row r="1797" spans="1:12" x14ac:dyDescent="0.3">
      <c r="A1797" t="s">
        <v>1813</v>
      </c>
      <c r="B1797" t="s">
        <v>21</v>
      </c>
      <c r="C1797">
        <v>4999</v>
      </c>
      <c r="D1797">
        <v>15</v>
      </c>
      <c r="E1797">
        <v>2.7</v>
      </c>
      <c r="F1797">
        <f>COUNTIFS(mdr_rate_cleaned!$A$2:$A$10,B1797,mdr_rate_cleaned!$B$2:$B$10,"&lt;"&amp;C1797,mdr_rate_cleaned!$F$2:$F$10,"&gt;="&amp;C1797)</f>
        <v>1</v>
      </c>
      <c r="G1797">
        <v>3.0000000000000001E-3</v>
      </c>
      <c r="H1797">
        <v>15</v>
      </c>
      <c r="I1797" t="s">
        <v>15</v>
      </c>
      <c r="J1797" t="s">
        <v>15</v>
      </c>
      <c r="K1797">
        <v>2.7</v>
      </c>
      <c r="L1797">
        <v>0</v>
      </c>
    </row>
    <row r="1798" spans="1:12" x14ac:dyDescent="0.3">
      <c r="A1798" t="s">
        <v>1814</v>
      </c>
      <c r="B1798" t="s">
        <v>17</v>
      </c>
      <c r="C1798">
        <v>4999</v>
      </c>
      <c r="D1798">
        <v>79.98</v>
      </c>
      <c r="E1798">
        <v>14.4</v>
      </c>
      <c r="F1798">
        <f>COUNTIFS(mdr_rate_cleaned!$A$2:$A$10,B1798,mdr_rate_cleaned!$B$2:$B$10,"&lt;"&amp;C1798,mdr_rate_cleaned!$F$2:$F$10,"&gt;="&amp;C1798)</f>
        <v>1</v>
      </c>
      <c r="G1798">
        <v>1.6E-2</v>
      </c>
      <c r="H1798">
        <v>79.98</v>
      </c>
      <c r="I1798" t="s">
        <v>15</v>
      </c>
      <c r="J1798" t="s">
        <v>15</v>
      </c>
      <c r="K1798">
        <v>14.4</v>
      </c>
      <c r="L1798">
        <v>0</v>
      </c>
    </row>
    <row r="1799" spans="1:12" x14ac:dyDescent="0.3">
      <c r="A1799" t="s">
        <v>1815</v>
      </c>
      <c r="B1799" t="s">
        <v>21</v>
      </c>
      <c r="C1799">
        <v>4999</v>
      </c>
      <c r="D1799">
        <v>15</v>
      </c>
      <c r="E1799">
        <v>2.7</v>
      </c>
      <c r="F1799">
        <f>COUNTIFS(mdr_rate_cleaned!$A$2:$A$10,B1799,mdr_rate_cleaned!$B$2:$B$10,"&lt;"&amp;C1799,mdr_rate_cleaned!$F$2:$F$10,"&gt;="&amp;C1799)</f>
        <v>1</v>
      </c>
      <c r="G1799">
        <v>3.0000000000000001E-3</v>
      </c>
      <c r="H1799">
        <v>15</v>
      </c>
      <c r="I1799" t="s">
        <v>15</v>
      </c>
      <c r="J1799" t="s">
        <v>15</v>
      </c>
      <c r="K1799">
        <v>2.7</v>
      </c>
      <c r="L1799">
        <v>0</v>
      </c>
    </row>
    <row r="1800" spans="1:12" x14ac:dyDescent="0.3">
      <c r="A1800" t="s">
        <v>1816</v>
      </c>
      <c r="B1800" t="s">
        <v>13</v>
      </c>
      <c r="C1800">
        <v>4298</v>
      </c>
      <c r="D1800">
        <v>73.069999999999993</v>
      </c>
      <c r="E1800">
        <v>13.15</v>
      </c>
      <c r="F1800">
        <f>COUNTIFS(mdr_rate_cleaned!$A$2:$A$10,B1800,mdr_rate_cleaned!$B$2:$B$10,"&lt;"&amp;C1800,mdr_rate_cleaned!$F$2:$F$10,"&gt;="&amp;C1800)</f>
        <v>1</v>
      </c>
      <c r="G1800">
        <v>1.7000000000000001E-2</v>
      </c>
      <c r="H1800">
        <v>73.069999999999993</v>
      </c>
      <c r="I1800" t="s">
        <v>15</v>
      </c>
      <c r="J1800" t="s">
        <v>15</v>
      </c>
      <c r="K1800">
        <v>13.15</v>
      </c>
      <c r="L1800">
        <v>0</v>
      </c>
    </row>
    <row r="1801" spans="1:12" x14ac:dyDescent="0.3">
      <c r="A1801" t="s">
        <v>1817</v>
      </c>
      <c r="B1801" t="s">
        <v>21</v>
      </c>
      <c r="C1801">
        <v>3499</v>
      </c>
      <c r="D1801">
        <v>10.5</v>
      </c>
      <c r="E1801">
        <v>1.89</v>
      </c>
      <c r="F1801">
        <f>COUNTIFS(mdr_rate_cleaned!$A$2:$A$10,B1801,mdr_rate_cleaned!$B$2:$B$10,"&lt;"&amp;C1801,mdr_rate_cleaned!$F$2:$F$10,"&gt;="&amp;C1801)</f>
        <v>1</v>
      </c>
      <c r="G1801">
        <v>3.0000000000000001E-3</v>
      </c>
      <c r="H1801">
        <v>10.5</v>
      </c>
      <c r="I1801" t="s">
        <v>15</v>
      </c>
      <c r="J1801" t="s">
        <v>15</v>
      </c>
      <c r="K1801">
        <v>1.89</v>
      </c>
      <c r="L1801">
        <v>0</v>
      </c>
    </row>
    <row r="1802" spans="1:12" x14ac:dyDescent="0.3">
      <c r="A1802" t="s">
        <v>1818</v>
      </c>
      <c r="B1802" t="s">
        <v>13</v>
      </c>
      <c r="C1802">
        <v>3597</v>
      </c>
      <c r="D1802">
        <v>61.15</v>
      </c>
      <c r="E1802">
        <v>11.01</v>
      </c>
      <c r="F1802">
        <f>COUNTIFS(mdr_rate_cleaned!$A$2:$A$10,B1802,mdr_rate_cleaned!$B$2:$B$10,"&lt;"&amp;C1802,mdr_rate_cleaned!$F$2:$F$10,"&gt;="&amp;C1802)</f>
        <v>1</v>
      </c>
      <c r="G1802">
        <v>1.7000000000000001E-2</v>
      </c>
      <c r="H1802">
        <v>61.15</v>
      </c>
      <c r="I1802" t="s">
        <v>15</v>
      </c>
      <c r="J1802" t="s">
        <v>15</v>
      </c>
      <c r="K1802">
        <v>11.01</v>
      </c>
      <c r="L1802">
        <v>0</v>
      </c>
    </row>
    <row r="1803" spans="1:12" x14ac:dyDescent="0.3">
      <c r="A1803" t="s">
        <v>1819</v>
      </c>
      <c r="B1803" t="s">
        <v>13</v>
      </c>
      <c r="C1803">
        <v>999</v>
      </c>
      <c r="D1803">
        <v>18.98</v>
      </c>
      <c r="E1803">
        <v>3.42</v>
      </c>
      <c r="F1803">
        <f>COUNTIFS(mdr_rate_cleaned!$A$2:$A$10,B1803,mdr_rate_cleaned!$B$2:$B$10,"&lt;"&amp;C1803,mdr_rate_cleaned!$F$2:$F$10,"&gt;="&amp;C1803)</f>
        <v>1</v>
      </c>
      <c r="G1803">
        <v>1.9E-2</v>
      </c>
      <c r="H1803">
        <v>18.98</v>
      </c>
      <c r="I1803" t="s">
        <v>15</v>
      </c>
      <c r="J1803" t="s">
        <v>15</v>
      </c>
      <c r="K1803">
        <v>3.42</v>
      </c>
      <c r="L1803">
        <v>0</v>
      </c>
    </row>
    <row r="1804" spans="1:12" x14ac:dyDescent="0.3">
      <c r="A1804" t="s">
        <v>1820</v>
      </c>
      <c r="B1804" t="s">
        <v>17</v>
      </c>
      <c r="C1804">
        <v>1799</v>
      </c>
      <c r="D1804">
        <v>32.380000000000003</v>
      </c>
      <c r="E1804">
        <v>5.83</v>
      </c>
      <c r="F1804">
        <f>COUNTIFS(mdr_rate_cleaned!$A$2:$A$10,B1804,mdr_rate_cleaned!$B$2:$B$10,"&lt;"&amp;C1804,mdr_rate_cleaned!$F$2:$F$10,"&gt;="&amp;C1804)</f>
        <v>1</v>
      </c>
      <c r="G1804">
        <v>1.7999999999999999E-2</v>
      </c>
      <c r="H1804">
        <v>32.380000000000003</v>
      </c>
      <c r="I1804" t="s">
        <v>15</v>
      </c>
      <c r="J1804" t="s">
        <v>15</v>
      </c>
      <c r="K1804">
        <v>5.83</v>
      </c>
      <c r="L1804">
        <v>0</v>
      </c>
    </row>
    <row r="1805" spans="1:12" x14ac:dyDescent="0.3">
      <c r="A1805" t="s">
        <v>1821</v>
      </c>
      <c r="B1805" t="s">
        <v>13</v>
      </c>
      <c r="C1805">
        <v>1799</v>
      </c>
      <c r="D1805">
        <v>34.18</v>
      </c>
      <c r="E1805">
        <v>6.15</v>
      </c>
      <c r="F1805">
        <f>COUNTIFS(mdr_rate_cleaned!$A$2:$A$10,B1805,mdr_rate_cleaned!$B$2:$B$10,"&lt;"&amp;C1805,mdr_rate_cleaned!$F$2:$F$10,"&gt;="&amp;C1805)</f>
        <v>1</v>
      </c>
      <c r="G1805">
        <v>1.9E-2</v>
      </c>
      <c r="H1805">
        <v>34.18</v>
      </c>
      <c r="I1805" t="s">
        <v>15</v>
      </c>
      <c r="J1805" t="s">
        <v>15</v>
      </c>
      <c r="K1805">
        <v>6.15</v>
      </c>
      <c r="L1805">
        <v>0</v>
      </c>
    </row>
    <row r="1806" spans="1:12" x14ac:dyDescent="0.3">
      <c r="A1806" t="s">
        <v>1822</v>
      </c>
      <c r="B1806" t="s">
        <v>21</v>
      </c>
      <c r="C1806">
        <v>5498</v>
      </c>
      <c r="D1806">
        <v>16.489999999999998</v>
      </c>
      <c r="E1806">
        <v>2.97</v>
      </c>
      <c r="F1806">
        <f>COUNTIFS(mdr_rate_cleaned!$A$2:$A$10,B1806,mdr_rate_cleaned!$B$2:$B$10,"&lt;"&amp;C1806,mdr_rate_cleaned!$F$2:$F$10,"&gt;="&amp;C1806)</f>
        <v>1</v>
      </c>
      <c r="G1806">
        <v>3.0000000000000001E-3</v>
      </c>
      <c r="H1806">
        <v>16.489999999999998</v>
      </c>
      <c r="I1806" t="s">
        <v>15</v>
      </c>
      <c r="J1806" t="s">
        <v>15</v>
      </c>
      <c r="K1806">
        <v>2.97</v>
      </c>
      <c r="L1806">
        <v>0</v>
      </c>
    </row>
    <row r="1807" spans="1:12" x14ac:dyDescent="0.3">
      <c r="A1807" t="s">
        <v>1823</v>
      </c>
      <c r="B1807" t="s">
        <v>21</v>
      </c>
      <c r="C1807">
        <v>7497</v>
      </c>
      <c r="D1807">
        <v>22.49</v>
      </c>
      <c r="E1807">
        <v>4.05</v>
      </c>
      <c r="F1807">
        <f>COUNTIFS(mdr_rate_cleaned!$A$2:$A$10,B1807,mdr_rate_cleaned!$B$2:$B$10,"&lt;"&amp;C1807,mdr_rate_cleaned!$F$2:$F$10,"&gt;="&amp;C1807)</f>
        <v>1</v>
      </c>
      <c r="G1807">
        <v>3.0000000000000001E-3</v>
      </c>
      <c r="H1807">
        <v>22.49</v>
      </c>
      <c r="I1807" t="s">
        <v>15</v>
      </c>
      <c r="J1807" t="s">
        <v>15</v>
      </c>
      <c r="K1807">
        <v>4.05</v>
      </c>
      <c r="L1807">
        <v>0</v>
      </c>
    </row>
    <row r="1808" spans="1:12" x14ac:dyDescent="0.3">
      <c r="A1808" t="s">
        <v>1824</v>
      </c>
      <c r="B1808" t="s">
        <v>13</v>
      </c>
      <c r="C1808">
        <v>1499</v>
      </c>
      <c r="D1808">
        <v>28.48</v>
      </c>
      <c r="E1808">
        <v>5.13</v>
      </c>
      <c r="F1808">
        <f>COUNTIFS(mdr_rate_cleaned!$A$2:$A$10,B1808,mdr_rate_cleaned!$B$2:$B$10,"&lt;"&amp;C1808,mdr_rate_cleaned!$F$2:$F$10,"&gt;="&amp;C1808)</f>
        <v>1</v>
      </c>
      <c r="G1808">
        <v>1.9E-2</v>
      </c>
      <c r="H1808">
        <v>28.48</v>
      </c>
      <c r="I1808" t="s">
        <v>15</v>
      </c>
      <c r="J1808" t="s">
        <v>15</v>
      </c>
      <c r="K1808">
        <v>5.13</v>
      </c>
      <c r="L1808">
        <v>0</v>
      </c>
    </row>
    <row r="1809" spans="1:12" x14ac:dyDescent="0.3">
      <c r="A1809" t="s">
        <v>1825</v>
      </c>
      <c r="B1809" t="s">
        <v>17</v>
      </c>
      <c r="C1809">
        <v>3499</v>
      </c>
      <c r="D1809">
        <v>55.98</v>
      </c>
      <c r="E1809">
        <v>10.08</v>
      </c>
      <c r="F1809">
        <f>COUNTIFS(mdr_rate_cleaned!$A$2:$A$10,B1809,mdr_rate_cleaned!$B$2:$B$10,"&lt;"&amp;C1809,mdr_rate_cleaned!$F$2:$F$10,"&gt;="&amp;C1809)</f>
        <v>1</v>
      </c>
      <c r="G1809">
        <v>1.6E-2</v>
      </c>
      <c r="H1809">
        <v>55.98</v>
      </c>
      <c r="I1809" t="s">
        <v>15</v>
      </c>
      <c r="J1809" t="s">
        <v>15</v>
      </c>
      <c r="K1809">
        <v>10.08</v>
      </c>
      <c r="L1809">
        <v>0</v>
      </c>
    </row>
    <row r="1810" spans="1:12" x14ac:dyDescent="0.3">
      <c r="A1810" t="s">
        <v>1826</v>
      </c>
      <c r="B1810" t="s">
        <v>17</v>
      </c>
      <c r="C1810">
        <v>2999</v>
      </c>
      <c r="D1810">
        <v>47.98</v>
      </c>
      <c r="E1810">
        <v>8.64</v>
      </c>
      <c r="F1810">
        <f>COUNTIFS(mdr_rate_cleaned!$A$2:$A$10,B1810,mdr_rate_cleaned!$B$2:$B$10,"&lt;"&amp;C1810,mdr_rate_cleaned!$F$2:$F$10,"&gt;="&amp;C1810)</f>
        <v>1</v>
      </c>
      <c r="G1810">
        <v>1.6E-2</v>
      </c>
      <c r="H1810">
        <v>47.98</v>
      </c>
      <c r="I1810" t="s">
        <v>15</v>
      </c>
      <c r="J1810" t="s">
        <v>15</v>
      </c>
      <c r="K1810">
        <v>8.64</v>
      </c>
      <c r="L1810">
        <v>0</v>
      </c>
    </row>
    <row r="1811" spans="1:12" x14ac:dyDescent="0.3">
      <c r="A1811" t="s">
        <v>1827</v>
      </c>
      <c r="B1811" t="s">
        <v>21</v>
      </c>
      <c r="C1811">
        <v>599</v>
      </c>
      <c r="D1811">
        <v>0</v>
      </c>
      <c r="E1811">
        <v>0</v>
      </c>
      <c r="F1811">
        <f>COUNTIFS(mdr_rate_cleaned!$A$2:$A$10,B1811,mdr_rate_cleaned!$B$2:$B$10,"&lt;"&amp;C1811,mdr_rate_cleaned!$F$2:$F$10,"&gt;="&amp;C1811)</f>
        <v>1</v>
      </c>
      <c r="G1811">
        <v>0</v>
      </c>
      <c r="H1811">
        <v>0</v>
      </c>
      <c r="I1811" t="s">
        <v>15</v>
      </c>
      <c r="J1811" t="s">
        <v>15</v>
      </c>
      <c r="K1811">
        <v>0</v>
      </c>
      <c r="L1811">
        <v>0</v>
      </c>
    </row>
    <row r="1812" spans="1:12" x14ac:dyDescent="0.3">
      <c r="A1812" t="s">
        <v>1828</v>
      </c>
      <c r="B1812" t="s">
        <v>21</v>
      </c>
      <c r="C1812">
        <v>799</v>
      </c>
      <c r="D1812">
        <v>0</v>
      </c>
      <c r="E1812">
        <v>0</v>
      </c>
      <c r="F1812">
        <f>COUNTIFS(mdr_rate_cleaned!$A$2:$A$10,B1812,mdr_rate_cleaned!$B$2:$B$10,"&lt;"&amp;C1812,mdr_rate_cleaned!$F$2:$F$10,"&gt;="&amp;C1812)</f>
        <v>1</v>
      </c>
      <c r="G1812">
        <v>0</v>
      </c>
      <c r="H1812">
        <v>0</v>
      </c>
      <c r="I1812" t="s">
        <v>15</v>
      </c>
      <c r="J1812" t="s">
        <v>15</v>
      </c>
      <c r="K1812">
        <v>0</v>
      </c>
      <c r="L1812">
        <v>0</v>
      </c>
    </row>
    <row r="1813" spans="1:12" x14ac:dyDescent="0.3">
      <c r="A1813" t="s">
        <v>1829</v>
      </c>
      <c r="B1813" t="s">
        <v>21</v>
      </c>
      <c r="C1813">
        <v>1148</v>
      </c>
      <c r="D1813">
        <v>0</v>
      </c>
      <c r="E1813">
        <v>0</v>
      </c>
      <c r="F1813">
        <f>COUNTIFS(mdr_rate_cleaned!$A$2:$A$10,B1813,mdr_rate_cleaned!$B$2:$B$10,"&lt;"&amp;C1813,mdr_rate_cleaned!$F$2:$F$10,"&gt;="&amp;C1813)</f>
        <v>1</v>
      </c>
      <c r="G1813">
        <v>0</v>
      </c>
      <c r="H1813">
        <v>0</v>
      </c>
      <c r="I1813" t="s">
        <v>15</v>
      </c>
      <c r="J1813" t="s">
        <v>15</v>
      </c>
      <c r="K1813">
        <v>0</v>
      </c>
      <c r="L1813">
        <v>0</v>
      </c>
    </row>
    <row r="1814" spans="1:12" x14ac:dyDescent="0.3">
      <c r="A1814" t="s">
        <v>1830</v>
      </c>
      <c r="B1814" t="s">
        <v>17</v>
      </c>
      <c r="C1814">
        <v>3597</v>
      </c>
      <c r="D1814">
        <v>57.55</v>
      </c>
      <c r="E1814">
        <v>10.36</v>
      </c>
      <c r="F1814">
        <f>COUNTIFS(mdr_rate_cleaned!$A$2:$A$10,B1814,mdr_rate_cleaned!$B$2:$B$10,"&lt;"&amp;C1814,mdr_rate_cleaned!$F$2:$F$10,"&gt;="&amp;C1814)</f>
        <v>1</v>
      </c>
      <c r="G1814">
        <v>1.6E-2</v>
      </c>
      <c r="H1814">
        <v>57.55</v>
      </c>
      <c r="I1814" t="s">
        <v>15</v>
      </c>
      <c r="J1814" t="s">
        <v>15</v>
      </c>
      <c r="K1814">
        <v>10.36</v>
      </c>
      <c r="L1814">
        <v>0</v>
      </c>
    </row>
    <row r="1815" spans="1:12" x14ac:dyDescent="0.3">
      <c r="A1815" t="s">
        <v>1831</v>
      </c>
      <c r="B1815" t="s">
        <v>13</v>
      </c>
      <c r="C1815">
        <v>1799</v>
      </c>
      <c r="D1815">
        <v>34.18</v>
      </c>
      <c r="E1815">
        <v>6.15</v>
      </c>
      <c r="F1815">
        <f>COUNTIFS(mdr_rate_cleaned!$A$2:$A$10,B1815,mdr_rate_cleaned!$B$2:$B$10,"&lt;"&amp;C1815,mdr_rate_cleaned!$F$2:$F$10,"&gt;="&amp;C1815)</f>
        <v>1</v>
      </c>
      <c r="G1815">
        <v>1.9E-2</v>
      </c>
      <c r="H1815">
        <v>34.18</v>
      </c>
      <c r="I1815" t="s">
        <v>15</v>
      </c>
      <c r="J1815" t="s">
        <v>15</v>
      </c>
      <c r="K1815">
        <v>6.15</v>
      </c>
      <c r="L1815">
        <v>0</v>
      </c>
    </row>
    <row r="1816" spans="1:12" x14ac:dyDescent="0.3">
      <c r="A1816" t="s">
        <v>1832</v>
      </c>
      <c r="B1816" t="s">
        <v>21</v>
      </c>
      <c r="C1816">
        <v>9798</v>
      </c>
      <c r="D1816">
        <v>29.39</v>
      </c>
      <c r="E1816">
        <v>5.29</v>
      </c>
      <c r="F1816">
        <f>COUNTIFS(mdr_rate_cleaned!$A$2:$A$10,B1816,mdr_rate_cleaned!$B$2:$B$10,"&lt;"&amp;C1816,mdr_rate_cleaned!$F$2:$F$10,"&gt;="&amp;C1816)</f>
        <v>1</v>
      </c>
      <c r="G1816">
        <v>3.0000000000000001E-3</v>
      </c>
      <c r="H1816">
        <v>29.39</v>
      </c>
      <c r="I1816" t="s">
        <v>15</v>
      </c>
      <c r="J1816" t="s">
        <v>15</v>
      </c>
      <c r="K1816">
        <v>5.29</v>
      </c>
      <c r="L1816">
        <v>0</v>
      </c>
    </row>
    <row r="1817" spans="1:12" x14ac:dyDescent="0.3">
      <c r="A1817" t="s">
        <v>1833</v>
      </c>
      <c r="B1817" t="s">
        <v>17</v>
      </c>
      <c r="C1817">
        <v>499</v>
      </c>
      <c r="D1817">
        <v>8.98</v>
      </c>
      <c r="E1817">
        <v>1.62</v>
      </c>
      <c r="F1817">
        <f>COUNTIFS(mdr_rate_cleaned!$A$2:$A$10,B1817,mdr_rate_cleaned!$B$2:$B$10,"&lt;"&amp;C1817,mdr_rate_cleaned!$F$2:$F$10,"&gt;="&amp;C1817)</f>
        <v>1</v>
      </c>
      <c r="G1817">
        <v>1.7999999999999999E-2</v>
      </c>
      <c r="H1817">
        <v>8.98</v>
      </c>
      <c r="I1817" t="s">
        <v>15</v>
      </c>
      <c r="J1817" t="s">
        <v>15</v>
      </c>
      <c r="K1817">
        <v>1.62</v>
      </c>
      <c r="L1817">
        <v>0</v>
      </c>
    </row>
    <row r="1818" spans="1:12" x14ac:dyDescent="0.3">
      <c r="A1818" t="s">
        <v>1834</v>
      </c>
      <c r="B1818" t="s">
        <v>21</v>
      </c>
      <c r="C1818">
        <v>2999</v>
      </c>
      <c r="D1818">
        <v>9</v>
      </c>
      <c r="E1818">
        <v>1.62</v>
      </c>
      <c r="F1818">
        <f>COUNTIFS(mdr_rate_cleaned!$A$2:$A$10,B1818,mdr_rate_cleaned!$B$2:$B$10,"&lt;"&amp;C1818,mdr_rate_cleaned!$F$2:$F$10,"&gt;="&amp;C1818)</f>
        <v>1</v>
      </c>
      <c r="G1818">
        <v>3.0000000000000001E-3</v>
      </c>
      <c r="H1818">
        <v>9</v>
      </c>
      <c r="I1818" t="s">
        <v>15</v>
      </c>
      <c r="J1818" t="s">
        <v>15</v>
      </c>
      <c r="K1818">
        <v>1.62</v>
      </c>
      <c r="L1818">
        <v>0</v>
      </c>
    </row>
    <row r="1819" spans="1:12" x14ac:dyDescent="0.3">
      <c r="A1819" t="s">
        <v>1835</v>
      </c>
      <c r="B1819" t="s">
        <v>21</v>
      </c>
      <c r="C1819">
        <v>599</v>
      </c>
      <c r="D1819">
        <v>0</v>
      </c>
      <c r="E1819">
        <v>0</v>
      </c>
      <c r="F1819">
        <f>COUNTIFS(mdr_rate_cleaned!$A$2:$A$10,B1819,mdr_rate_cleaned!$B$2:$B$10,"&lt;"&amp;C1819,mdr_rate_cleaned!$F$2:$F$10,"&gt;="&amp;C1819)</f>
        <v>1</v>
      </c>
      <c r="G1819">
        <v>0</v>
      </c>
      <c r="H1819">
        <v>0</v>
      </c>
      <c r="I1819" t="s">
        <v>15</v>
      </c>
      <c r="J1819" t="s">
        <v>15</v>
      </c>
      <c r="K1819">
        <v>0</v>
      </c>
      <c r="L1819">
        <v>0</v>
      </c>
    </row>
    <row r="1820" spans="1:12" x14ac:dyDescent="0.3">
      <c r="A1820" t="s">
        <v>1836</v>
      </c>
      <c r="B1820" t="s">
        <v>13</v>
      </c>
      <c r="C1820">
        <v>2499</v>
      </c>
      <c r="D1820">
        <v>42.48</v>
      </c>
      <c r="E1820">
        <v>7.65</v>
      </c>
      <c r="F1820">
        <f>COUNTIFS(mdr_rate_cleaned!$A$2:$A$10,B1820,mdr_rate_cleaned!$B$2:$B$10,"&lt;"&amp;C1820,mdr_rate_cleaned!$F$2:$F$10,"&gt;="&amp;C1820)</f>
        <v>1</v>
      </c>
      <c r="G1820">
        <v>1.7000000000000001E-2</v>
      </c>
      <c r="H1820">
        <v>42.48</v>
      </c>
      <c r="I1820" t="s">
        <v>15</v>
      </c>
      <c r="J1820" t="s">
        <v>15</v>
      </c>
      <c r="K1820">
        <v>7.65</v>
      </c>
      <c r="L1820">
        <v>0</v>
      </c>
    </row>
    <row r="1821" spans="1:12" x14ac:dyDescent="0.3">
      <c r="A1821" t="s">
        <v>1837</v>
      </c>
      <c r="B1821" t="s">
        <v>17</v>
      </c>
      <c r="C1821">
        <v>2798</v>
      </c>
      <c r="D1821">
        <v>44.77</v>
      </c>
      <c r="E1821">
        <v>8.06</v>
      </c>
      <c r="F1821">
        <f>COUNTIFS(mdr_rate_cleaned!$A$2:$A$10,B1821,mdr_rate_cleaned!$B$2:$B$10,"&lt;"&amp;C1821,mdr_rate_cleaned!$F$2:$F$10,"&gt;="&amp;C1821)</f>
        <v>1</v>
      </c>
      <c r="G1821">
        <v>1.6E-2</v>
      </c>
      <c r="H1821">
        <v>44.77</v>
      </c>
      <c r="I1821" t="s">
        <v>15</v>
      </c>
      <c r="J1821" t="s">
        <v>15</v>
      </c>
      <c r="K1821">
        <v>8.06</v>
      </c>
      <c r="L1821">
        <v>0</v>
      </c>
    </row>
    <row r="1822" spans="1:12" x14ac:dyDescent="0.3">
      <c r="A1822" t="s">
        <v>1838</v>
      </c>
      <c r="B1822" t="s">
        <v>17</v>
      </c>
      <c r="C1822">
        <v>9798</v>
      </c>
      <c r="D1822">
        <v>156.77000000000001</v>
      </c>
      <c r="E1822">
        <v>28.22</v>
      </c>
      <c r="F1822">
        <f>COUNTIFS(mdr_rate_cleaned!$A$2:$A$10,B1822,mdr_rate_cleaned!$B$2:$B$10,"&lt;"&amp;C1822,mdr_rate_cleaned!$F$2:$F$10,"&gt;="&amp;C1822)</f>
        <v>1</v>
      </c>
      <c r="G1822">
        <v>1.6E-2</v>
      </c>
      <c r="H1822">
        <v>156.77000000000001</v>
      </c>
      <c r="I1822" t="s">
        <v>15</v>
      </c>
      <c r="J1822" t="s">
        <v>15</v>
      </c>
      <c r="K1822">
        <v>28.22</v>
      </c>
      <c r="L1822">
        <v>0</v>
      </c>
    </row>
    <row r="1823" spans="1:12" x14ac:dyDescent="0.3">
      <c r="A1823" t="s">
        <v>1839</v>
      </c>
      <c r="B1823" t="s">
        <v>13</v>
      </c>
      <c r="C1823">
        <v>349</v>
      </c>
      <c r="D1823">
        <v>6.63</v>
      </c>
      <c r="E1823">
        <v>1.19</v>
      </c>
      <c r="F1823">
        <f>COUNTIFS(mdr_rate_cleaned!$A$2:$A$10,B1823,mdr_rate_cleaned!$B$2:$B$10,"&lt;"&amp;C1823,mdr_rate_cleaned!$F$2:$F$10,"&gt;="&amp;C1823)</f>
        <v>1</v>
      </c>
      <c r="G1823">
        <v>1.9E-2</v>
      </c>
      <c r="H1823">
        <v>6.63</v>
      </c>
      <c r="I1823" t="s">
        <v>15</v>
      </c>
      <c r="J1823" t="s">
        <v>15</v>
      </c>
      <c r="K1823">
        <v>1.19</v>
      </c>
      <c r="L1823">
        <v>0</v>
      </c>
    </row>
    <row r="1824" spans="1:12" x14ac:dyDescent="0.3">
      <c r="A1824" t="s">
        <v>1840</v>
      </c>
      <c r="B1824" t="s">
        <v>21</v>
      </c>
      <c r="C1824">
        <v>8798</v>
      </c>
      <c r="D1824">
        <v>26.39</v>
      </c>
      <c r="E1824">
        <v>4.75</v>
      </c>
      <c r="F1824">
        <f>COUNTIFS(mdr_rate_cleaned!$A$2:$A$10,B1824,mdr_rate_cleaned!$B$2:$B$10,"&lt;"&amp;C1824,mdr_rate_cleaned!$F$2:$F$10,"&gt;="&amp;C1824)</f>
        <v>1</v>
      </c>
      <c r="G1824">
        <v>3.0000000000000001E-3</v>
      </c>
      <c r="H1824">
        <v>26.39</v>
      </c>
      <c r="I1824" t="s">
        <v>15</v>
      </c>
      <c r="J1824" t="s">
        <v>15</v>
      </c>
      <c r="K1824">
        <v>4.75</v>
      </c>
      <c r="L1824">
        <v>0</v>
      </c>
    </row>
    <row r="1825" spans="1:12" x14ac:dyDescent="0.3">
      <c r="A1825" t="s">
        <v>1841</v>
      </c>
      <c r="B1825" t="s">
        <v>21</v>
      </c>
      <c r="C1825">
        <v>5598</v>
      </c>
      <c r="D1825">
        <v>16.79</v>
      </c>
      <c r="E1825">
        <v>3.02</v>
      </c>
      <c r="F1825">
        <f>COUNTIFS(mdr_rate_cleaned!$A$2:$A$10,B1825,mdr_rate_cleaned!$B$2:$B$10,"&lt;"&amp;C1825,mdr_rate_cleaned!$F$2:$F$10,"&gt;="&amp;C1825)</f>
        <v>1</v>
      </c>
      <c r="G1825">
        <v>3.0000000000000001E-3</v>
      </c>
      <c r="H1825">
        <v>16.79</v>
      </c>
      <c r="I1825" t="s">
        <v>15</v>
      </c>
      <c r="J1825" t="s">
        <v>15</v>
      </c>
      <c r="K1825">
        <v>3.02</v>
      </c>
      <c r="L1825">
        <v>0</v>
      </c>
    </row>
    <row r="1826" spans="1:12" x14ac:dyDescent="0.3">
      <c r="A1826" t="s">
        <v>1842</v>
      </c>
      <c r="B1826" t="s">
        <v>17</v>
      </c>
      <c r="C1826">
        <v>6997</v>
      </c>
      <c r="D1826">
        <v>111.95</v>
      </c>
      <c r="E1826">
        <v>20.149999999999999</v>
      </c>
      <c r="F1826">
        <f>COUNTIFS(mdr_rate_cleaned!$A$2:$A$10,B1826,mdr_rate_cleaned!$B$2:$B$10,"&lt;"&amp;C1826,mdr_rate_cleaned!$F$2:$F$10,"&gt;="&amp;C1826)</f>
        <v>1</v>
      </c>
      <c r="G1826">
        <v>1.6E-2</v>
      </c>
      <c r="H1826">
        <v>111.95</v>
      </c>
      <c r="I1826" t="s">
        <v>15</v>
      </c>
      <c r="J1826" t="s">
        <v>15</v>
      </c>
      <c r="K1826">
        <v>20.149999999999999</v>
      </c>
      <c r="L1826">
        <v>0</v>
      </c>
    </row>
    <row r="1827" spans="1:12" x14ac:dyDescent="0.3">
      <c r="A1827" t="s">
        <v>1843</v>
      </c>
      <c r="B1827" t="s">
        <v>17</v>
      </c>
      <c r="C1827">
        <v>7097</v>
      </c>
      <c r="D1827">
        <v>113.55</v>
      </c>
      <c r="E1827">
        <v>20.440000000000001</v>
      </c>
      <c r="F1827">
        <f>COUNTIFS(mdr_rate_cleaned!$A$2:$A$10,B1827,mdr_rate_cleaned!$B$2:$B$10,"&lt;"&amp;C1827,mdr_rate_cleaned!$F$2:$F$10,"&gt;="&amp;C1827)</f>
        <v>1</v>
      </c>
      <c r="G1827">
        <v>1.6E-2</v>
      </c>
      <c r="H1827">
        <v>113.55</v>
      </c>
      <c r="I1827" t="s">
        <v>15</v>
      </c>
      <c r="J1827" t="s">
        <v>15</v>
      </c>
      <c r="K1827">
        <v>20.440000000000001</v>
      </c>
      <c r="L1827">
        <v>0</v>
      </c>
    </row>
    <row r="1828" spans="1:12" x14ac:dyDescent="0.3">
      <c r="A1828" t="s">
        <v>1844</v>
      </c>
      <c r="B1828" t="s">
        <v>21</v>
      </c>
      <c r="C1828">
        <v>1499</v>
      </c>
      <c r="D1828">
        <v>0</v>
      </c>
      <c r="E1828">
        <v>0</v>
      </c>
      <c r="F1828">
        <f>COUNTIFS(mdr_rate_cleaned!$A$2:$A$10,B1828,mdr_rate_cleaned!$B$2:$B$10,"&lt;"&amp;C1828,mdr_rate_cleaned!$F$2:$F$10,"&gt;="&amp;C1828)</f>
        <v>1</v>
      </c>
      <c r="G1828">
        <v>0</v>
      </c>
      <c r="H1828">
        <v>0</v>
      </c>
      <c r="I1828" t="s">
        <v>15</v>
      </c>
      <c r="J1828" t="s">
        <v>15</v>
      </c>
      <c r="K1828">
        <v>0</v>
      </c>
      <c r="L1828">
        <v>0</v>
      </c>
    </row>
    <row r="1829" spans="1:12" x14ac:dyDescent="0.3">
      <c r="A1829" t="s">
        <v>1845</v>
      </c>
      <c r="B1829" t="s">
        <v>21</v>
      </c>
      <c r="C1829">
        <v>299</v>
      </c>
      <c r="D1829">
        <v>0</v>
      </c>
      <c r="E1829">
        <v>0</v>
      </c>
      <c r="F1829">
        <f>COUNTIFS(mdr_rate_cleaned!$A$2:$A$10,B1829,mdr_rate_cleaned!$B$2:$B$10,"&lt;"&amp;C1829,mdr_rate_cleaned!$F$2:$F$10,"&gt;="&amp;C1829)</f>
        <v>1</v>
      </c>
      <c r="G1829">
        <v>0</v>
      </c>
      <c r="H1829">
        <v>0</v>
      </c>
      <c r="I1829" t="s">
        <v>15</v>
      </c>
      <c r="J1829" t="s">
        <v>15</v>
      </c>
      <c r="K1829">
        <v>0</v>
      </c>
      <c r="L1829">
        <v>0</v>
      </c>
    </row>
    <row r="1830" spans="1:12" x14ac:dyDescent="0.3">
      <c r="A1830" t="s">
        <v>1846</v>
      </c>
      <c r="B1830" t="s">
        <v>13</v>
      </c>
      <c r="C1830">
        <v>8297</v>
      </c>
      <c r="D1830">
        <v>141.05000000000001</v>
      </c>
      <c r="E1830">
        <v>25.39</v>
      </c>
      <c r="F1830">
        <f>COUNTIFS(mdr_rate_cleaned!$A$2:$A$10,B1830,mdr_rate_cleaned!$B$2:$B$10,"&lt;"&amp;C1830,mdr_rate_cleaned!$F$2:$F$10,"&gt;="&amp;C1830)</f>
        <v>1</v>
      </c>
      <c r="G1830">
        <v>1.7000000000000001E-2</v>
      </c>
      <c r="H1830">
        <v>141.05000000000001</v>
      </c>
      <c r="I1830" t="s">
        <v>15</v>
      </c>
      <c r="J1830" t="s">
        <v>15</v>
      </c>
      <c r="K1830">
        <v>25.39</v>
      </c>
      <c r="L1830">
        <v>0</v>
      </c>
    </row>
    <row r="1831" spans="1:12" x14ac:dyDescent="0.3">
      <c r="A1831" t="s">
        <v>1847</v>
      </c>
      <c r="B1831" t="s">
        <v>21</v>
      </c>
      <c r="C1831">
        <v>7999</v>
      </c>
      <c r="D1831">
        <v>24</v>
      </c>
      <c r="E1831">
        <v>4.32</v>
      </c>
      <c r="F1831">
        <f>COUNTIFS(mdr_rate_cleaned!$A$2:$A$10,B1831,mdr_rate_cleaned!$B$2:$B$10,"&lt;"&amp;C1831,mdr_rate_cleaned!$F$2:$F$10,"&gt;="&amp;C1831)</f>
        <v>1</v>
      </c>
      <c r="G1831">
        <v>3.0000000000000001E-3</v>
      </c>
      <c r="H1831">
        <v>24</v>
      </c>
      <c r="I1831" t="s">
        <v>15</v>
      </c>
      <c r="J1831" t="s">
        <v>15</v>
      </c>
      <c r="K1831">
        <v>4.32</v>
      </c>
      <c r="L1831">
        <v>0</v>
      </c>
    </row>
    <row r="1832" spans="1:12" x14ac:dyDescent="0.3">
      <c r="A1832" t="s">
        <v>1848</v>
      </c>
      <c r="B1832" t="s">
        <v>17</v>
      </c>
      <c r="C1832">
        <v>1597</v>
      </c>
      <c r="D1832">
        <v>28.75</v>
      </c>
      <c r="E1832">
        <v>5.18</v>
      </c>
      <c r="F1832">
        <f>COUNTIFS(mdr_rate_cleaned!$A$2:$A$10,B1832,mdr_rate_cleaned!$B$2:$B$10,"&lt;"&amp;C1832,mdr_rate_cleaned!$F$2:$F$10,"&gt;="&amp;C1832)</f>
        <v>1</v>
      </c>
      <c r="G1832">
        <v>1.7999999999999999E-2</v>
      </c>
      <c r="H1832">
        <v>28.75</v>
      </c>
      <c r="I1832" t="s">
        <v>15</v>
      </c>
      <c r="J1832" t="s">
        <v>15</v>
      </c>
      <c r="K1832">
        <v>5.18</v>
      </c>
      <c r="L1832">
        <v>0</v>
      </c>
    </row>
    <row r="1833" spans="1:12" x14ac:dyDescent="0.3">
      <c r="A1833" t="s">
        <v>1849</v>
      </c>
      <c r="B1833" t="s">
        <v>21</v>
      </c>
      <c r="C1833">
        <v>1299</v>
      </c>
      <c r="D1833">
        <v>0</v>
      </c>
      <c r="E1833">
        <v>0</v>
      </c>
      <c r="F1833">
        <f>COUNTIFS(mdr_rate_cleaned!$A$2:$A$10,B1833,mdr_rate_cleaned!$B$2:$B$10,"&lt;"&amp;C1833,mdr_rate_cleaned!$F$2:$F$10,"&gt;="&amp;C1833)</f>
        <v>1</v>
      </c>
      <c r="G1833">
        <v>0</v>
      </c>
      <c r="H1833">
        <v>0</v>
      </c>
      <c r="I1833" t="s">
        <v>15</v>
      </c>
      <c r="J1833" t="s">
        <v>15</v>
      </c>
      <c r="K1833">
        <v>0</v>
      </c>
      <c r="L1833">
        <v>0</v>
      </c>
    </row>
    <row r="1834" spans="1:12" x14ac:dyDescent="0.3">
      <c r="A1834" t="s">
        <v>1850</v>
      </c>
      <c r="B1834" t="s">
        <v>21</v>
      </c>
      <c r="C1834">
        <v>3197</v>
      </c>
      <c r="D1834">
        <v>9.59</v>
      </c>
      <c r="E1834">
        <v>1.73</v>
      </c>
      <c r="F1834">
        <f>COUNTIFS(mdr_rate_cleaned!$A$2:$A$10,B1834,mdr_rate_cleaned!$B$2:$B$10,"&lt;"&amp;C1834,mdr_rate_cleaned!$F$2:$F$10,"&gt;="&amp;C1834)</f>
        <v>1</v>
      </c>
      <c r="G1834">
        <v>3.0000000000000001E-3</v>
      </c>
      <c r="H1834">
        <v>9.59</v>
      </c>
      <c r="I1834" t="s">
        <v>15</v>
      </c>
      <c r="J1834" t="s">
        <v>15</v>
      </c>
      <c r="K1834">
        <v>1.73</v>
      </c>
      <c r="L1834">
        <v>0</v>
      </c>
    </row>
    <row r="1835" spans="1:12" x14ac:dyDescent="0.3">
      <c r="A1835" t="s">
        <v>1851</v>
      </c>
      <c r="B1835" t="s">
        <v>17</v>
      </c>
      <c r="C1835">
        <v>2499</v>
      </c>
      <c r="D1835">
        <v>39.979999999999997</v>
      </c>
      <c r="E1835">
        <v>7.2</v>
      </c>
      <c r="F1835">
        <f>COUNTIFS(mdr_rate_cleaned!$A$2:$A$10,B1835,mdr_rate_cleaned!$B$2:$B$10,"&lt;"&amp;C1835,mdr_rate_cleaned!$F$2:$F$10,"&gt;="&amp;C1835)</f>
        <v>1</v>
      </c>
      <c r="G1835">
        <v>1.6E-2</v>
      </c>
      <c r="H1835">
        <v>39.979999999999997</v>
      </c>
      <c r="I1835" t="s">
        <v>15</v>
      </c>
      <c r="J1835" t="s">
        <v>15</v>
      </c>
      <c r="K1835">
        <v>7.2</v>
      </c>
      <c r="L1835">
        <v>0</v>
      </c>
    </row>
    <row r="1836" spans="1:12" x14ac:dyDescent="0.3">
      <c r="A1836" t="s">
        <v>1852</v>
      </c>
      <c r="B1836" t="s">
        <v>21</v>
      </c>
      <c r="C1836">
        <v>799</v>
      </c>
      <c r="D1836">
        <v>0</v>
      </c>
      <c r="E1836">
        <v>0</v>
      </c>
      <c r="F1836">
        <f>COUNTIFS(mdr_rate_cleaned!$A$2:$A$10,B1836,mdr_rate_cleaned!$B$2:$B$10,"&lt;"&amp;C1836,mdr_rate_cleaned!$F$2:$F$10,"&gt;="&amp;C1836)</f>
        <v>1</v>
      </c>
      <c r="G1836">
        <v>0</v>
      </c>
      <c r="H1836">
        <v>0</v>
      </c>
      <c r="I1836" t="s">
        <v>15</v>
      </c>
      <c r="J1836" t="s">
        <v>15</v>
      </c>
      <c r="K1836">
        <v>0</v>
      </c>
      <c r="L1836">
        <v>0</v>
      </c>
    </row>
    <row r="1837" spans="1:12" x14ac:dyDescent="0.3">
      <c r="A1837" t="s">
        <v>1853</v>
      </c>
      <c r="B1837" t="s">
        <v>21</v>
      </c>
      <c r="C1837">
        <v>2999</v>
      </c>
      <c r="D1837">
        <v>9</v>
      </c>
      <c r="E1837">
        <v>1.62</v>
      </c>
      <c r="F1837">
        <f>COUNTIFS(mdr_rate_cleaned!$A$2:$A$10,B1837,mdr_rate_cleaned!$B$2:$B$10,"&lt;"&amp;C1837,mdr_rate_cleaned!$F$2:$F$10,"&gt;="&amp;C1837)</f>
        <v>1</v>
      </c>
      <c r="G1837">
        <v>3.0000000000000001E-3</v>
      </c>
      <c r="H1837">
        <v>9</v>
      </c>
      <c r="I1837" t="s">
        <v>15</v>
      </c>
      <c r="J1837" t="s">
        <v>15</v>
      </c>
      <c r="K1837">
        <v>1.62</v>
      </c>
      <c r="L1837">
        <v>0</v>
      </c>
    </row>
    <row r="1838" spans="1:12" x14ac:dyDescent="0.3">
      <c r="A1838" t="s">
        <v>1854</v>
      </c>
      <c r="B1838" t="s">
        <v>17</v>
      </c>
      <c r="C1838">
        <v>8997</v>
      </c>
      <c r="D1838">
        <v>143.94999999999999</v>
      </c>
      <c r="E1838">
        <v>25.91</v>
      </c>
      <c r="F1838">
        <f>COUNTIFS(mdr_rate_cleaned!$A$2:$A$10,B1838,mdr_rate_cleaned!$B$2:$B$10,"&lt;"&amp;C1838,mdr_rate_cleaned!$F$2:$F$10,"&gt;="&amp;C1838)</f>
        <v>1</v>
      </c>
      <c r="G1838">
        <v>1.6E-2</v>
      </c>
      <c r="H1838">
        <v>143.94999999999999</v>
      </c>
      <c r="I1838" t="s">
        <v>15</v>
      </c>
      <c r="J1838" t="s">
        <v>15</v>
      </c>
      <c r="K1838">
        <v>25.91</v>
      </c>
      <c r="L1838">
        <v>0</v>
      </c>
    </row>
    <row r="1839" spans="1:12" x14ac:dyDescent="0.3">
      <c r="A1839" t="s">
        <v>1855</v>
      </c>
      <c r="B1839" t="s">
        <v>13</v>
      </c>
      <c r="C1839">
        <v>9497</v>
      </c>
      <c r="D1839">
        <v>161.44999999999999</v>
      </c>
      <c r="E1839">
        <v>29.06</v>
      </c>
      <c r="F1839">
        <f>COUNTIFS(mdr_rate_cleaned!$A$2:$A$10,B1839,mdr_rate_cleaned!$B$2:$B$10,"&lt;"&amp;C1839,mdr_rate_cleaned!$F$2:$F$10,"&gt;="&amp;C1839)</f>
        <v>1</v>
      </c>
      <c r="G1839">
        <v>1.7000000000000001E-2</v>
      </c>
      <c r="H1839">
        <v>161.44999999999999</v>
      </c>
      <c r="I1839" t="s">
        <v>15</v>
      </c>
      <c r="J1839" t="s">
        <v>15</v>
      </c>
      <c r="K1839">
        <v>29.06</v>
      </c>
      <c r="L1839">
        <v>0</v>
      </c>
    </row>
    <row r="1840" spans="1:12" x14ac:dyDescent="0.3">
      <c r="A1840" t="s">
        <v>1856</v>
      </c>
      <c r="B1840" t="s">
        <v>17</v>
      </c>
      <c r="C1840">
        <v>1648</v>
      </c>
      <c r="D1840">
        <v>29.66</v>
      </c>
      <c r="E1840">
        <v>5.34</v>
      </c>
      <c r="F1840">
        <f>COUNTIFS(mdr_rate_cleaned!$A$2:$A$10,B1840,mdr_rate_cleaned!$B$2:$B$10,"&lt;"&amp;C1840,mdr_rate_cleaned!$F$2:$F$10,"&gt;="&amp;C1840)</f>
        <v>1</v>
      </c>
      <c r="G1840">
        <v>1.7999999999999999E-2</v>
      </c>
      <c r="H1840">
        <v>29.66</v>
      </c>
      <c r="I1840" t="s">
        <v>15</v>
      </c>
      <c r="J1840" t="s">
        <v>15</v>
      </c>
      <c r="K1840">
        <v>5.34</v>
      </c>
      <c r="L1840">
        <v>0</v>
      </c>
    </row>
    <row r="1841" spans="1:12" x14ac:dyDescent="0.3">
      <c r="A1841" t="s">
        <v>1857</v>
      </c>
      <c r="B1841" t="s">
        <v>21</v>
      </c>
      <c r="C1841">
        <v>4797</v>
      </c>
      <c r="D1841">
        <v>14.39</v>
      </c>
      <c r="E1841">
        <v>2.59</v>
      </c>
      <c r="F1841">
        <f>COUNTIFS(mdr_rate_cleaned!$A$2:$A$10,B1841,mdr_rate_cleaned!$B$2:$B$10,"&lt;"&amp;C1841,mdr_rate_cleaned!$F$2:$F$10,"&gt;="&amp;C1841)</f>
        <v>1</v>
      </c>
      <c r="G1841">
        <v>3.0000000000000001E-3</v>
      </c>
      <c r="H1841">
        <v>14.39</v>
      </c>
      <c r="I1841" t="s">
        <v>15</v>
      </c>
      <c r="J1841" t="s">
        <v>15</v>
      </c>
      <c r="K1841">
        <v>2.59</v>
      </c>
      <c r="L1841">
        <v>0</v>
      </c>
    </row>
    <row r="1842" spans="1:12" x14ac:dyDescent="0.3">
      <c r="A1842" t="s">
        <v>1858</v>
      </c>
      <c r="B1842" t="s">
        <v>13</v>
      </c>
      <c r="C1842">
        <v>2499</v>
      </c>
      <c r="D1842">
        <v>42.48</v>
      </c>
      <c r="E1842">
        <v>7.65</v>
      </c>
      <c r="F1842">
        <f>COUNTIFS(mdr_rate_cleaned!$A$2:$A$10,B1842,mdr_rate_cleaned!$B$2:$B$10,"&lt;"&amp;C1842,mdr_rate_cleaned!$F$2:$F$10,"&gt;="&amp;C1842)</f>
        <v>1</v>
      </c>
      <c r="G1842">
        <v>1.7000000000000001E-2</v>
      </c>
      <c r="H1842">
        <v>42.48</v>
      </c>
      <c r="I1842" t="s">
        <v>15</v>
      </c>
      <c r="J1842" t="s">
        <v>15</v>
      </c>
      <c r="K1842">
        <v>7.65</v>
      </c>
      <c r="L1842">
        <v>0</v>
      </c>
    </row>
    <row r="1843" spans="1:12" x14ac:dyDescent="0.3">
      <c r="A1843" t="s">
        <v>1859</v>
      </c>
      <c r="B1843" t="s">
        <v>39</v>
      </c>
      <c r="C1843">
        <v>4999</v>
      </c>
      <c r="D1843">
        <v>59.99</v>
      </c>
      <c r="E1843">
        <v>10.8</v>
      </c>
      <c r="F1843">
        <f>COUNTIFS(mdr_rate_cleaned!$A$2:$A$10,B1843,mdr_rate_cleaned!$B$2:$B$10,"&lt;"&amp;C1843,mdr_rate_cleaned!$F$2:$F$10,"&gt;="&amp;C1843)</f>
        <v>1</v>
      </c>
      <c r="G1843">
        <v>1.2E-2</v>
      </c>
      <c r="H1843">
        <v>59.99</v>
      </c>
      <c r="I1843" t="s">
        <v>15</v>
      </c>
      <c r="J1843" t="s">
        <v>15</v>
      </c>
      <c r="K1843">
        <v>10.8</v>
      </c>
      <c r="L1843">
        <v>0</v>
      </c>
    </row>
    <row r="1844" spans="1:12" x14ac:dyDescent="0.3">
      <c r="A1844" t="s">
        <v>1860</v>
      </c>
      <c r="B1844" t="s">
        <v>21</v>
      </c>
      <c r="C1844">
        <v>5498</v>
      </c>
      <c r="D1844">
        <v>16.489999999999998</v>
      </c>
      <c r="E1844">
        <v>2.97</v>
      </c>
      <c r="F1844">
        <f>COUNTIFS(mdr_rate_cleaned!$A$2:$A$10,B1844,mdr_rate_cleaned!$B$2:$B$10,"&lt;"&amp;C1844,mdr_rate_cleaned!$F$2:$F$10,"&gt;="&amp;C1844)</f>
        <v>1</v>
      </c>
      <c r="G1844">
        <v>3.0000000000000001E-3</v>
      </c>
      <c r="H1844">
        <v>16.489999999999998</v>
      </c>
      <c r="I1844" t="s">
        <v>15</v>
      </c>
      <c r="J1844" t="s">
        <v>15</v>
      </c>
      <c r="K1844">
        <v>2.97</v>
      </c>
      <c r="L1844">
        <v>0</v>
      </c>
    </row>
    <row r="1845" spans="1:12" x14ac:dyDescent="0.3">
      <c r="A1845" t="s">
        <v>1861</v>
      </c>
      <c r="B1845" t="s">
        <v>21</v>
      </c>
      <c r="C1845">
        <v>1098</v>
      </c>
      <c r="D1845">
        <v>0</v>
      </c>
      <c r="E1845">
        <v>0</v>
      </c>
      <c r="F1845">
        <f>COUNTIFS(mdr_rate_cleaned!$A$2:$A$10,B1845,mdr_rate_cleaned!$B$2:$B$10,"&lt;"&amp;C1845,mdr_rate_cleaned!$F$2:$F$10,"&gt;="&amp;C1845)</f>
        <v>1</v>
      </c>
      <c r="G1845">
        <v>0</v>
      </c>
      <c r="H1845">
        <v>0</v>
      </c>
      <c r="I1845" t="s">
        <v>15</v>
      </c>
      <c r="J1845" t="s">
        <v>15</v>
      </c>
      <c r="K1845">
        <v>0</v>
      </c>
      <c r="L1845">
        <v>0</v>
      </c>
    </row>
    <row r="1846" spans="1:12" x14ac:dyDescent="0.3">
      <c r="A1846" t="s">
        <v>1862</v>
      </c>
      <c r="B1846" t="s">
        <v>17</v>
      </c>
      <c r="C1846">
        <v>7998</v>
      </c>
      <c r="D1846">
        <v>127.97</v>
      </c>
      <c r="E1846">
        <v>23.03</v>
      </c>
      <c r="F1846">
        <f>COUNTIFS(mdr_rate_cleaned!$A$2:$A$10,B1846,mdr_rate_cleaned!$B$2:$B$10,"&lt;"&amp;C1846,mdr_rate_cleaned!$F$2:$F$10,"&gt;="&amp;C1846)</f>
        <v>1</v>
      </c>
      <c r="G1846">
        <v>1.6E-2</v>
      </c>
      <c r="H1846">
        <v>127.97</v>
      </c>
      <c r="I1846" t="s">
        <v>15</v>
      </c>
      <c r="J1846" t="s">
        <v>15</v>
      </c>
      <c r="K1846">
        <v>23.03</v>
      </c>
      <c r="L1846">
        <v>0</v>
      </c>
    </row>
    <row r="1847" spans="1:12" x14ac:dyDescent="0.3">
      <c r="A1847" t="s">
        <v>1863</v>
      </c>
      <c r="B1847" t="s">
        <v>13</v>
      </c>
      <c r="C1847">
        <v>799</v>
      </c>
      <c r="D1847">
        <v>15.18</v>
      </c>
      <c r="E1847">
        <v>2.73</v>
      </c>
      <c r="F1847">
        <f>COUNTIFS(mdr_rate_cleaned!$A$2:$A$10,B1847,mdr_rate_cleaned!$B$2:$B$10,"&lt;"&amp;C1847,mdr_rate_cleaned!$F$2:$F$10,"&gt;="&amp;C1847)</f>
        <v>1</v>
      </c>
      <c r="G1847">
        <v>1.9E-2</v>
      </c>
      <c r="H1847">
        <v>15.18</v>
      </c>
      <c r="I1847" t="s">
        <v>15</v>
      </c>
      <c r="J1847" t="s">
        <v>15</v>
      </c>
      <c r="K1847">
        <v>2.73</v>
      </c>
      <c r="L1847">
        <v>0</v>
      </c>
    </row>
    <row r="1848" spans="1:12" x14ac:dyDescent="0.3">
      <c r="A1848" t="s">
        <v>1864</v>
      </c>
      <c r="B1848" t="s">
        <v>21</v>
      </c>
      <c r="C1848">
        <v>499</v>
      </c>
      <c r="D1848">
        <v>0</v>
      </c>
      <c r="E1848">
        <v>0</v>
      </c>
      <c r="F1848">
        <f>COUNTIFS(mdr_rate_cleaned!$A$2:$A$10,B1848,mdr_rate_cleaned!$B$2:$B$10,"&lt;"&amp;C1848,mdr_rate_cleaned!$F$2:$F$10,"&gt;="&amp;C1848)</f>
        <v>1</v>
      </c>
      <c r="G1848">
        <v>0</v>
      </c>
      <c r="H1848">
        <v>0</v>
      </c>
      <c r="I1848" t="s">
        <v>15</v>
      </c>
      <c r="J1848" t="s">
        <v>15</v>
      </c>
      <c r="K1848">
        <v>0</v>
      </c>
      <c r="L1848">
        <v>0</v>
      </c>
    </row>
    <row r="1849" spans="1:12" x14ac:dyDescent="0.3">
      <c r="A1849" t="s">
        <v>1865</v>
      </c>
      <c r="B1849" t="s">
        <v>17</v>
      </c>
      <c r="C1849">
        <v>3499</v>
      </c>
      <c r="D1849">
        <v>55.98</v>
      </c>
      <c r="E1849">
        <v>10.08</v>
      </c>
      <c r="F1849">
        <f>COUNTIFS(mdr_rate_cleaned!$A$2:$A$10,B1849,mdr_rate_cleaned!$B$2:$B$10,"&lt;"&amp;C1849,mdr_rate_cleaned!$F$2:$F$10,"&gt;="&amp;C1849)</f>
        <v>1</v>
      </c>
      <c r="G1849">
        <v>1.6E-2</v>
      </c>
      <c r="H1849">
        <v>55.98</v>
      </c>
      <c r="I1849" t="s">
        <v>15</v>
      </c>
      <c r="J1849" t="s">
        <v>15</v>
      </c>
      <c r="K1849">
        <v>10.08</v>
      </c>
      <c r="L1849">
        <v>0</v>
      </c>
    </row>
    <row r="1850" spans="1:12" x14ac:dyDescent="0.3">
      <c r="A1850" t="s">
        <v>1866</v>
      </c>
      <c r="B1850" t="s">
        <v>17</v>
      </c>
      <c r="C1850">
        <v>1098</v>
      </c>
      <c r="D1850">
        <v>19.760000000000002</v>
      </c>
      <c r="E1850">
        <v>3.56</v>
      </c>
      <c r="F1850">
        <f>COUNTIFS(mdr_rate_cleaned!$A$2:$A$10,B1850,mdr_rate_cleaned!$B$2:$B$10,"&lt;"&amp;C1850,mdr_rate_cleaned!$F$2:$F$10,"&gt;="&amp;C1850)</f>
        <v>1</v>
      </c>
      <c r="G1850">
        <v>1.7999999999999999E-2</v>
      </c>
      <c r="H1850">
        <v>19.760000000000002</v>
      </c>
      <c r="I1850" t="s">
        <v>15</v>
      </c>
      <c r="J1850" t="s">
        <v>15</v>
      </c>
      <c r="K1850">
        <v>3.56</v>
      </c>
      <c r="L1850">
        <v>0</v>
      </c>
    </row>
    <row r="1851" spans="1:12" x14ac:dyDescent="0.3">
      <c r="A1851" t="s">
        <v>1867</v>
      </c>
      <c r="B1851" t="s">
        <v>21</v>
      </c>
      <c r="C1851">
        <v>2499</v>
      </c>
      <c r="D1851">
        <v>7.5</v>
      </c>
      <c r="E1851">
        <v>1.35</v>
      </c>
      <c r="F1851">
        <f>COUNTIFS(mdr_rate_cleaned!$A$2:$A$10,B1851,mdr_rate_cleaned!$B$2:$B$10,"&lt;"&amp;C1851,mdr_rate_cleaned!$F$2:$F$10,"&gt;="&amp;C1851)</f>
        <v>1</v>
      </c>
      <c r="G1851">
        <v>3.0000000000000001E-3</v>
      </c>
      <c r="H1851">
        <v>7.5</v>
      </c>
      <c r="I1851" t="s">
        <v>15</v>
      </c>
      <c r="J1851" t="s">
        <v>15</v>
      </c>
      <c r="K1851">
        <v>1.35</v>
      </c>
      <c r="L1851">
        <v>0</v>
      </c>
    </row>
    <row r="1852" spans="1:12" x14ac:dyDescent="0.3">
      <c r="A1852" t="s">
        <v>1868</v>
      </c>
      <c r="B1852" t="s">
        <v>21</v>
      </c>
      <c r="C1852">
        <v>1347</v>
      </c>
      <c r="D1852">
        <v>0</v>
      </c>
      <c r="E1852">
        <v>0</v>
      </c>
      <c r="F1852">
        <f>COUNTIFS(mdr_rate_cleaned!$A$2:$A$10,B1852,mdr_rate_cleaned!$B$2:$B$10,"&lt;"&amp;C1852,mdr_rate_cleaned!$F$2:$F$10,"&gt;="&amp;C1852)</f>
        <v>1</v>
      </c>
      <c r="G1852">
        <v>0</v>
      </c>
      <c r="H1852">
        <v>0</v>
      </c>
      <c r="I1852" t="s">
        <v>15</v>
      </c>
      <c r="J1852" t="s">
        <v>15</v>
      </c>
      <c r="K1852">
        <v>0</v>
      </c>
      <c r="L1852">
        <v>0</v>
      </c>
    </row>
    <row r="1853" spans="1:12" x14ac:dyDescent="0.3">
      <c r="A1853" t="s">
        <v>1869</v>
      </c>
      <c r="B1853" t="s">
        <v>21</v>
      </c>
      <c r="C1853">
        <v>8348</v>
      </c>
      <c r="D1853">
        <v>25.04</v>
      </c>
      <c r="E1853">
        <v>4.51</v>
      </c>
      <c r="F1853">
        <f>COUNTIFS(mdr_rate_cleaned!$A$2:$A$10,B1853,mdr_rate_cleaned!$B$2:$B$10,"&lt;"&amp;C1853,mdr_rate_cleaned!$F$2:$F$10,"&gt;="&amp;C1853)</f>
        <v>1</v>
      </c>
      <c r="G1853">
        <v>3.0000000000000001E-3</v>
      </c>
      <c r="H1853">
        <v>25.04</v>
      </c>
      <c r="I1853" t="s">
        <v>15</v>
      </c>
      <c r="J1853" t="s">
        <v>15</v>
      </c>
      <c r="K1853">
        <v>4.51</v>
      </c>
      <c r="L1853">
        <v>0</v>
      </c>
    </row>
    <row r="1854" spans="1:12" x14ac:dyDescent="0.3">
      <c r="A1854" t="s">
        <v>1870</v>
      </c>
      <c r="B1854" t="s">
        <v>17</v>
      </c>
      <c r="C1854">
        <v>4597</v>
      </c>
      <c r="D1854">
        <v>73.55</v>
      </c>
      <c r="E1854">
        <v>13.24</v>
      </c>
      <c r="F1854">
        <f>COUNTIFS(mdr_rate_cleaned!$A$2:$A$10,B1854,mdr_rate_cleaned!$B$2:$B$10,"&lt;"&amp;C1854,mdr_rate_cleaned!$F$2:$F$10,"&gt;="&amp;C1854)</f>
        <v>1</v>
      </c>
      <c r="G1854">
        <v>1.6E-2</v>
      </c>
      <c r="H1854">
        <v>73.55</v>
      </c>
      <c r="I1854" t="s">
        <v>15</v>
      </c>
      <c r="J1854" t="s">
        <v>15</v>
      </c>
      <c r="K1854">
        <v>13.24</v>
      </c>
      <c r="L1854">
        <v>0</v>
      </c>
    </row>
    <row r="1855" spans="1:12" x14ac:dyDescent="0.3">
      <c r="A1855" t="s">
        <v>1871</v>
      </c>
      <c r="B1855" t="s">
        <v>21</v>
      </c>
      <c r="C1855">
        <v>349</v>
      </c>
      <c r="D1855">
        <v>0</v>
      </c>
      <c r="E1855">
        <v>0</v>
      </c>
      <c r="F1855">
        <f>COUNTIFS(mdr_rate_cleaned!$A$2:$A$10,B1855,mdr_rate_cleaned!$B$2:$B$10,"&lt;"&amp;C1855,mdr_rate_cleaned!$F$2:$F$10,"&gt;="&amp;C1855)</f>
        <v>1</v>
      </c>
      <c r="G1855">
        <v>0</v>
      </c>
      <c r="H1855">
        <v>0</v>
      </c>
      <c r="I1855" t="s">
        <v>15</v>
      </c>
      <c r="J1855" t="s">
        <v>15</v>
      </c>
      <c r="K1855">
        <v>0</v>
      </c>
      <c r="L1855">
        <v>0</v>
      </c>
    </row>
    <row r="1856" spans="1:12" x14ac:dyDescent="0.3">
      <c r="A1856" t="s">
        <v>1872</v>
      </c>
      <c r="B1856" t="s">
        <v>21</v>
      </c>
      <c r="C1856">
        <v>2499</v>
      </c>
      <c r="D1856">
        <v>7.5</v>
      </c>
      <c r="E1856">
        <v>1.35</v>
      </c>
      <c r="F1856">
        <f>COUNTIFS(mdr_rate_cleaned!$A$2:$A$10,B1856,mdr_rate_cleaned!$B$2:$B$10,"&lt;"&amp;C1856,mdr_rate_cleaned!$F$2:$F$10,"&gt;="&amp;C1856)</f>
        <v>1</v>
      </c>
      <c r="G1856">
        <v>3.0000000000000001E-3</v>
      </c>
      <c r="H1856">
        <v>7.5</v>
      </c>
      <c r="I1856" t="s">
        <v>15</v>
      </c>
      <c r="J1856" t="s">
        <v>15</v>
      </c>
      <c r="K1856">
        <v>1.35</v>
      </c>
      <c r="L1856">
        <v>0</v>
      </c>
    </row>
    <row r="1857" spans="1:12" x14ac:dyDescent="0.3">
      <c r="A1857" t="s">
        <v>1873</v>
      </c>
      <c r="B1857" t="s">
        <v>21</v>
      </c>
      <c r="C1857">
        <v>4999</v>
      </c>
      <c r="D1857">
        <v>15</v>
      </c>
      <c r="E1857">
        <v>2.7</v>
      </c>
      <c r="F1857">
        <f>COUNTIFS(mdr_rate_cleaned!$A$2:$A$10,B1857,mdr_rate_cleaned!$B$2:$B$10,"&lt;"&amp;C1857,mdr_rate_cleaned!$F$2:$F$10,"&gt;="&amp;C1857)</f>
        <v>1</v>
      </c>
      <c r="G1857">
        <v>3.0000000000000001E-3</v>
      </c>
      <c r="H1857">
        <v>15</v>
      </c>
      <c r="I1857" t="s">
        <v>15</v>
      </c>
      <c r="J1857" t="s">
        <v>15</v>
      </c>
      <c r="K1857">
        <v>2.7</v>
      </c>
      <c r="L1857">
        <v>0</v>
      </c>
    </row>
    <row r="1858" spans="1:12" x14ac:dyDescent="0.3">
      <c r="A1858" t="s">
        <v>1874</v>
      </c>
      <c r="B1858" t="s">
        <v>13</v>
      </c>
      <c r="C1858">
        <v>3598</v>
      </c>
      <c r="D1858">
        <v>61.17</v>
      </c>
      <c r="E1858">
        <v>11.01</v>
      </c>
      <c r="F1858">
        <f>COUNTIFS(mdr_rate_cleaned!$A$2:$A$10,B1858,mdr_rate_cleaned!$B$2:$B$10,"&lt;"&amp;C1858,mdr_rate_cleaned!$F$2:$F$10,"&gt;="&amp;C1858)</f>
        <v>1</v>
      </c>
      <c r="G1858">
        <v>1.7000000000000001E-2</v>
      </c>
      <c r="H1858">
        <v>61.17</v>
      </c>
      <c r="I1858" t="s">
        <v>15</v>
      </c>
      <c r="J1858" t="s">
        <v>15</v>
      </c>
      <c r="K1858">
        <v>11.01</v>
      </c>
      <c r="L1858">
        <v>0</v>
      </c>
    </row>
    <row r="1859" spans="1:12" x14ac:dyDescent="0.3">
      <c r="A1859" t="s">
        <v>1875</v>
      </c>
      <c r="B1859" t="s">
        <v>21</v>
      </c>
      <c r="C1859">
        <v>1799</v>
      </c>
      <c r="D1859">
        <v>0</v>
      </c>
      <c r="E1859">
        <v>0</v>
      </c>
      <c r="F1859">
        <f>COUNTIFS(mdr_rate_cleaned!$A$2:$A$10,B1859,mdr_rate_cleaned!$B$2:$B$10,"&lt;"&amp;C1859,mdr_rate_cleaned!$F$2:$F$10,"&gt;="&amp;C1859)</f>
        <v>1</v>
      </c>
      <c r="G1859">
        <v>0</v>
      </c>
      <c r="H1859">
        <v>0</v>
      </c>
      <c r="I1859" t="s">
        <v>15</v>
      </c>
      <c r="J1859" t="s">
        <v>15</v>
      </c>
      <c r="K1859">
        <v>0</v>
      </c>
      <c r="L1859">
        <v>0</v>
      </c>
    </row>
    <row r="1860" spans="1:12" x14ac:dyDescent="0.3">
      <c r="A1860" t="s">
        <v>1876</v>
      </c>
      <c r="B1860" t="s">
        <v>21</v>
      </c>
      <c r="C1860">
        <v>999</v>
      </c>
      <c r="D1860">
        <v>0</v>
      </c>
      <c r="E1860">
        <v>0</v>
      </c>
      <c r="F1860">
        <f>COUNTIFS(mdr_rate_cleaned!$A$2:$A$10,B1860,mdr_rate_cleaned!$B$2:$B$10,"&lt;"&amp;C1860,mdr_rate_cleaned!$F$2:$F$10,"&gt;="&amp;C1860)</f>
        <v>1</v>
      </c>
      <c r="G1860">
        <v>0</v>
      </c>
      <c r="H1860">
        <v>0</v>
      </c>
      <c r="I1860" t="s">
        <v>15</v>
      </c>
      <c r="J1860" t="s">
        <v>15</v>
      </c>
      <c r="K1860">
        <v>0</v>
      </c>
      <c r="L1860">
        <v>0</v>
      </c>
    </row>
    <row r="1861" spans="1:12" x14ac:dyDescent="0.3">
      <c r="A1861" t="s">
        <v>1877</v>
      </c>
      <c r="B1861" t="s">
        <v>17</v>
      </c>
      <c r="C1861">
        <v>4999</v>
      </c>
      <c r="D1861">
        <v>79.98</v>
      </c>
      <c r="E1861">
        <v>14.4</v>
      </c>
      <c r="F1861">
        <f>COUNTIFS(mdr_rate_cleaned!$A$2:$A$10,B1861,mdr_rate_cleaned!$B$2:$B$10,"&lt;"&amp;C1861,mdr_rate_cleaned!$F$2:$F$10,"&gt;="&amp;C1861)</f>
        <v>1</v>
      </c>
      <c r="G1861">
        <v>1.6E-2</v>
      </c>
      <c r="H1861">
        <v>79.98</v>
      </c>
      <c r="I1861" t="s">
        <v>15</v>
      </c>
      <c r="J1861" t="s">
        <v>15</v>
      </c>
      <c r="K1861">
        <v>14.4</v>
      </c>
      <c r="L1861">
        <v>0</v>
      </c>
    </row>
    <row r="1862" spans="1:12" x14ac:dyDescent="0.3">
      <c r="A1862" t="s">
        <v>1878</v>
      </c>
      <c r="B1862" t="s">
        <v>13</v>
      </c>
      <c r="C1862">
        <v>2999</v>
      </c>
      <c r="D1862">
        <v>50.98</v>
      </c>
      <c r="E1862">
        <v>9.18</v>
      </c>
      <c r="F1862">
        <f>COUNTIFS(mdr_rate_cleaned!$A$2:$A$10,B1862,mdr_rate_cleaned!$B$2:$B$10,"&lt;"&amp;C1862,mdr_rate_cleaned!$F$2:$F$10,"&gt;="&amp;C1862)</f>
        <v>1</v>
      </c>
      <c r="G1862">
        <v>1.7000000000000001E-2</v>
      </c>
      <c r="H1862">
        <v>50.98</v>
      </c>
      <c r="I1862" t="s">
        <v>15</v>
      </c>
      <c r="J1862" t="s">
        <v>15</v>
      </c>
      <c r="K1862">
        <v>9.18</v>
      </c>
      <c r="L1862">
        <v>0</v>
      </c>
    </row>
    <row r="1863" spans="1:12" x14ac:dyDescent="0.3">
      <c r="A1863" t="s">
        <v>1879</v>
      </c>
      <c r="B1863" t="s">
        <v>17</v>
      </c>
      <c r="C1863">
        <v>5997</v>
      </c>
      <c r="D1863">
        <v>95.95</v>
      </c>
      <c r="E1863">
        <v>17.27</v>
      </c>
      <c r="F1863">
        <f>COUNTIFS(mdr_rate_cleaned!$A$2:$A$10,B1863,mdr_rate_cleaned!$B$2:$B$10,"&lt;"&amp;C1863,mdr_rate_cleaned!$F$2:$F$10,"&gt;="&amp;C1863)</f>
        <v>1</v>
      </c>
      <c r="G1863">
        <v>1.6E-2</v>
      </c>
      <c r="H1863">
        <v>95.95</v>
      </c>
      <c r="I1863" t="s">
        <v>15</v>
      </c>
      <c r="J1863" t="s">
        <v>15</v>
      </c>
      <c r="K1863">
        <v>17.27</v>
      </c>
      <c r="L1863">
        <v>0</v>
      </c>
    </row>
    <row r="1864" spans="1:12" x14ac:dyDescent="0.3">
      <c r="A1864" t="s">
        <v>1880</v>
      </c>
      <c r="B1864" t="s">
        <v>17</v>
      </c>
      <c r="C1864">
        <v>6298</v>
      </c>
      <c r="D1864">
        <v>100.77</v>
      </c>
      <c r="E1864">
        <v>18.14</v>
      </c>
      <c r="F1864">
        <f>COUNTIFS(mdr_rate_cleaned!$A$2:$A$10,B1864,mdr_rate_cleaned!$B$2:$B$10,"&lt;"&amp;C1864,mdr_rate_cleaned!$F$2:$F$10,"&gt;="&amp;C1864)</f>
        <v>1</v>
      </c>
      <c r="G1864">
        <v>1.6E-2</v>
      </c>
      <c r="H1864">
        <v>100.77</v>
      </c>
      <c r="I1864" t="s">
        <v>15</v>
      </c>
      <c r="J1864" t="s">
        <v>15</v>
      </c>
      <c r="K1864">
        <v>18.14</v>
      </c>
      <c r="L1864">
        <v>0</v>
      </c>
    </row>
    <row r="1865" spans="1:12" x14ac:dyDescent="0.3">
      <c r="A1865" t="s">
        <v>1881</v>
      </c>
      <c r="B1865" t="s">
        <v>17</v>
      </c>
      <c r="C1865">
        <v>1298</v>
      </c>
      <c r="D1865">
        <v>23.36</v>
      </c>
      <c r="E1865">
        <v>4.2</v>
      </c>
      <c r="F1865">
        <f>COUNTIFS(mdr_rate_cleaned!$A$2:$A$10,B1865,mdr_rate_cleaned!$B$2:$B$10,"&lt;"&amp;C1865,mdr_rate_cleaned!$F$2:$F$10,"&gt;="&amp;C1865)</f>
        <v>1</v>
      </c>
      <c r="G1865">
        <v>1.7999999999999999E-2</v>
      </c>
      <c r="H1865">
        <v>23.36</v>
      </c>
      <c r="I1865" t="s">
        <v>15</v>
      </c>
      <c r="J1865" t="s">
        <v>15</v>
      </c>
      <c r="K1865">
        <v>4.2</v>
      </c>
      <c r="L1865">
        <v>0</v>
      </c>
    </row>
    <row r="1866" spans="1:12" x14ac:dyDescent="0.3">
      <c r="A1866" t="s">
        <v>1882</v>
      </c>
      <c r="B1866" t="s">
        <v>17</v>
      </c>
      <c r="C1866">
        <v>6997</v>
      </c>
      <c r="D1866">
        <v>111.95</v>
      </c>
      <c r="E1866">
        <v>20.149999999999999</v>
      </c>
      <c r="F1866">
        <f>COUNTIFS(mdr_rate_cleaned!$A$2:$A$10,B1866,mdr_rate_cleaned!$B$2:$B$10,"&lt;"&amp;C1866,mdr_rate_cleaned!$F$2:$F$10,"&gt;="&amp;C1866)</f>
        <v>1</v>
      </c>
      <c r="G1866">
        <v>1.6E-2</v>
      </c>
      <c r="H1866">
        <v>111.95</v>
      </c>
      <c r="I1866" t="s">
        <v>15</v>
      </c>
      <c r="J1866" t="s">
        <v>15</v>
      </c>
      <c r="K1866">
        <v>20.149999999999999</v>
      </c>
      <c r="L1866">
        <v>0</v>
      </c>
    </row>
    <row r="1867" spans="1:12" x14ac:dyDescent="0.3">
      <c r="A1867" t="s">
        <v>1883</v>
      </c>
      <c r="B1867" t="s">
        <v>17</v>
      </c>
      <c r="C1867">
        <v>3998</v>
      </c>
      <c r="D1867">
        <v>63.97</v>
      </c>
      <c r="E1867">
        <v>11.51</v>
      </c>
      <c r="F1867">
        <f>COUNTIFS(mdr_rate_cleaned!$A$2:$A$10,B1867,mdr_rate_cleaned!$B$2:$B$10,"&lt;"&amp;C1867,mdr_rate_cleaned!$F$2:$F$10,"&gt;="&amp;C1867)</f>
        <v>1</v>
      </c>
      <c r="G1867">
        <v>1.6E-2</v>
      </c>
      <c r="H1867">
        <v>63.97</v>
      </c>
      <c r="I1867" t="s">
        <v>15</v>
      </c>
      <c r="J1867" t="s">
        <v>15</v>
      </c>
      <c r="K1867">
        <v>11.51</v>
      </c>
      <c r="L1867">
        <v>0</v>
      </c>
    </row>
    <row r="1868" spans="1:12" x14ac:dyDescent="0.3">
      <c r="A1868" t="s">
        <v>1884</v>
      </c>
      <c r="B1868" t="s">
        <v>21</v>
      </c>
      <c r="C1868">
        <v>10998</v>
      </c>
      <c r="D1868">
        <v>32.99</v>
      </c>
      <c r="E1868">
        <v>5.94</v>
      </c>
      <c r="F1868">
        <f>COUNTIFS(mdr_rate_cleaned!$A$2:$A$10,B1868,mdr_rate_cleaned!$B$2:$B$10,"&lt;"&amp;C1868,mdr_rate_cleaned!$F$2:$F$10,"&gt;="&amp;C1868)</f>
        <v>1</v>
      </c>
      <c r="G1868">
        <v>3.0000000000000001E-3</v>
      </c>
      <c r="H1868">
        <v>32.99</v>
      </c>
      <c r="I1868" t="s">
        <v>15</v>
      </c>
      <c r="J1868" t="s">
        <v>15</v>
      </c>
      <c r="K1868">
        <v>5.94</v>
      </c>
      <c r="L1868">
        <v>0</v>
      </c>
    </row>
    <row r="1869" spans="1:12" x14ac:dyDescent="0.3">
      <c r="A1869" t="s">
        <v>1885</v>
      </c>
      <c r="B1869" t="s">
        <v>39</v>
      </c>
      <c r="C1869">
        <v>2499</v>
      </c>
      <c r="D1869">
        <v>29.99</v>
      </c>
      <c r="E1869">
        <v>5.4</v>
      </c>
      <c r="F1869">
        <f>COUNTIFS(mdr_rate_cleaned!$A$2:$A$10,B1869,mdr_rate_cleaned!$B$2:$B$10,"&lt;"&amp;C1869,mdr_rate_cleaned!$F$2:$F$10,"&gt;="&amp;C1869)</f>
        <v>1</v>
      </c>
      <c r="G1869">
        <v>1.2E-2</v>
      </c>
      <c r="H1869">
        <v>29.99</v>
      </c>
      <c r="I1869" t="s">
        <v>15</v>
      </c>
      <c r="J1869" t="s">
        <v>15</v>
      </c>
      <c r="K1869">
        <v>5.4</v>
      </c>
      <c r="L1869">
        <v>0</v>
      </c>
    </row>
    <row r="1870" spans="1:12" x14ac:dyDescent="0.3">
      <c r="A1870" t="s">
        <v>1886</v>
      </c>
      <c r="B1870" t="s">
        <v>21</v>
      </c>
      <c r="C1870">
        <v>5998</v>
      </c>
      <c r="D1870">
        <v>17.989999999999998</v>
      </c>
      <c r="E1870">
        <v>3.24</v>
      </c>
      <c r="F1870">
        <f>COUNTIFS(mdr_rate_cleaned!$A$2:$A$10,B1870,mdr_rate_cleaned!$B$2:$B$10,"&lt;"&amp;C1870,mdr_rate_cleaned!$F$2:$F$10,"&gt;="&amp;C1870)</f>
        <v>1</v>
      </c>
      <c r="G1870">
        <v>3.0000000000000001E-3</v>
      </c>
      <c r="H1870">
        <v>17.989999999999998</v>
      </c>
      <c r="I1870" t="s">
        <v>15</v>
      </c>
      <c r="J1870" t="s">
        <v>15</v>
      </c>
      <c r="K1870">
        <v>3.24</v>
      </c>
      <c r="L1870">
        <v>0</v>
      </c>
    </row>
    <row r="1871" spans="1:12" x14ac:dyDescent="0.3">
      <c r="A1871" t="s">
        <v>1887</v>
      </c>
      <c r="B1871" t="s">
        <v>21</v>
      </c>
      <c r="C1871">
        <v>5348</v>
      </c>
      <c r="D1871">
        <v>16.04</v>
      </c>
      <c r="E1871">
        <v>2.89</v>
      </c>
      <c r="F1871">
        <f>COUNTIFS(mdr_rate_cleaned!$A$2:$A$10,B1871,mdr_rate_cleaned!$B$2:$B$10,"&lt;"&amp;C1871,mdr_rate_cleaned!$F$2:$F$10,"&gt;="&amp;C1871)</f>
        <v>1</v>
      </c>
      <c r="G1871">
        <v>3.0000000000000001E-3</v>
      </c>
      <c r="H1871">
        <v>16.04</v>
      </c>
      <c r="I1871" t="s">
        <v>15</v>
      </c>
      <c r="J1871" t="s">
        <v>15</v>
      </c>
      <c r="K1871">
        <v>2.89</v>
      </c>
      <c r="L1871">
        <v>0</v>
      </c>
    </row>
    <row r="1872" spans="1:12" x14ac:dyDescent="0.3">
      <c r="A1872" t="s">
        <v>1888</v>
      </c>
      <c r="B1872" t="s">
        <v>21</v>
      </c>
      <c r="C1872">
        <v>5297</v>
      </c>
      <c r="D1872">
        <v>15.89</v>
      </c>
      <c r="E1872">
        <v>2.86</v>
      </c>
      <c r="F1872">
        <f>COUNTIFS(mdr_rate_cleaned!$A$2:$A$10,B1872,mdr_rate_cleaned!$B$2:$B$10,"&lt;"&amp;C1872,mdr_rate_cleaned!$F$2:$F$10,"&gt;="&amp;C1872)</f>
        <v>1</v>
      </c>
      <c r="G1872">
        <v>3.0000000000000001E-3</v>
      </c>
      <c r="H1872">
        <v>15.89</v>
      </c>
      <c r="I1872" t="s">
        <v>15</v>
      </c>
      <c r="J1872" t="s">
        <v>15</v>
      </c>
      <c r="K1872">
        <v>2.86</v>
      </c>
      <c r="L1872">
        <v>0</v>
      </c>
    </row>
    <row r="1873" spans="1:12" x14ac:dyDescent="0.3">
      <c r="A1873" t="s">
        <v>1889</v>
      </c>
      <c r="B1873" t="s">
        <v>17</v>
      </c>
      <c r="C1873">
        <v>7498</v>
      </c>
      <c r="D1873">
        <v>119.97</v>
      </c>
      <c r="E1873">
        <v>21.59</v>
      </c>
      <c r="F1873">
        <f>COUNTIFS(mdr_rate_cleaned!$A$2:$A$10,B1873,mdr_rate_cleaned!$B$2:$B$10,"&lt;"&amp;C1873,mdr_rate_cleaned!$F$2:$F$10,"&gt;="&amp;C1873)</f>
        <v>1</v>
      </c>
      <c r="G1873">
        <v>1.6E-2</v>
      </c>
      <c r="H1873">
        <v>119.97</v>
      </c>
      <c r="I1873" t="s">
        <v>15</v>
      </c>
      <c r="J1873" t="s">
        <v>15</v>
      </c>
      <c r="K1873">
        <v>21.59</v>
      </c>
      <c r="L1873">
        <v>0</v>
      </c>
    </row>
    <row r="1874" spans="1:12" x14ac:dyDescent="0.3">
      <c r="A1874" t="s">
        <v>1890</v>
      </c>
      <c r="B1874" t="s">
        <v>21</v>
      </c>
      <c r="C1874">
        <v>999</v>
      </c>
      <c r="D1874">
        <v>0</v>
      </c>
      <c r="E1874">
        <v>0</v>
      </c>
      <c r="F1874">
        <f>COUNTIFS(mdr_rate_cleaned!$A$2:$A$10,B1874,mdr_rate_cleaned!$B$2:$B$10,"&lt;"&amp;C1874,mdr_rate_cleaned!$F$2:$F$10,"&gt;="&amp;C1874)</f>
        <v>1</v>
      </c>
      <c r="G1874">
        <v>0</v>
      </c>
      <c r="H1874">
        <v>0</v>
      </c>
      <c r="I1874" t="s">
        <v>15</v>
      </c>
      <c r="J1874" t="s">
        <v>15</v>
      </c>
      <c r="K1874">
        <v>0</v>
      </c>
      <c r="L1874">
        <v>0</v>
      </c>
    </row>
    <row r="1875" spans="1:12" x14ac:dyDescent="0.3">
      <c r="A1875" t="s">
        <v>1891</v>
      </c>
      <c r="B1875" t="s">
        <v>17</v>
      </c>
      <c r="C1875">
        <v>2097</v>
      </c>
      <c r="D1875">
        <v>33.549999999999997</v>
      </c>
      <c r="E1875">
        <v>6.04</v>
      </c>
      <c r="F1875">
        <f>COUNTIFS(mdr_rate_cleaned!$A$2:$A$10,B1875,mdr_rate_cleaned!$B$2:$B$10,"&lt;"&amp;C1875,mdr_rate_cleaned!$F$2:$F$10,"&gt;="&amp;C1875)</f>
        <v>1</v>
      </c>
      <c r="G1875">
        <v>1.6E-2</v>
      </c>
      <c r="H1875">
        <v>33.549999999999997</v>
      </c>
      <c r="I1875" t="s">
        <v>15</v>
      </c>
      <c r="J1875" t="s">
        <v>15</v>
      </c>
      <c r="K1875">
        <v>6.04</v>
      </c>
      <c r="L1875">
        <v>0</v>
      </c>
    </row>
    <row r="1876" spans="1:12" x14ac:dyDescent="0.3">
      <c r="A1876" t="s">
        <v>1892</v>
      </c>
      <c r="B1876" t="s">
        <v>17</v>
      </c>
      <c r="C1876">
        <v>5998</v>
      </c>
      <c r="D1876">
        <v>95.97</v>
      </c>
      <c r="E1876">
        <v>17.27</v>
      </c>
      <c r="F1876">
        <f>COUNTIFS(mdr_rate_cleaned!$A$2:$A$10,B1876,mdr_rate_cleaned!$B$2:$B$10,"&lt;"&amp;C1876,mdr_rate_cleaned!$F$2:$F$10,"&gt;="&amp;C1876)</f>
        <v>1</v>
      </c>
      <c r="G1876">
        <v>1.6E-2</v>
      </c>
      <c r="H1876">
        <v>95.97</v>
      </c>
      <c r="I1876" t="s">
        <v>15</v>
      </c>
      <c r="J1876" t="s">
        <v>15</v>
      </c>
      <c r="K1876">
        <v>17.27</v>
      </c>
      <c r="L1876">
        <v>0</v>
      </c>
    </row>
    <row r="1877" spans="1:12" x14ac:dyDescent="0.3">
      <c r="A1877" t="s">
        <v>1893</v>
      </c>
      <c r="B1877" t="s">
        <v>21</v>
      </c>
      <c r="C1877">
        <v>299</v>
      </c>
      <c r="D1877">
        <v>0</v>
      </c>
      <c r="E1877">
        <v>0</v>
      </c>
      <c r="F1877">
        <f>COUNTIFS(mdr_rate_cleaned!$A$2:$A$10,B1877,mdr_rate_cleaned!$B$2:$B$10,"&lt;"&amp;C1877,mdr_rate_cleaned!$F$2:$F$10,"&gt;="&amp;C1877)</f>
        <v>1</v>
      </c>
      <c r="G1877">
        <v>0</v>
      </c>
      <c r="H1877">
        <v>0</v>
      </c>
      <c r="I1877" t="s">
        <v>15</v>
      </c>
      <c r="J1877" t="s">
        <v>15</v>
      </c>
      <c r="K1877">
        <v>0</v>
      </c>
      <c r="L1877">
        <v>0</v>
      </c>
    </row>
    <row r="1878" spans="1:12" x14ac:dyDescent="0.3">
      <c r="A1878" t="s">
        <v>1894</v>
      </c>
      <c r="B1878" t="s">
        <v>21</v>
      </c>
      <c r="C1878">
        <v>599</v>
      </c>
      <c r="D1878">
        <v>0</v>
      </c>
      <c r="E1878">
        <v>0</v>
      </c>
      <c r="F1878">
        <f>COUNTIFS(mdr_rate_cleaned!$A$2:$A$10,B1878,mdr_rate_cleaned!$B$2:$B$10,"&lt;"&amp;C1878,mdr_rate_cleaned!$F$2:$F$10,"&gt;="&amp;C1878)</f>
        <v>1</v>
      </c>
      <c r="G1878">
        <v>0</v>
      </c>
      <c r="H1878">
        <v>0</v>
      </c>
      <c r="I1878" t="s">
        <v>15</v>
      </c>
      <c r="J1878" t="s">
        <v>15</v>
      </c>
      <c r="K1878">
        <v>0</v>
      </c>
      <c r="L1878">
        <v>0</v>
      </c>
    </row>
    <row r="1879" spans="1:12" x14ac:dyDescent="0.3">
      <c r="A1879" t="s">
        <v>1895</v>
      </c>
      <c r="B1879" t="s">
        <v>13</v>
      </c>
      <c r="C1879">
        <v>9597</v>
      </c>
      <c r="D1879">
        <v>163.15</v>
      </c>
      <c r="E1879">
        <v>29.37</v>
      </c>
      <c r="F1879">
        <f>COUNTIFS(mdr_rate_cleaned!$A$2:$A$10,B1879,mdr_rate_cleaned!$B$2:$B$10,"&lt;"&amp;C1879,mdr_rate_cleaned!$F$2:$F$10,"&gt;="&amp;C1879)</f>
        <v>1</v>
      </c>
      <c r="G1879">
        <v>1.7000000000000001E-2</v>
      </c>
      <c r="H1879">
        <v>163.15</v>
      </c>
      <c r="I1879" t="s">
        <v>15</v>
      </c>
      <c r="J1879" t="s">
        <v>15</v>
      </c>
      <c r="K1879">
        <v>29.37</v>
      </c>
      <c r="L1879">
        <v>0</v>
      </c>
    </row>
    <row r="1880" spans="1:12" x14ac:dyDescent="0.3">
      <c r="A1880" t="s">
        <v>1896</v>
      </c>
      <c r="B1880" t="s">
        <v>17</v>
      </c>
      <c r="C1880">
        <v>1799</v>
      </c>
      <c r="D1880">
        <v>32.380000000000003</v>
      </c>
      <c r="E1880">
        <v>5.83</v>
      </c>
      <c r="F1880">
        <f>COUNTIFS(mdr_rate_cleaned!$A$2:$A$10,B1880,mdr_rate_cleaned!$B$2:$B$10,"&lt;"&amp;C1880,mdr_rate_cleaned!$F$2:$F$10,"&gt;="&amp;C1880)</f>
        <v>1</v>
      </c>
      <c r="G1880">
        <v>1.7999999999999999E-2</v>
      </c>
      <c r="H1880">
        <v>32.380000000000003</v>
      </c>
      <c r="I1880" t="s">
        <v>15</v>
      </c>
      <c r="J1880" t="s">
        <v>15</v>
      </c>
      <c r="K1880">
        <v>5.83</v>
      </c>
      <c r="L1880">
        <v>0</v>
      </c>
    </row>
    <row r="1881" spans="1:12" x14ac:dyDescent="0.3">
      <c r="A1881" t="s">
        <v>1897</v>
      </c>
      <c r="B1881" t="s">
        <v>21</v>
      </c>
      <c r="C1881">
        <v>349</v>
      </c>
      <c r="D1881">
        <v>0</v>
      </c>
      <c r="E1881">
        <v>0</v>
      </c>
      <c r="F1881">
        <f>COUNTIFS(mdr_rate_cleaned!$A$2:$A$10,B1881,mdr_rate_cleaned!$B$2:$B$10,"&lt;"&amp;C1881,mdr_rate_cleaned!$F$2:$F$10,"&gt;="&amp;C1881)</f>
        <v>1</v>
      </c>
      <c r="G1881">
        <v>0</v>
      </c>
      <c r="H1881">
        <v>0</v>
      </c>
      <c r="I1881" t="s">
        <v>15</v>
      </c>
      <c r="J1881" t="s">
        <v>15</v>
      </c>
      <c r="K1881">
        <v>0</v>
      </c>
      <c r="L1881">
        <v>0</v>
      </c>
    </row>
    <row r="1882" spans="1:12" x14ac:dyDescent="0.3">
      <c r="A1882" t="s">
        <v>1898</v>
      </c>
      <c r="B1882" t="s">
        <v>21</v>
      </c>
      <c r="C1882">
        <v>7498</v>
      </c>
      <c r="D1882">
        <v>22.49</v>
      </c>
      <c r="E1882">
        <v>4.05</v>
      </c>
      <c r="F1882">
        <f>COUNTIFS(mdr_rate_cleaned!$A$2:$A$10,B1882,mdr_rate_cleaned!$B$2:$B$10,"&lt;"&amp;C1882,mdr_rate_cleaned!$F$2:$F$10,"&gt;="&amp;C1882)</f>
        <v>1</v>
      </c>
      <c r="G1882">
        <v>3.0000000000000001E-3</v>
      </c>
      <c r="H1882">
        <v>22.49</v>
      </c>
      <c r="I1882" t="s">
        <v>15</v>
      </c>
      <c r="J1882" t="s">
        <v>15</v>
      </c>
      <c r="K1882">
        <v>4.05</v>
      </c>
      <c r="L1882">
        <v>0</v>
      </c>
    </row>
    <row r="1883" spans="1:12" x14ac:dyDescent="0.3">
      <c r="A1883" t="s">
        <v>1899</v>
      </c>
      <c r="B1883" t="s">
        <v>13</v>
      </c>
      <c r="C1883">
        <v>799</v>
      </c>
      <c r="D1883">
        <v>15.18</v>
      </c>
      <c r="E1883">
        <v>2.73</v>
      </c>
      <c r="F1883">
        <f>COUNTIFS(mdr_rate_cleaned!$A$2:$A$10,B1883,mdr_rate_cleaned!$B$2:$B$10,"&lt;"&amp;C1883,mdr_rate_cleaned!$F$2:$F$10,"&gt;="&amp;C1883)</f>
        <v>1</v>
      </c>
      <c r="G1883">
        <v>1.9E-2</v>
      </c>
      <c r="H1883">
        <v>15.18</v>
      </c>
      <c r="I1883" t="s">
        <v>15</v>
      </c>
      <c r="J1883" t="s">
        <v>15</v>
      </c>
      <c r="K1883">
        <v>2.73</v>
      </c>
      <c r="L1883">
        <v>0</v>
      </c>
    </row>
    <row r="1884" spans="1:12" x14ac:dyDescent="0.3">
      <c r="A1884" t="s">
        <v>1900</v>
      </c>
      <c r="B1884" t="s">
        <v>17</v>
      </c>
      <c r="C1884">
        <v>2999</v>
      </c>
      <c r="D1884">
        <v>47.98</v>
      </c>
      <c r="E1884">
        <v>8.64</v>
      </c>
      <c r="F1884">
        <f>COUNTIFS(mdr_rate_cleaned!$A$2:$A$10,B1884,mdr_rate_cleaned!$B$2:$B$10,"&lt;"&amp;C1884,mdr_rate_cleaned!$F$2:$F$10,"&gt;="&amp;C1884)</f>
        <v>1</v>
      </c>
      <c r="G1884">
        <v>1.6E-2</v>
      </c>
      <c r="H1884">
        <v>47.98</v>
      </c>
      <c r="I1884" t="s">
        <v>15</v>
      </c>
      <c r="J1884" t="s">
        <v>15</v>
      </c>
      <c r="K1884">
        <v>8.64</v>
      </c>
      <c r="L1884">
        <v>0</v>
      </c>
    </row>
    <row r="1885" spans="1:12" x14ac:dyDescent="0.3">
      <c r="A1885" t="s">
        <v>1901</v>
      </c>
      <c r="B1885" t="s">
        <v>21</v>
      </c>
      <c r="C1885">
        <v>299</v>
      </c>
      <c r="D1885">
        <v>0</v>
      </c>
      <c r="E1885">
        <v>0</v>
      </c>
      <c r="F1885">
        <f>COUNTIFS(mdr_rate_cleaned!$A$2:$A$10,B1885,mdr_rate_cleaned!$B$2:$B$10,"&lt;"&amp;C1885,mdr_rate_cleaned!$F$2:$F$10,"&gt;="&amp;C1885)</f>
        <v>1</v>
      </c>
      <c r="G1885">
        <v>0</v>
      </c>
      <c r="H1885">
        <v>0</v>
      </c>
      <c r="I1885" t="s">
        <v>15</v>
      </c>
      <c r="J1885" t="s">
        <v>15</v>
      </c>
      <c r="K1885">
        <v>0</v>
      </c>
      <c r="L1885">
        <v>0</v>
      </c>
    </row>
    <row r="1886" spans="1:12" x14ac:dyDescent="0.3">
      <c r="A1886" t="s">
        <v>1902</v>
      </c>
      <c r="B1886" t="s">
        <v>13</v>
      </c>
      <c r="C1886">
        <v>1299</v>
      </c>
      <c r="D1886">
        <v>24.68</v>
      </c>
      <c r="E1886">
        <v>4.4400000000000004</v>
      </c>
      <c r="F1886">
        <f>COUNTIFS(mdr_rate_cleaned!$A$2:$A$10,B1886,mdr_rate_cleaned!$B$2:$B$10,"&lt;"&amp;C1886,mdr_rate_cleaned!$F$2:$F$10,"&gt;="&amp;C1886)</f>
        <v>1</v>
      </c>
      <c r="G1886">
        <v>1.9E-2</v>
      </c>
      <c r="H1886">
        <v>24.68</v>
      </c>
      <c r="I1886" t="s">
        <v>15</v>
      </c>
      <c r="J1886" t="s">
        <v>15</v>
      </c>
      <c r="K1886">
        <v>4.4400000000000004</v>
      </c>
      <c r="L1886">
        <v>0</v>
      </c>
    </row>
    <row r="1887" spans="1:12" x14ac:dyDescent="0.3">
      <c r="A1887" t="s">
        <v>1903</v>
      </c>
      <c r="B1887" t="s">
        <v>17</v>
      </c>
      <c r="C1887">
        <v>499</v>
      </c>
      <c r="D1887">
        <v>8.98</v>
      </c>
      <c r="E1887">
        <v>1.62</v>
      </c>
      <c r="F1887">
        <f>COUNTIFS(mdr_rate_cleaned!$A$2:$A$10,B1887,mdr_rate_cleaned!$B$2:$B$10,"&lt;"&amp;C1887,mdr_rate_cleaned!$F$2:$F$10,"&gt;="&amp;C1887)</f>
        <v>1</v>
      </c>
      <c r="G1887">
        <v>1.7999999999999999E-2</v>
      </c>
      <c r="H1887">
        <v>8.98</v>
      </c>
      <c r="I1887" t="s">
        <v>15</v>
      </c>
      <c r="J1887" t="s">
        <v>15</v>
      </c>
      <c r="K1887">
        <v>1.62</v>
      </c>
      <c r="L1887">
        <v>0</v>
      </c>
    </row>
    <row r="1888" spans="1:12" x14ac:dyDescent="0.3">
      <c r="A1888" t="s">
        <v>1904</v>
      </c>
      <c r="B1888" t="s">
        <v>21</v>
      </c>
      <c r="C1888">
        <v>8097</v>
      </c>
      <c r="D1888">
        <v>24.29</v>
      </c>
      <c r="E1888">
        <v>4.37</v>
      </c>
      <c r="F1888">
        <f>COUNTIFS(mdr_rate_cleaned!$A$2:$A$10,B1888,mdr_rate_cleaned!$B$2:$B$10,"&lt;"&amp;C1888,mdr_rate_cleaned!$F$2:$F$10,"&gt;="&amp;C1888)</f>
        <v>1</v>
      </c>
      <c r="G1888">
        <v>3.0000000000000001E-3</v>
      </c>
      <c r="H1888">
        <v>24.29</v>
      </c>
      <c r="I1888" t="s">
        <v>15</v>
      </c>
      <c r="J1888" t="s">
        <v>15</v>
      </c>
      <c r="K1888">
        <v>4.37</v>
      </c>
      <c r="L1888">
        <v>0</v>
      </c>
    </row>
    <row r="1889" spans="1:12" x14ac:dyDescent="0.3">
      <c r="A1889" t="s">
        <v>1905</v>
      </c>
      <c r="B1889" t="s">
        <v>17</v>
      </c>
      <c r="C1889">
        <v>3298</v>
      </c>
      <c r="D1889">
        <v>52.77</v>
      </c>
      <c r="E1889">
        <v>9.5</v>
      </c>
      <c r="F1889">
        <f>COUNTIFS(mdr_rate_cleaned!$A$2:$A$10,B1889,mdr_rate_cleaned!$B$2:$B$10,"&lt;"&amp;C1889,mdr_rate_cleaned!$F$2:$F$10,"&gt;="&amp;C1889)</f>
        <v>1</v>
      </c>
      <c r="G1889">
        <v>1.6E-2</v>
      </c>
      <c r="H1889">
        <v>52.77</v>
      </c>
      <c r="I1889" t="s">
        <v>15</v>
      </c>
      <c r="J1889" t="s">
        <v>15</v>
      </c>
      <c r="K1889">
        <v>9.5</v>
      </c>
      <c r="L1889">
        <v>0</v>
      </c>
    </row>
    <row r="1890" spans="1:12" x14ac:dyDescent="0.3">
      <c r="A1890" t="s">
        <v>1906</v>
      </c>
      <c r="B1890" t="s">
        <v>17</v>
      </c>
      <c r="C1890">
        <v>2499</v>
      </c>
      <c r="D1890">
        <v>39.979999999999997</v>
      </c>
      <c r="E1890">
        <v>7.2</v>
      </c>
      <c r="F1890">
        <f>COUNTIFS(mdr_rate_cleaned!$A$2:$A$10,B1890,mdr_rate_cleaned!$B$2:$B$10,"&lt;"&amp;C1890,mdr_rate_cleaned!$F$2:$F$10,"&gt;="&amp;C1890)</f>
        <v>1</v>
      </c>
      <c r="G1890">
        <v>1.6E-2</v>
      </c>
      <c r="H1890">
        <v>39.979999999999997</v>
      </c>
      <c r="I1890" t="s">
        <v>15</v>
      </c>
      <c r="J1890" t="s">
        <v>15</v>
      </c>
      <c r="K1890">
        <v>7.2</v>
      </c>
      <c r="L1890">
        <v>0</v>
      </c>
    </row>
    <row r="1891" spans="1:12" x14ac:dyDescent="0.3">
      <c r="A1891" t="s">
        <v>1907</v>
      </c>
      <c r="B1891" t="s">
        <v>21</v>
      </c>
      <c r="C1891">
        <v>798</v>
      </c>
      <c r="D1891">
        <v>0</v>
      </c>
      <c r="E1891">
        <v>0</v>
      </c>
      <c r="F1891">
        <f>COUNTIFS(mdr_rate_cleaned!$A$2:$A$10,B1891,mdr_rate_cleaned!$B$2:$B$10,"&lt;"&amp;C1891,mdr_rate_cleaned!$F$2:$F$10,"&gt;="&amp;C1891)</f>
        <v>1</v>
      </c>
      <c r="G1891">
        <v>0</v>
      </c>
      <c r="H1891">
        <v>0</v>
      </c>
      <c r="I1891" t="s">
        <v>15</v>
      </c>
      <c r="J1891" t="s">
        <v>15</v>
      </c>
      <c r="K1891">
        <v>0</v>
      </c>
      <c r="L1891">
        <v>0</v>
      </c>
    </row>
    <row r="1892" spans="1:12" x14ac:dyDescent="0.3">
      <c r="A1892" t="s">
        <v>1908</v>
      </c>
      <c r="B1892" t="s">
        <v>21</v>
      </c>
      <c r="C1892">
        <v>499</v>
      </c>
      <c r="D1892">
        <v>0</v>
      </c>
      <c r="E1892">
        <v>0</v>
      </c>
      <c r="F1892">
        <f>COUNTIFS(mdr_rate_cleaned!$A$2:$A$10,B1892,mdr_rate_cleaned!$B$2:$B$10,"&lt;"&amp;C1892,mdr_rate_cleaned!$F$2:$F$10,"&gt;="&amp;C1892)</f>
        <v>1</v>
      </c>
      <c r="G1892">
        <v>0</v>
      </c>
      <c r="H1892">
        <v>0</v>
      </c>
      <c r="I1892" t="s">
        <v>15</v>
      </c>
      <c r="J1892" t="s">
        <v>15</v>
      </c>
      <c r="K1892">
        <v>0</v>
      </c>
      <c r="L1892">
        <v>0</v>
      </c>
    </row>
    <row r="1893" spans="1:12" x14ac:dyDescent="0.3">
      <c r="A1893" t="s">
        <v>1909</v>
      </c>
      <c r="B1893" t="s">
        <v>21</v>
      </c>
      <c r="C1893">
        <v>7498</v>
      </c>
      <c r="D1893">
        <v>22.49</v>
      </c>
      <c r="E1893">
        <v>4.05</v>
      </c>
      <c r="F1893">
        <f>COUNTIFS(mdr_rate_cleaned!$A$2:$A$10,B1893,mdr_rate_cleaned!$B$2:$B$10,"&lt;"&amp;C1893,mdr_rate_cleaned!$F$2:$F$10,"&gt;="&amp;C1893)</f>
        <v>1</v>
      </c>
      <c r="G1893">
        <v>3.0000000000000001E-3</v>
      </c>
      <c r="H1893">
        <v>22.49</v>
      </c>
      <c r="I1893" t="s">
        <v>15</v>
      </c>
      <c r="J1893" t="s">
        <v>15</v>
      </c>
      <c r="K1893">
        <v>4.05</v>
      </c>
      <c r="L1893">
        <v>0</v>
      </c>
    </row>
    <row r="1894" spans="1:12" x14ac:dyDescent="0.3">
      <c r="A1894" t="s">
        <v>1910</v>
      </c>
      <c r="B1894" t="s">
        <v>21</v>
      </c>
      <c r="C1894">
        <v>999</v>
      </c>
      <c r="D1894">
        <v>0</v>
      </c>
      <c r="E1894">
        <v>0</v>
      </c>
      <c r="F1894">
        <f>COUNTIFS(mdr_rate_cleaned!$A$2:$A$10,B1894,mdr_rate_cleaned!$B$2:$B$10,"&lt;"&amp;C1894,mdr_rate_cleaned!$F$2:$F$10,"&gt;="&amp;C1894)</f>
        <v>1</v>
      </c>
      <c r="G1894">
        <v>0</v>
      </c>
      <c r="H1894">
        <v>0</v>
      </c>
      <c r="I1894" t="s">
        <v>15</v>
      </c>
      <c r="J1894" t="s">
        <v>15</v>
      </c>
      <c r="K1894">
        <v>0</v>
      </c>
      <c r="L1894">
        <v>0</v>
      </c>
    </row>
    <row r="1895" spans="1:12" x14ac:dyDescent="0.3">
      <c r="A1895" t="s">
        <v>1911</v>
      </c>
      <c r="B1895" t="s">
        <v>17</v>
      </c>
      <c r="C1895">
        <v>5597</v>
      </c>
      <c r="D1895">
        <v>89.55</v>
      </c>
      <c r="E1895">
        <v>16.12</v>
      </c>
      <c r="F1895">
        <f>COUNTIFS(mdr_rate_cleaned!$A$2:$A$10,B1895,mdr_rate_cleaned!$B$2:$B$10,"&lt;"&amp;C1895,mdr_rate_cleaned!$F$2:$F$10,"&gt;="&amp;C1895)</f>
        <v>1</v>
      </c>
      <c r="G1895">
        <v>1.6E-2</v>
      </c>
      <c r="H1895">
        <v>89.55</v>
      </c>
      <c r="I1895" t="s">
        <v>15</v>
      </c>
      <c r="J1895" t="s">
        <v>15</v>
      </c>
      <c r="K1895">
        <v>16.12</v>
      </c>
      <c r="L1895">
        <v>0</v>
      </c>
    </row>
    <row r="1896" spans="1:12" x14ac:dyDescent="0.3">
      <c r="A1896" t="s">
        <v>1912</v>
      </c>
      <c r="B1896" t="s">
        <v>21</v>
      </c>
      <c r="C1896">
        <v>1499</v>
      </c>
      <c r="D1896">
        <v>0</v>
      </c>
      <c r="E1896">
        <v>0</v>
      </c>
      <c r="F1896">
        <f>COUNTIFS(mdr_rate_cleaned!$A$2:$A$10,B1896,mdr_rate_cleaned!$B$2:$B$10,"&lt;"&amp;C1896,mdr_rate_cleaned!$F$2:$F$10,"&gt;="&amp;C1896)</f>
        <v>1</v>
      </c>
      <c r="G1896">
        <v>0</v>
      </c>
      <c r="H1896">
        <v>0</v>
      </c>
      <c r="I1896" t="s">
        <v>15</v>
      </c>
      <c r="J1896" t="s">
        <v>15</v>
      </c>
      <c r="K1896">
        <v>0</v>
      </c>
      <c r="L1896">
        <v>0</v>
      </c>
    </row>
    <row r="1897" spans="1:12" x14ac:dyDescent="0.3">
      <c r="A1897" t="s">
        <v>1913</v>
      </c>
      <c r="B1897" t="s">
        <v>39</v>
      </c>
      <c r="C1897">
        <v>2499</v>
      </c>
      <c r="D1897">
        <v>29.99</v>
      </c>
      <c r="E1897">
        <v>5.4</v>
      </c>
      <c r="F1897">
        <f>COUNTIFS(mdr_rate_cleaned!$A$2:$A$10,B1897,mdr_rate_cleaned!$B$2:$B$10,"&lt;"&amp;C1897,mdr_rate_cleaned!$F$2:$F$10,"&gt;="&amp;C1897)</f>
        <v>1</v>
      </c>
      <c r="G1897">
        <v>1.2E-2</v>
      </c>
      <c r="H1897">
        <v>29.99</v>
      </c>
      <c r="I1897" t="s">
        <v>15</v>
      </c>
      <c r="J1897" t="s">
        <v>15</v>
      </c>
      <c r="K1897">
        <v>5.4</v>
      </c>
      <c r="L1897">
        <v>0</v>
      </c>
    </row>
    <row r="1898" spans="1:12" x14ac:dyDescent="0.3">
      <c r="A1898" t="s">
        <v>1914</v>
      </c>
      <c r="B1898" t="s">
        <v>21</v>
      </c>
      <c r="C1898">
        <v>1598</v>
      </c>
      <c r="D1898">
        <v>0</v>
      </c>
      <c r="E1898">
        <v>0</v>
      </c>
      <c r="F1898">
        <f>COUNTIFS(mdr_rate_cleaned!$A$2:$A$10,B1898,mdr_rate_cleaned!$B$2:$B$10,"&lt;"&amp;C1898,mdr_rate_cleaned!$F$2:$F$10,"&gt;="&amp;C1898)</f>
        <v>1</v>
      </c>
      <c r="G1898">
        <v>0</v>
      </c>
      <c r="H1898">
        <v>0</v>
      </c>
      <c r="I1898" t="s">
        <v>15</v>
      </c>
      <c r="J1898" t="s">
        <v>15</v>
      </c>
      <c r="K1898">
        <v>0</v>
      </c>
      <c r="L1898">
        <v>0</v>
      </c>
    </row>
    <row r="1899" spans="1:12" x14ac:dyDescent="0.3">
      <c r="A1899" t="s">
        <v>1915</v>
      </c>
      <c r="B1899" t="s">
        <v>39</v>
      </c>
      <c r="C1899">
        <v>7999</v>
      </c>
      <c r="D1899">
        <v>95.99</v>
      </c>
      <c r="E1899">
        <v>17.28</v>
      </c>
      <c r="F1899">
        <f>COUNTIFS(mdr_rate_cleaned!$A$2:$A$10,B1899,mdr_rate_cleaned!$B$2:$B$10,"&lt;"&amp;C1899,mdr_rate_cleaned!$F$2:$F$10,"&gt;="&amp;C1899)</f>
        <v>1</v>
      </c>
      <c r="G1899">
        <v>1.2E-2</v>
      </c>
      <c r="H1899">
        <v>95.99</v>
      </c>
      <c r="I1899" t="s">
        <v>15</v>
      </c>
      <c r="J1899" t="s">
        <v>15</v>
      </c>
      <c r="K1899">
        <v>17.28</v>
      </c>
      <c r="L1899">
        <v>0</v>
      </c>
    </row>
    <row r="1900" spans="1:12" x14ac:dyDescent="0.3">
      <c r="A1900" t="s">
        <v>1916</v>
      </c>
      <c r="B1900" t="s">
        <v>21</v>
      </c>
      <c r="C1900">
        <v>2848</v>
      </c>
      <c r="D1900">
        <v>8.5399999999999991</v>
      </c>
      <c r="E1900">
        <v>1.54</v>
      </c>
      <c r="F1900">
        <f>COUNTIFS(mdr_rate_cleaned!$A$2:$A$10,B1900,mdr_rate_cleaned!$B$2:$B$10,"&lt;"&amp;C1900,mdr_rate_cleaned!$F$2:$F$10,"&gt;="&amp;C1900)</f>
        <v>1</v>
      </c>
      <c r="G1900">
        <v>3.0000000000000001E-3</v>
      </c>
      <c r="H1900">
        <v>8.5399999999999991</v>
      </c>
      <c r="I1900" t="s">
        <v>15</v>
      </c>
      <c r="J1900" t="s">
        <v>15</v>
      </c>
      <c r="K1900">
        <v>1.54</v>
      </c>
      <c r="L1900">
        <v>0</v>
      </c>
    </row>
    <row r="1901" spans="1:12" x14ac:dyDescent="0.3">
      <c r="A1901" t="s">
        <v>1917</v>
      </c>
      <c r="B1901" t="s">
        <v>21</v>
      </c>
      <c r="C1901">
        <v>3348</v>
      </c>
      <c r="D1901">
        <v>10.039999999999999</v>
      </c>
      <c r="E1901">
        <v>1.81</v>
      </c>
      <c r="F1901">
        <f>COUNTIFS(mdr_rate_cleaned!$A$2:$A$10,B1901,mdr_rate_cleaned!$B$2:$B$10,"&lt;"&amp;C1901,mdr_rate_cleaned!$F$2:$F$10,"&gt;="&amp;C1901)</f>
        <v>1</v>
      </c>
      <c r="G1901">
        <v>3.0000000000000001E-3</v>
      </c>
      <c r="H1901">
        <v>10.039999999999999</v>
      </c>
      <c r="I1901" t="s">
        <v>15</v>
      </c>
      <c r="J1901" t="s">
        <v>15</v>
      </c>
      <c r="K1901">
        <v>1.81</v>
      </c>
      <c r="L1901">
        <v>0</v>
      </c>
    </row>
    <row r="1902" spans="1:12" x14ac:dyDescent="0.3">
      <c r="A1902" t="s">
        <v>1918</v>
      </c>
      <c r="B1902" t="s">
        <v>21</v>
      </c>
      <c r="C1902">
        <v>2647</v>
      </c>
      <c r="D1902">
        <v>7.94</v>
      </c>
      <c r="E1902">
        <v>1.43</v>
      </c>
      <c r="F1902">
        <f>COUNTIFS(mdr_rate_cleaned!$A$2:$A$10,B1902,mdr_rate_cleaned!$B$2:$B$10,"&lt;"&amp;C1902,mdr_rate_cleaned!$F$2:$F$10,"&gt;="&amp;C1902)</f>
        <v>1</v>
      </c>
      <c r="G1902">
        <v>3.0000000000000001E-3</v>
      </c>
      <c r="H1902">
        <v>7.94</v>
      </c>
      <c r="I1902" t="s">
        <v>15</v>
      </c>
      <c r="J1902" t="s">
        <v>15</v>
      </c>
      <c r="K1902">
        <v>1.43</v>
      </c>
      <c r="L1902">
        <v>0</v>
      </c>
    </row>
    <row r="1903" spans="1:12" x14ac:dyDescent="0.3">
      <c r="A1903" t="s">
        <v>1919</v>
      </c>
      <c r="B1903" t="s">
        <v>17</v>
      </c>
      <c r="C1903">
        <v>1299</v>
      </c>
      <c r="D1903">
        <v>23.38</v>
      </c>
      <c r="E1903">
        <v>4.21</v>
      </c>
      <c r="F1903">
        <f>COUNTIFS(mdr_rate_cleaned!$A$2:$A$10,B1903,mdr_rate_cleaned!$B$2:$B$10,"&lt;"&amp;C1903,mdr_rate_cleaned!$F$2:$F$10,"&gt;="&amp;C1903)</f>
        <v>1</v>
      </c>
      <c r="G1903">
        <v>1.7999999999999999E-2</v>
      </c>
      <c r="H1903">
        <v>23.38</v>
      </c>
      <c r="I1903" t="s">
        <v>15</v>
      </c>
      <c r="J1903" t="s">
        <v>15</v>
      </c>
      <c r="K1903">
        <v>4.21</v>
      </c>
      <c r="L1903">
        <v>0</v>
      </c>
    </row>
    <row r="1904" spans="1:12" x14ac:dyDescent="0.3">
      <c r="A1904" t="s">
        <v>1920</v>
      </c>
      <c r="B1904" t="s">
        <v>13</v>
      </c>
      <c r="C1904">
        <v>3897</v>
      </c>
      <c r="D1904">
        <v>66.25</v>
      </c>
      <c r="E1904">
        <v>11.93</v>
      </c>
      <c r="F1904">
        <f>COUNTIFS(mdr_rate_cleaned!$A$2:$A$10,B1904,mdr_rate_cleaned!$B$2:$B$10,"&lt;"&amp;C1904,mdr_rate_cleaned!$F$2:$F$10,"&gt;="&amp;C1904)</f>
        <v>1</v>
      </c>
      <c r="G1904">
        <v>1.7000000000000001E-2</v>
      </c>
      <c r="H1904">
        <v>66.25</v>
      </c>
      <c r="I1904" t="s">
        <v>15</v>
      </c>
      <c r="J1904" t="s">
        <v>15</v>
      </c>
      <c r="K1904">
        <v>11.93</v>
      </c>
      <c r="L1904">
        <v>0</v>
      </c>
    </row>
    <row r="1905" spans="1:12" x14ac:dyDescent="0.3">
      <c r="A1905" t="s">
        <v>1921</v>
      </c>
      <c r="B1905" t="s">
        <v>21</v>
      </c>
      <c r="C1905">
        <v>1499</v>
      </c>
      <c r="D1905">
        <v>0</v>
      </c>
      <c r="E1905">
        <v>0</v>
      </c>
      <c r="F1905">
        <f>COUNTIFS(mdr_rate_cleaned!$A$2:$A$10,B1905,mdr_rate_cleaned!$B$2:$B$10,"&lt;"&amp;C1905,mdr_rate_cleaned!$F$2:$F$10,"&gt;="&amp;C1905)</f>
        <v>1</v>
      </c>
      <c r="G1905">
        <v>0</v>
      </c>
      <c r="H1905">
        <v>0</v>
      </c>
      <c r="I1905" t="s">
        <v>15</v>
      </c>
      <c r="J1905" t="s">
        <v>15</v>
      </c>
      <c r="K1905">
        <v>0</v>
      </c>
      <c r="L1905">
        <v>0</v>
      </c>
    </row>
    <row r="1906" spans="1:12" x14ac:dyDescent="0.3">
      <c r="A1906" t="s">
        <v>1922</v>
      </c>
      <c r="B1906" t="s">
        <v>17</v>
      </c>
      <c r="C1906">
        <v>2097</v>
      </c>
      <c r="D1906">
        <v>33.549999999999997</v>
      </c>
      <c r="E1906">
        <v>6.04</v>
      </c>
      <c r="F1906">
        <f>COUNTIFS(mdr_rate_cleaned!$A$2:$A$10,B1906,mdr_rate_cleaned!$B$2:$B$10,"&lt;"&amp;C1906,mdr_rate_cleaned!$F$2:$F$10,"&gt;="&amp;C1906)</f>
        <v>1</v>
      </c>
      <c r="G1906">
        <v>1.6E-2</v>
      </c>
      <c r="H1906">
        <v>33.549999999999997</v>
      </c>
      <c r="I1906" t="s">
        <v>15</v>
      </c>
      <c r="J1906" t="s">
        <v>15</v>
      </c>
      <c r="K1906">
        <v>6.04</v>
      </c>
      <c r="L1906">
        <v>0</v>
      </c>
    </row>
    <row r="1907" spans="1:12" x14ac:dyDescent="0.3">
      <c r="A1907" t="s">
        <v>1923</v>
      </c>
      <c r="B1907" t="s">
        <v>21</v>
      </c>
      <c r="C1907">
        <v>3447</v>
      </c>
      <c r="D1907">
        <v>10.34</v>
      </c>
      <c r="E1907">
        <v>1.86</v>
      </c>
      <c r="F1907">
        <f>COUNTIFS(mdr_rate_cleaned!$A$2:$A$10,B1907,mdr_rate_cleaned!$B$2:$B$10,"&lt;"&amp;C1907,mdr_rate_cleaned!$F$2:$F$10,"&gt;="&amp;C1907)</f>
        <v>1</v>
      </c>
      <c r="G1907">
        <v>3.0000000000000001E-3</v>
      </c>
      <c r="H1907">
        <v>10.34</v>
      </c>
      <c r="I1907" t="s">
        <v>15</v>
      </c>
      <c r="J1907" t="s">
        <v>15</v>
      </c>
      <c r="K1907">
        <v>1.86</v>
      </c>
      <c r="L1907">
        <v>0</v>
      </c>
    </row>
    <row r="1908" spans="1:12" x14ac:dyDescent="0.3">
      <c r="A1908" t="s">
        <v>1924</v>
      </c>
      <c r="B1908" t="s">
        <v>21</v>
      </c>
      <c r="C1908">
        <v>599</v>
      </c>
      <c r="D1908">
        <v>0</v>
      </c>
      <c r="E1908">
        <v>0</v>
      </c>
      <c r="F1908">
        <f>COUNTIFS(mdr_rate_cleaned!$A$2:$A$10,B1908,mdr_rate_cleaned!$B$2:$B$10,"&lt;"&amp;C1908,mdr_rate_cleaned!$F$2:$F$10,"&gt;="&amp;C1908)</f>
        <v>1</v>
      </c>
      <c r="G1908">
        <v>0</v>
      </c>
      <c r="H1908">
        <v>0</v>
      </c>
      <c r="I1908" t="s">
        <v>15</v>
      </c>
      <c r="J1908" t="s">
        <v>15</v>
      </c>
      <c r="K1908">
        <v>0</v>
      </c>
      <c r="L1908">
        <v>0</v>
      </c>
    </row>
    <row r="1909" spans="1:12" x14ac:dyDescent="0.3">
      <c r="A1909" t="s">
        <v>1925</v>
      </c>
      <c r="B1909" t="s">
        <v>21</v>
      </c>
      <c r="C1909">
        <v>1499</v>
      </c>
      <c r="D1909">
        <v>0</v>
      </c>
      <c r="E1909">
        <v>0</v>
      </c>
      <c r="F1909">
        <f>COUNTIFS(mdr_rate_cleaned!$A$2:$A$10,B1909,mdr_rate_cleaned!$B$2:$B$10,"&lt;"&amp;C1909,mdr_rate_cleaned!$F$2:$F$10,"&gt;="&amp;C1909)</f>
        <v>1</v>
      </c>
      <c r="G1909">
        <v>0</v>
      </c>
      <c r="H1909">
        <v>0</v>
      </c>
      <c r="I1909" t="s">
        <v>15</v>
      </c>
      <c r="J1909" t="s">
        <v>15</v>
      </c>
      <c r="K1909">
        <v>0</v>
      </c>
      <c r="L1909">
        <v>0</v>
      </c>
    </row>
    <row r="1910" spans="1:12" x14ac:dyDescent="0.3">
      <c r="A1910" t="s">
        <v>1926</v>
      </c>
      <c r="B1910" t="s">
        <v>21</v>
      </c>
      <c r="C1910">
        <v>5798</v>
      </c>
      <c r="D1910">
        <v>17.39</v>
      </c>
      <c r="E1910">
        <v>3.13</v>
      </c>
      <c r="F1910">
        <f>COUNTIFS(mdr_rate_cleaned!$A$2:$A$10,B1910,mdr_rate_cleaned!$B$2:$B$10,"&lt;"&amp;C1910,mdr_rate_cleaned!$F$2:$F$10,"&gt;="&amp;C1910)</f>
        <v>1</v>
      </c>
      <c r="G1910">
        <v>3.0000000000000001E-3</v>
      </c>
      <c r="H1910">
        <v>17.39</v>
      </c>
      <c r="I1910" t="s">
        <v>15</v>
      </c>
      <c r="J1910" t="s">
        <v>15</v>
      </c>
      <c r="K1910">
        <v>3.13</v>
      </c>
      <c r="L1910">
        <v>0</v>
      </c>
    </row>
    <row r="1911" spans="1:12" x14ac:dyDescent="0.3">
      <c r="A1911" t="s">
        <v>1927</v>
      </c>
      <c r="B1911" t="s">
        <v>21</v>
      </c>
      <c r="C1911">
        <v>6147</v>
      </c>
      <c r="D1911">
        <v>18.440000000000001</v>
      </c>
      <c r="E1911">
        <v>3.32</v>
      </c>
      <c r="F1911">
        <f>COUNTIFS(mdr_rate_cleaned!$A$2:$A$10,B1911,mdr_rate_cleaned!$B$2:$B$10,"&lt;"&amp;C1911,mdr_rate_cleaned!$F$2:$F$10,"&gt;="&amp;C1911)</f>
        <v>1</v>
      </c>
      <c r="G1911">
        <v>3.0000000000000001E-3</v>
      </c>
      <c r="H1911">
        <v>18.440000000000001</v>
      </c>
      <c r="I1911" t="s">
        <v>15</v>
      </c>
      <c r="J1911" t="s">
        <v>15</v>
      </c>
      <c r="K1911">
        <v>3.32</v>
      </c>
      <c r="L1911">
        <v>0</v>
      </c>
    </row>
    <row r="1912" spans="1:12" x14ac:dyDescent="0.3">
      <c r="A1912" t="s">
        <v>1928</v>
      </c>
      <c r="B1912" t="s">
        <v>17</v>
      </c>
      <c r="C1912">
        <v>1499</v>
      </c>
      <c r="D1912">
        <v>26.98</v>
      </c>
      <c r="E1912">
        <v>4.8600000000000003</v>
      </c>
      <c r="F1912">
        <f>COUNTIFS(mdr_rate_cleaned!$A$2:$A$10,B1912,mdr_rate_cleaned!$B$2:$B$10,"&lt;"&amp;C1912,mdr_rate_cleaned!$F$2:$F$10,"&gt;="&amp;C1912)</f>
        <v>1</v>
      </c>
      <c r="G1912">
        <v>1.7999999999999999E-2</v>
      </c>
      <c r="H1912">
        <v>26.98</v>
      </c>
      <c r="I1912" t="s">
        <v>15</v>
      </c>
      <c r="J1912" t="s">
        <v>15</v>
      </c>
      <c r="K1912">
        <v>4.8600000000000003</v>
      </c>
      <c r="L1912">
        <v>0</v>
      </c>
    </row>
    <row r="1913" spans="1:12" x14ac:dyDescent="0.3">
      <c r="A1913" t="s">
        <v>1929</v>
      </c>
      <c r="B1913" t="s">
        <v>21</v>
      </c>
      <c r="C1913">
        <v>599</v>
      </c>
      <c r="D1913">
        <v>0</v>
      </c>
      <c r="E1913">
        <v>0</v>
      </c>
      <c r="F1913">
        <f>COUNTIFS(mdr_rate_cleaned!$A$2:$A$10,B1913,mdr_rate_cleaned!$B$2:$B$10,"&lt;"&amp;C1913,mdr_rate_cleaned!$F$2:$F$10,"&gt;="&amp;C1913)</f>
        <v>1</v>
      </c>
      <c r="G1913">
        <v>0</v>
      </c>
      <c r="H1913">
        <v>0</v>
      </c>
      <c r="I1913" t="s">
        <v>15</v>
      </c>
      <c r="J1913" t="s">
        <v>15</v>
      </c>
      <c r="K1913">
        <v>0</v>
      </c>
      <c r="L1913">
        <v>0</v>
      </c>
    </row>
    <row r="1914" spans="1:12" x14ac:dyDescent="0.3">
      <c r="A1914" t="s">
        <v>1930</v>
      </c>
      <c r="B1914" t="s">
        <v>17</v>
      </c>
      <c r="C1914">
        <v>5297</v>
      </c>
      <c r="D1914">
        <v>84.75</v>
      </c>
      <c r="E1914">
        <v>15.26</v>
      </c>
      <c r="F1914">
        <f>COUNTIFS(mdr_rate_cleaned!$A$2:$A$10,B1914,mdr_rate_cleaned!$B$2:$B$10,"&lt;"&amp;C1914,mdr_rate_cleaned!$F$2:$F$10,"&gt;="&amp;C1914)</f>
        <v>1</v>
      </c>
      <c r="G1914">
        <v>1.6E-2</v>
      </c>
      <c r="H1914">
        <v>84.75</v>
      </c>
      <c r="I1914" t="s">
        <v>15</v>
      </c>
      <c r="J1914" t="s">
        <v>15</v>
      </c>
      <c r="K1914">
        <v>15.26</v>
      </c>
      <c r="L1914">
        <v>0</v>
      </c>
    </row>
    <row r="1915" spans="1:12" x14ac:dyDescent="0.3">
      <c r="A1915" t="s">
        <v>1931</v>
      </c>
      <c r="B1915" t="s">
        <v>39</v>
      </c>
      <c r="C1915">
        <v>5498</v>
      </c>
      <c r="D1915">
        <v>65.98</v>
      </c>
      <c r="E1915">
        <v>11.88</v>
      </c>
      <c r="F1915">
        <f>COUNTIFS(mdr_rate_cleaned!$A$2:$A$10,B1915,mdr_rate_cleaned!$B$2:$B$10,"&lt;"&amp;C1915,mdr_rate_cleaned!$F$2:$F$10,"&gt;="&amp;C1915)</f>
        <v>1</v>
      </c>
      <c r="G1915">
        <v>1.2E-2</v>
      </c>
      <c r="H1915">
        <v>65.98</v>
      </c>
      <c r="I1915" t="s">
        <v>15</v>
      </c>
      <c r="J1915" t="s">
        <v>15</v>
      </c>
      <c r="K1915">
        <v>11.88</v>
      </c>
      <c r="L1915">
        <v>0</v>
      </c>
    </row>
    <row r="1916" spans="1:12" x14ac:dyDescent="0.3">
      <c r="A1916" t="s">
        <v>1932</v>
      </c>
      <c r="B1916" t="s">
        <v>21</v>
      </c>
      <c r="C1916">
        <v>898</v>
      </c>
      <c r="D1916">
        <v>2.69</v>
      </c>
      <c r="E1916">
        <v>0.48</v>
      </c>
      <c r="F1916">
        <f>COUNTIFS(mdr_rate_cleaned!$A$2:$A$10,B1916,mdr_rate_cleaned!$B$2:$B$10,"&lt;"&amp;C1916,mdr_rate_cleaned!$F$2:$F$10,"&gt;="&amp;C1916)</f>
        <v>1</v>
      </c>
      <c r="G1916">
        <v>0</v>
      </c>
      <c r="H1916">
        <v>0</v>
      </c>
      <c r="I1916" t="s">
        <v>14</v>
      </c>
      <c r="J1916" t="s">
        <v>15</v>
      </c>
      <c r="K1916">
        <v>0</v>
      </c>
      <c r="L1916">
        <v>3.17</v>
      </c>
    </row>
    <row r="1917" spans="1:12" x14ac:dyDescent="0.3">
      <c r="A1917" t="s">
        <v>1933</v>
      </c>
      <c r="B1917" t="s">
        <v>39</v>
      </c>
      <c r="C1917">
        <v>5097</v>
      </c>
      <c r="D1917">
        <v>61.16</v>
      </c>
      <c r="E1917">
        <v>11.01</v>
      </c>
      <c r="F1917">
        <f>COUNTIFS(mdr_rate_cleaned!$A$2:$A$10,B1917,mdr_rate_cleaned!$B$2:$B$10,"&lt;"&amp;C1917,mdr_rate_cleaned!$F$2:$F$10,"&gt;="&amp;C1917)</f>
        <v>1</v>
      </c>
      <c r="G1917">
        <v>1.2E-2</v>
      </c>
      <c r="H1917">
        <v>61.16</v>
      </c>
      <c r="I1917" t="s">
        <v>15</v>
      </c>
      <c r="J1917" t="s">
        <v>15</v>
      </c>
      <c r="K1917">
        <v>11.01</v>
      </c>
      <c r="L1917">
        <v>0</v>
      </c>
    </row>
    <row r="1918" spans="1:12" x14ac:dyDescent="0.3">
      <c r="A1918" t="s">
        <v>1934</v>
      </c>
      <c r="B1918" t="s">
        <v>21</v>
      </c>
      <c r="C1918">
        <v>7999</v>
      </c>
      <c r="D1918">
        <v>24</v>
      </c>
      <c r="E1918">
        <v>4.32</v>
      </c>
      <c r="F1918">
        <f>COUNTIFS(mdr_rate_cleaned!$A$2:$A$10,B1918,mdr_rate_cleaned!$B$2:$B$10,"&lt;"&amp;C1918,mdr_rate_cleaned!$F$2:$F$10,"&gt;="&amp;C1918)</f>
        <v>1</v>
      </c>
      <c r="G1918">
        <v>3.0000000000000001E-3</v>
      </c>
      <c r="H1918">
        <v>24</v>
      </c>
      <c r="I1918" t="s">
        <v>15</v>
      </c>
      <c r="J1918" t="s">
        <v>15</v>
      </c>
      <c r="K1918">
        <v>4.32</v>
      </c>
      <c r="L1918">
        <v>0</v>
      </c>
    </row>
    <row r="1919" spans="1:12" x14ac:dyDescent="0.3">
      <c r="A1919" t="s">
        <v>1935</v>
      </c>
      <c r="B1919" t="s">
        <v>21</v>
      </c>
      <c r="C1919">
        <v>15998</v>
      </c>
      <c r="D1919">
        <v>47.99</v>
      </c>
      <c r="E1919">
        <v>8.64</v>
      </c>
      <c r="F1919">
        <f>COUNTIFS(mdr_rate_cleaned!$A$2:$A$10,B1919,mdr_rate_cleaned!$B$2:$B$10,"&lt;"&amp;C1919,mdr_rate_cleaned!$F$2:$F$10,"&gt;="&amp;C1919)</f>
        <v>1</v>
      </c>
      <c r="G1919">
        <v>3.0000000000000001E-3</v>
      </c>
      <c r="H1919">
        <v>47.99</v>
      </c>
      <c r="I1919" t="s">
        <v>15</v>
      </c>
      <c r="J1919" t="s">
        <v>15</v>
      </c>
      <c r="K1919">
        <v>8.64</v>
      </c>
      <c r="L1919">
        <v>0</v>
      </c>
    </row>
    <row r="1920" spans="1:12" x14ac:dyDescent="0.3">
      <c r="A1920" t="s">
        <v>1936</v>
      </c>
      <c r="B1920" t="s">
        <v>21</v>
      </c>
      <c r="C1920">
        <v>599</v>
      </c>
      <c r="D1920">
        <v>0</v>
      </c>
      <c r="E1920">
        <v>0</v>
      </c>
      <c r="F1920">
        <f>COUNTIFS(mdr_rate_cleaned!$A$2:$A$10,B1920,mdr_rate_cleaned!$B$2:$B$10,"&lt;"&amp;C1920,mdr_rate_cleaned!$F$2:$F$10,"&gt;="&amp;C1920)</f>
        <v>1</v>
      </c>
      <c r="G1920">
        <v>0</v>
      </c>
      <c r="H1920">
        <v>0</v>
      </c>
      <c r="I1920" t="s">
        <v>15</v>
      </c>
      <c r="J1920" t="s">
        <v>15</v>
      </c>
      <c r="K1920">
        <v>0</v>
      </c>
      <c r="L1920">
        <v>0</v>
      </c>
    </row>
    <row r="1921" spans="1:12" x14ac:dyDescent="0.3">
      <c r="A1921" t="s">
        <v>1937</v>
      </c>
      <c r="B1921" t="s">
        <v>39</v>
      </c>
      <c r="C1921">
        <v>8297</v>
      </c>
      <c r="D1921">
        <v>99.56</v>
      </c>
      <c r="E1921">
        <v>17.920000000000002</v>
      </c>
      <c r="F1921">
        <f>COUNTIFS(mdr_rate_cleaned!$A$2:$A$10,B1921,mdr_rate_cleaned!$B$2:$B$10,"&lt;"&amp;C1921,mdr_rate_cleaned!$F$2:$F$10,"&gt;="&amp;C1921)</f>
        <v>1</v>
      </c>
      <c r="G1921">
        <v>1.2E-2</v>
      </c>
      <c r="H1921">
        <v>99.56</v>
      </c>
      <c r="I1921" t="s">
        <v>15</v>
      </c>
      <c r="J1921" t="s">
        <v>15</v>
      </c>
      <c r="K1921">
        <v>17.920000000000002</v>
      </c>
      <c r="L1921">
        <v>0</v>
      </c>
    </row>
    <row r="1922" spans="1:12" x14ac:dyDescent="0.3">
      <c r="A1922" t="s">
        <v>1938</v>
      </c>
      <c r="B1922" t="s">
        <v>17</v>
      </c>
      <c r="C1922">
        <v>599</v>
      </c>
      <c r="D1922">
        <v>10.78</v>
      </c>
      <c r="E1922">
        <v>1.94</v>
      </c>
      <c r="F1922">
        <f>COUNTIFS(mdr_rate_cleaned!$A$2:$A$10,B1922,mdr_rate_cleaned!$B$2:$B$10,"&lt;"&amp;C1922,mdr_rate_cleaned!$F$2:$F$10,"&gt;="&amp;C1922)</f>
        <v>1</v>
      </c>
      <c r="G1922">
        <v>1.7999999999999999E-2</v>
      </c>
      <c r="H1922">
        <v>10.78</v>
      </c>
      <c r="I1922" t="s">
        <v>15</v>
      </c>
      <c r="J1922" t="s">
        <v>15</v>
      </c>
      <c r="K1922">
        <v>1.94</v>
      </c>
      <c r="L1922">
        <v>0</v>
      </c>
    </row>
    <row r="1923" spans="1:12" x14ac:dyDescent="0.3">
      <c r="A1923" t="s">
        <v>1939</v>
      </c>
      <c r="B1923" t="s">
        <v>17</v>
      </c>
      <c r="C1923">
        <v>2999</v>
      </c>
      <c r="D1923">
        <v>47.98</v>
      </c>
      <c r="E1923">
        <v>8.64</v>
      </c>
      <c r="F1923">
        <f>COUNTIFS(mdr_rate_cleaned!$A$2:$A$10,B1923,mdr_rate_cleaned!$B$2:$B$10,"&lt;"&amp;C1923,mdr_rate_cleaned!$F$2:$F$10,"&gt;="&amp;C1923)</f>
        <v>1</v>
      </c>
      <c r="G1923">
        <v>1.6E-2</v>
      </c>
      <c r="H1923">
        <v>47.98</v>
      </c>
      <c r="I1923" t="s">
        <v>15</v>
      </c>
      <c r="J1923" t="s">
        <v>15</v>
      </c>
      <c r="K1923">
        <v>8.64</v>
      </c>
      <c r="L1923">
        <v>0</v>
      </c>
    </row>
    <row r="1924" spans="1:12" x14ac:dyDescent="0.3">
      <c r="A1924" t="s">
        <v>1940</v>
      </c>
      <c r="B1924" t="s">
        <v>39</v>
      </c>
      <c r="C1924">
        <v>2499</v>
      </c>
      <c r="D1924">
        <v>29.99</v>
      </c>
      <c r="E1924">
        <v>5.4</v>
      </c>
      <c r="F1924">
        <f>COUNTIFS(mdr_rate_cleaned!$A$2:$A$10,B1924,mdr_rate_cleaned!$B$2:$B$10,"&lt;"&amp;C1924,mdr_rate_cleaned!$F$2:$F$10,"&gt;="&amp;C1924)</f>
        <v>1</v>
      </c>
      <c r="G1924">
        <v>1.2E-2</v>
      </c>
      <c r="H1924">
        <v>29.99</v>
      </c>
      <c r="I1924" t="s">
        <v>15</v>
      </c>
      <c r="J1924" t="s">
        <v>15</v>
      </c>
      <c r="K1924">
        <v>5.4</v>
      </c>
      <c r="L1924">
        <v>0</v>
      </c>
    </row>
    <row r="1925" spans="1:12" x14ac:dyDescent="0.3">
      <c r="A1925" t="s">
        <v>1941</v>
      </c>
      <c r="B1925" t="s">
        <v>17</v>
      </c>
      <c r="C1925">
        <v>1799</v>
      </c>
      <c r="D1925">
        <v>32.380000000000003</v>
      </c>
      <c r="E1925">
        <v>5.83</v>
      </c>
      <c r="F1925">
        <f>COUNTIFS(mdr_rate_cleaned!$A$2:$A$10,B1925,mdr_rate_cleaned!$B$2:$B$10,"&lt;"&amp;C1925,mdr_rate_cleaned!$F$2:$F$10,"&gt;="&amp;C1925)</f>
        <v>1</v>
      </c>
      <c r="G1925">
        <v>1.7999999999999999E-2</v>
      </c>
      <c r="H1925">
        <v>32.380000000000003</v>
      </c>
      <c r="I1925" t="s">
        <v>15</v>
      </c>
      <c r="J1925" t="s">
        <v>15</v>
      </c>
      <c r="K1925">
        <v>5.83</v>
      </c>
      <c r="L1925">
        <v>0</v>
      </c>
    </row>
    <row r="1926" spans="1:12" x14ac:dyDescent="0.3">
      <c r="A1926" t="s">
        <v>1942</v>
      </c>
      <c r="B1926" t="s">
        <v>21</v>
      </c>
      <c r="C1926">
        <v>2999</v>
      </c>
      <c r="D1926">
        <v>9</v>
      </c>
      <c r="E1926">
        <v>1.62</v>
      </c>
      <c r="F1926">
        <f>COUNTIFS(mdr_rate_cleaned!$A$2:$A$10,B1926,mdr_rate_cleaned!$B$2:$B$10,"&lt;"&amp;C1926,mdr_rate_cleaned!$F$2:$F$10,"&gt;="&amp;C1926)</f>
        <v>1</v>
      </c>
      <c r="G1926">
        <v>3.0000000000000001E-3</v>
      </c>
      <c r="H1926">
        <v>9</v>
      </c>
      <c r="I1926" t="s">
        <v>15</v>
      </c>
      <c r="J1926" t="s">
        <v>15</v>
      </c>
      <c r="K1926">
        <v>1.62</v>
      </c>
      <c r="L1926">
        <v>0</v>
      </c>
    </row>
    <row r="1927" spans="1:12" x14ac:dyDescent="0.3">
      <c r="A1927" t="s">
        <v>1943</v>
      </c>
      <c r="B1927" t="s">
        <v>21</v>
      </c>
      <c r="C1927">
        <v>2999</v>
      </c>
      <c r="D1927">
        <v>9</v>
      </c>
      <c r="E1927">
        <v>1.62</v>
      </c>
      <c r="F1927">
        <f>COUNTIFS(mdr_rate_cleaned!$A$2:$A$10,B1927,mdr_rate_cleaned!$B$2:$B$10,"&lt;"&amp;C1927,mdr_rate_cleaned!$F$2:$F$10,"&gt;="&amp;C1927)</f>
        <v>1</v>
      </c>
      <c r="G1927">
        <v>3.0000000000000001E-3</v>
      </c>
      <c r="H1927">
        <v>9</v>
      </c>
      <c r="I1927" t="s">
        <v>15</v>
      </c>
      <c r="J1927" t="s">
        <v>15</v>
      </c>
      <c r="K1927">
        <v>1.62</v>
      </c>
      <c r="L1927">
        <v>0</v>
      </c>
    </row>
    <row r="1928" spans="1:12" x14ac:dyDescent="0.3">
      <c r="A1928" t="s">
        <v>1944</v>
      </c>
      <c r="B1928" t="s">
        <v>13</v>
      </c>
      <c r="C1928">
        <v>349</v>
      </c>
      <c r="D1928">
        <v>6.63</v>
      </c>
      <c r="E1928">
        <v>1.19</v>
      </c>
      <c r="F1928">
        <f>COUNTIFS(mdr_rate_cleaned!$A$2:$A$10,B1928,mdr_rate_cleaned!$B$2:$B$10,"&lt;"&amp;C1928,mdr_rate_cleaned!$F$2:$F$10,"&gt;="&amp;C1928)</f>
        <v>1</v>
      </c>
      <c r="G1928">
        <v>1.9E-2</v>
      </c>
      <c r="H1928">
        <v>6.63</v>
      </c>
      <c r="I1928" t="s">
        <v>15</v>
      </c>
      <c r="J1928" t="s">
        <v>15</v>
      </c>
      <c r="K1928">
        <v>1.19</v>
      </c>
      <c r="L1928">
        <v>0</v>
      </c>
    </row>
    <row r="1929" spans="1:12" x14ac:dyDescent="0.3">
      <c r="A1929" t="s">
        <v>1945</v>
      </c>
      <c r="B1929" t="s">
        <v>21</v>
      </c>
      <c r="C1929">
        <v>599</v>
      </c>
      <c r="D1929">
        <v>0</v>
      </c>
      <c r="E1929">
        <v>0</v>
      </c>
      <c r="F1929">
        <f>COUNTIFS(mdr_rate_cleaned!$A$2:$A$10,B1929,mdr_rate_cleaned!$B$2:$B$10,"&lt;"&amp;C1929,mdr_rate_cleaned!$F$2:$F$10,"&gt;="&amp;C1929)</f>
        <v>1</v>
      </c>
      <c r="G1929">
        <v>0</v>
      </c>
      <c r="H1929">
        <v>0</v>
      </c>
      <c r="I1929" t="s">
        <v>15</v>
      </c>
      <c r="J1929" t="s">
        <v>15</v>
      </c>
      <c r="K1929">
        <v>0</v>
      </c>
      <c r="L1929">
        <v>0</v>
      </c>
    </row>
    <row r="1930" spans="1:12" x14ac:dyDescent="0.3">
      <c r="A1930" t="s">
        <v>1946</v>
      </c>
      <c r="B1930" t="s">
        <v>17</v>
      </c>
      <c r="C1930">
        <v>1498</v>
      </c>
      <c r="D1930">
        <v>26.96</v>
      </c>
      <c r="E1930">
        <v>4.8499999999999996</v>
      </c>
      <c r="F1930">
        <f>COUNTIFS(mdr_rate_cleaned!$A$2:$A$10,B1930,mdr_rate_cleaned!$B$2:$B$10,"&lt;"&amp;C1930,mdr_rate_cleaned!$F$2:$F$10,"&gt;="&amp;C1930)</f>
        <v>1</v>
      </c>
      <c r="G1930">
        <v>1.7999999999999999E-2</v>
      </c>
      <c r="H1930">
        <v>26.96</v>
      </c>
      <c r="I1930" t="s">
        <v>15</v>
      </c>
      <c r="J1930" t="s">
        <v>15</v>
      </c>
      <c r="K1930">
        <v>4.8499999999999996</v>
      </c>
      <c r="L1930">
        <v>0</v>
      </c>
    </row>
    <row r="1931" spans="1:12" x14ac:dyDescent="0.3">
      <c r="A1931" t="s">
        <v>1947</v>
      </c>
      <c r="B1931" t="s">
        <v>39</v>
      </c>
      <c r="C1931">
        <v>11097</v>
      </c>
      <c r="D1931">
        <v>99.87</v>
      </c>
      <c r="E1931">
        <v>17.98</v>
      </c>
      <c r="F1931">
        <f>COUNTIFS(mdr_rate_cleaned!$A$2:$A$10,B1931,mdr_rate_cleaned!$B$2:$B$10,"&lt;"&amp;C1931,mdr_rate_cleaned!$F$2:$F$10,"&gt;="&amp;C1931)</f>
        <v>1</v>
      </c>
      <c r="G1931">
        <v>8.9999999999999993E-3</v>
      </c>
      <c r="H1931">
        <v>99.87</v>
      </c>
      <c r="I1931" t="s">
        <v>15</v>
      </c>
      <c r="J1931" t="s">
        <v>15</v>
      </c>
      <c r="K1931">
        <v>17.98</v>
      </c>
      <c r="L1931">
        <v>0</v>
      </c>
    </row>
    <row r="1932" spans="1:12" x14ac:dyDescent="0.3">
      <c r="A1932" t="s">
        <v>1948</v>
      </c>
      <c r="B1932" t="s">
        <v>21</v>
      </c>
      <c r="C1932">
        <v>1298</v>
      </c>
      <c r="D1932">
        <v>0</v>
      </c>
      <c r="E1932">
        <v>0</v>
      </c>
      <c r="F1932">
        <f>COUNTIFS(mdr_rate_cleaned!$A$2:$A$10,B1932,mdr_rate_cleaned!$B$2:$B$10,"&lt;"&amp;C1932,mdr_rate_cleaned!$F$2:$F$10,"&gt;="&amp;C1932)</f>
        <v>1</v>
      </c>
      <c r="G1932">
        <v>0</v>
      </c>
      <c r="H1932">
        <v>0</v>
      </c>
      <c r="I1932" t="s">
        <v>15</v>
      </c>
      <c r="J1932" t="s">
        <v>15</v>
      </c>
      <c r="K1932">
        <v>0</v>
      </c>
      <c r="L1932">
        <v>0</v>
      </c>
    </row>
    <row r="1933" spans="1:12" x14ac:dyDescent="0.3">
      <c r="A1933" t="s">
        <v>1949</v>
      </c>
      <c r="B1933" t="s">
        <v>17</v>
      </c>
      <c r="C1933">
        <v>349</v>
      </c>
      <c r="D1933">
        <v>6.28</v>
      </c>
      <c r="E1933">
        <v>1.1299999999999999</v>
      </c>
      <c r="F1933">
        <f>COUNTIFS(mdr_rate_cleaned!$A$2:$A$10,B1933,mdr_rate_cleaned!$B$2:$B$10,"&lt;"&amp;C1933,mdr_rate_cleaned!$F$2:$F$10,"&gt;="&amp;C1933)</f>
        <v>1</v>
      </c>
      <c r="G1933">
        <v>1.7999999999999999E-2</v>
      </c>
      <c r="H1933">
        <v>6.28</v>
      </c>
      <c r="I1933" t="s">
        <v>15</v>
      </c>
      <c r="J1933" t="s">
        <v>15</v>
      </c>
      <c r="K1933">
        <v>1.1299999999999999</v>
      </c>
      <c r="L1933">
        <v>0</v>
      </c>
    </row>
    <row r="1934" spans="1:12" x14ac:dyDescent="0.3">
      <c r="A1934" t="s">
        <v>1950</v>
      </c>
      <c r="B1934" t="s">
        <v>21</v>
      </c>
      <c r="C1934">
        <v>3348</v>
      </c>
      <c r="D1934">
        <v>10.039999999999999</v>
      </c>
      <c r="E1934">
        <v>1.81</v>
      </c>
      <c r="F1934">
        <f>COUNTIFS(mdr_rate_cleaned!$A$2:$A$10,B1934,mdr_rate_cleaned!$B$2:$B$10,"&lt;"&amp;C1934,mdr_rate_cleaned!$F$2:$F$10,"&gt;="&amp;C1934)</f>
        <v>1</v>
      </c>
      <c r="G1934">
        <v>3.0000000000000001E-3</v>
      </c>
      <c r="H1934">
        <v>10.039999999999999</v>
      </c>
      <c r="I1934" t="s">
        <v>15</v>
      </c>
      <c r="J1934" t="s">
        <v>15</v>
      </c>
      <c r="K1934">
        <v>1.81</v>
      </c>
      <c r="L1934">
        <v>0</v>
      </c>
    </row>
    <row r="1935" spans="1:12" x14ac:dyDescent="0.3">
      <c r="A1935" t="s">
        <v>1951</v>
      </c>
      <c r="B1935" t="s">
        <v>17</v>
      </c>
      <c r="C1935">
        <v>999</v>
      </c>
      <c r="D1935">
        <v>17.98</v>
      </c>
      <c r="E1935">
        <v>3.24</v>
      </c>
      <c r="F1935">
        <f>COUNTIFS(mdr_rate_cleaned!$A$2:$A$10,B1935,mdr_rate_cleaned!$B$2:$B$10,"&lt;"&amp;C1935,mdr_rate_cleaned!$F$2:$F$10,"&gt;="&amp;C1935)</f>
        <v>1</v>
      </c>
      <c r="G1935">
        <v>1.7999999999999999E-2</v>
      </c>
      <c r="H1935">
        <v>17.98</v>
      </c>
      <c r="I1935" t="s">
        <v>15</v>
      </c>
      <c r="J1935" t="s">
        <v>15</v>
      </c>
      <c r="K1935">
        <v>3.24</v>
      </c>
      <c r="L1935">
        <v>0</v>
      </c>
    </row>
    <row r="1936" spans="1:12" x14ac:dyDescent="0.3">
      <c r="A1936" t="s">
        <v>1952</v>
      </c>
      <c r="B1936" t="s">
        <v>21</v>
      </c>
      <c r="C1936">
        <v>998</v>
      </c>
      <c r="D1936">
        <v>0</v>
      </c>
      <c r="E1936">
        <v>0</v>
      </c>
      <c r="F1936">
        <f>COUNTIFS(mdr_rate_cleaned!$A$2:$A$10,B1936,mdr_rate_cleaned!$B$2:$B$10,"&lt;"&amp;C1936,mdr_rate_cleaned!$F$2:$F$10,"&gt;="&amp;C1936)</f>
        <v>1</v>
      </c>
      <c r="G1936">
        <v>0</v>
      </c>
      <c r="H1936">
        <v>0</v>
      </c>
      <c r="I1936" t="s">
        <v>15</v>
      </c>
      <c r="J1936" t="s">
        <v>15</v>
      </c>
      <c r="K1936">
        <v>0</v>
      </c>
      <c r="L1936">
        <v>0</v>
      </c>
    </row>
    <row r="1937" spans="1:12" x14ac:dyDescent="0.3">
      <c r="A1937" t="s">
        <v>1953</v>
      </c>
      <c r="B1937" t="s">
        <v>21</v>
      </c>
      <c r="C1937">
        <v>5297</v>
      </c>
      <c r="D1937">
        <v>15.89</v>
      </c>
      <c r="E1937">
        <v>2.86</v>
      </c>
      <c r="F1937">
        <f>COUNTIFS(mdr_rate_cleaned!$A$2:$A$10,B1937,mdr_rate_cleaned!$B$2:$B$10,"&lt;"&amp;C1937,mdr_rate_cleaned!$F$2:$F$10,"&gt;="&amp;C1937)</f>
        <v>1</v>
      </c>
      <c r="G1937">
        <v>3.0000000000000001E-3</v>
      </c>
      <c r="H1937">
        <v>15.89</v>
      </c>
      <c r="I1937" t="s">
        <v>15</v>
      </c>
      <c r="J1937" t="s">
        <v>15</v>
      </c>
      <c r="K1937">
        <v>2.86</v>
      </c>
      <c r="L1937">
        <v>0</v>
      </c>
    </row>
    <row r="1938" spans="1:12" x14ac:dyDescent="0.3">
      <c r="A1938" t="s">
        <v>1954</v>
      </c>
      <c r="B1938" t="s">
        <v>13</v>
      </c>
      <c r="C1938">
        <v>1299</v>
      </c>
      <c r="D1938">
        <v>24.68</v>
      </c>
      <c r="E1938">
        <v>4.4400000000000004</v>
      </c>
      <c r="F1938">
        <f>COUNTIFS(mdr_rate_cleaned!$A$2:$A$10,B1938,mdr_rate_cleaned!$B$2:$B$10,"&lt;"&amp;C1938,mdr_rate_cleaned!$F$2:$F$10,"&gt;="&amp;C1938)</f>
        <v>1</v>
      </c>
      <c r="G1938">
        <v>1.9E-2</v>
      </c>
      <c r="H1938">
        <v>24.68</v>
      </c>
      <c r="I1938" t="s">
        <v>15</v>
      </c>
      <c r="J1938" t="s">
        <v>15</v>
      </c>
      <c r="K1938">
        <v>4.4400000000000004</v>
      </c>
      <c r="L1938">
        <v>0</v>
      </c>
    </row>
    <row r="1939" spans="1:12" x14ac:dyDescent="0.3">
      <c r="A1939" t="s">
        <v>1955</v>
      </c>
      <c r="B1939" t="s">
        <v>21</v>
      </c>
      <c r="C1939">
        <v>2999</v>
      </c>
      <c r="D1939">
        <v>9</v>
      </c>
      <c r="E1939">
        <v>1.62</v>
      </c>
      <c r="F1939">
        <f>COUNTIFS(mdr_rate_cleaned!$A$2:$A$10,B1939,mdr_rate_cleaned!$B$2:$B$10,"&lt;"&amp;C1939,mdr_rate_cleaned!$F$2:$F$10,"&gt;="&amp;C1939)</f>
        <v>1</v>
      </c>
      <c r="G1939">
        <v>3.0000000000000001E-3</v>
      </c>
      <c r="H1939">
        <v>9</v>
      </c>
      <c r="I1939" t="s">
        <v>15</v>
      </c>
      <c r="J1939" t="s">
        <v>15</v>
      </c>
      <c r="K1939">
        <v>1.62</v>
      </c>
      <c r="L1939">
        <v>0</v>
      </c>
    </row>
    <row r="1940" spans="1:12" x14ac:dyDescent="0.3">
      <c r="A1940" t="s">
        <v>1956</v>
      </c>
      <c r="B1940" t="s">
        <v>21</v>
      </c>
      <c r="C1940">
        <v>1299</v>
      </c>
      <c r="D1940">
        <v>0</v>
      </c>
      <c r="E1940">
        <v>0</v>
      </c>
      <c r="F1940">
        <f>COUNTIFS(mdr_rate_cleaned!$A$2:$A$10,B1940,mdr_rate_cleaned!$B$2:$B$10,"&lt;"&amp;C1940,mdr_rate_cleaned!$F$2:$F$10,"&gt;="&amp;C1940)</f>
        <v>1</v>
      </c>
      <c r="G1940">
        <v>0</v>
      </c>
      <c r="H1940">
        <v>0</v>
      </c>
      <c r="I1940" t="s">
        <v>15</v>
      </c>
      <c r="J1940" t="s">
        <v>15</v>
      </c>
      <c r="K1940">
        <v>0</v>
      </c>
      <c r="L1940">
        <v>0</v>
      </c>
    </row>
    <row r="1941" spans="1:12" x14ac:dyDescent="0.3">
      <c r="A1941" t="s">
        <v>1957</v>
      </c>
      <c r="B1941" t="s">
        <v>21</v>
      </c>
      <c r="C1941">
        <v>648</v>
      </c>
      <c r="D1941">
        <v>0</v>
      </c>
      <c r="E1941">
        <v>0</v>
      </c>
      <c r="F1941">
        <f>COUNTIFS(mdr_rate_cleaned!$A$2:$A$10,B1941,mdr_rate_cleaned!$B$2:$B$10,"&lt;"&amp;C1941,mdr_rate_cleaned!$F$2:$F$10,"&gt;="&amp;C1941)</f>
        <v>1</v>
      </c>
      <c r="G1941">
        <v>0</v>
      </c>
      <c r="H1941">
        <v>0</v>
      </c>
      <c r="I1941" t="s">
        <v>15</v>
      </c>
      <c r="J1941" t="s">
        <v>15</v>
      </c>
      <c r="K1941">
        <v>0</v>
      </c>
      <c r="L1941">
        <v>0</v>
      </c>
    </row>
    <row r="1942" spans="1:12" x14ac:dyDescent="0.3">
      <c r="A1942" t="s">
        <v>1958</v>
      </c>
      <c r="B1942" t="s">
        <v>17</v>
      </c>
      <c r="C1942">
        <v>2499</v>
      </c>
      <c r="D1942">
        <v>39.979999999999997</v>
      </c>
      <c r="E1942">
        <v>7.2</v>
      </c>
      <c r="F1942">
        <f>COUNTIFS(mdr_rate_cleaned!$A$2:$A$10,B1942,mdr_rate_cleaned!$B$2:$B$10,"&lt;"&amp;C1942,mdr_rate_cleaned!$F$2:$F$10,"&gt;="&amp;C1942)</f>
        <v>1</v>
      </c>
      <c r="G1942">
        <v>1.6E-2</v>
      </c>
      <c r="H1942">
        <v>39.979999999999997</v>
      </c>
      <c r="I1942" t="s">
        <v>15</v>
      </c>
      <c r="J1942" t="s">
        <v>15</v>
      </c>
      <c r="K1942">
        <v>7.2</v>
      </c>
      <c r="L1942">
        <v>0</v>
      </c>
    </row>
    <row r="1943" spans="1:12" x14ac:dyDescent="0.3">
      <c r="A1943" t="s">
        <v>1959</v>
      </c>
      <c r="B1943" t="s">
        <v>17</v>
      </c>
      <c r="C1943">
        <v>2999</v>
      </c>
      <c r="D1943">
        <v>47.98</v>
      </c>
      <c r="E1943">
        <v>8.64</v>
      </c>
      <c r="F1943">
        <f>COUNTIFS(mdr_rate_cleaned!$A$2:$A$10,B1943,mdr_rate_cleaned!$B$2:$B$10,"&lt;"&amp;C1943,mdr_rate_cleaned!$F$2:$F$10,"&gt;="&amp;C1943)</f>
        <v>1</v>
      </c>
      <c r="G1943">
        <v>1.6E-2</v>
      </c>
      <c r="H1943">
        <v>47.98</v>
      </c>
      <c r="I1943" t="s">
        <v>15</v>
      </c>
      <c r="J1943" t="s">
        <v>15</v>
      </c>
      <c r="K1943">
        <v>8.64</v>
      </c>
      <c r="L1943">
        <v>0</v>
      </c>
    </row>
    <row r="1944" spans="1:12" x14ac:dyDescent="0.3">
      <c r="A1944" t="s">
        <v>1960</v>
      </c>
      <c r="B1944" t="s">
        <v>21</v>
      </c>
      <c r="C1944">
        <v>349</v>
      </c>
      <c r="D1944">
        <v>0</v>
      </c>
      <c r="E1944">
        <v>0</v>
      </c>
      <c r="F1944">
        <f>COUNTIFS(mdr_rate_cleaned!$A$2:$A$10,B1944,mdr_rate_cleaned!$B$2:$B$10,"&lt;"&amp;C1944,mdr_rate_cleaned!$F$2:$F$10,"&gt;="&amp;C1944)</f>
        <v>1</v>
      </c>
      <c r="G1944">
        <v>0</v>
      </c>
      <c r="H1944">
        <v>0</v>
      </c>
      <c r="I1944" t="s">
        <v>15</v>
      </c>
      <c r="J1944" t="s">
        <v>15</v>
      </c>
      <c r="K1944">
        <v>0</v>
      </c>
      <c r="L1944">
        <v>0</v>
      </c>
    </row>
    <row r="1945" spans="1:12" x14ac:dyDescent="0.3">
      <c r="A1945" t="s">
        <v>1961</v>
      </c>
      <c r="B1945" t="s">
        <v>21</v>
      </c>
      <c r="C1945">
        <v>8348</v>
      </c>
      <c r="D1945">
        <v>25.04</v>
      </c>
      <c r="E1945">
        <v>4.51</v>
      </c>
      <c r="F1945">
        <f>COUNTIFS(mdr_rate_cleaned!$A$2:$A$10,B1945,mdr_rate_cleaned!$B$2:$B$10,"&lt;"&amp;C1945,mdr_rate_cleaned!$F$2:$F$10,"&gt;="&amp;C1945)</f>
        <v>1</v>
      </c>
      <c r="G1945">
        <v>3.0000000000000001E-3</v>
      </c>
      <c r="H1945">
        <v>25.04</v>
      </c>
      <c r="I1945" t="s">
        <v>15</v>
      </c>
      <c r="J1945" t="s">
        <v>15</v>
      </c>
      <c r="K1945">
        <v>4.51</v>
      </c>
      <c r="L1945">
        <v>0</v>
      </c>
    </row>
    <row r="1946" spans="1:12" x14ac:dyDescent="0.3">
      <c r="A1946" t="s">
        <v>1962</v>
      </c>
      <c r="B1946" t="s">
        <v>17</v>
      </c>
      <c r="C1946">
        <v>5697</v>
      </c>
      <c r="D1946">
        <v>91.15</v>
      </c>
      <c r="E1946">
        <v>16.41</v>
      </c>
      <c r="F1946">
        <f>COUNTIFS(mdr_rate_cleaned!$A$2:$A$10,B1946,mdr_rate_cleaned!$B$2:$B$10,"&lt;"&amp;C1946,mdr_rate_cleaned!$F$2:$F$10,"&gt;="&amp;C1946)</f>
        <v>1</v>
      </c>
      <c r="G1946">
        <v>1.6E-2</v>
      </c>
      <c r="H1946">
        <v>91.15</v>
      </c>
      <c r="I1946" t="s">
        <v>15</v>
      </c>
      <c r="J1946" t="s">
        <v>15</v>
      </c>
      <c r="K1946">
        <v>16.41</v>
      </c>
      <c r="L1946">
        <v>0</v>
      </c>
    </row>
    <row r="1947" spans="1:12" x14ac:dyDescent="0.3">
      <c r="A1947" t="s">
        <v>1963</v>
      </c>
      <c r="B1947" t="s">
        <v>13</v>
      </c>
      <c r="C1947">
        <v>1398</v>
      </c>
      <c r="D1947">
        <v>26.56</v>
      </c>
      <c r="E1947">
        <v>4.78</v>
      </c>
      <c r="F1947">
        <f>COUNTIFS(mdr_rate_cleaned!$A$2:$A$10,B1947,mdr_rate_cleaned!$B$2:$B$10,"&lt;"&amp;C1947,mdr_rate_cleaned!$F$2:$F$10,"&gt;="&amp;C1947)</f>
        <v>1</v>
      </c>
      <c r="G1947">
        <v>1.9E-2</v>
      </c>
      <c r="H1947">
        <v>26.56</v>
      </c>
      <c r="I1947" t="s">
        <v>15</v>
      </c>
      <c r="J1947" t="s">
        <v>15</v>
      </c>
      <c r="K1947">
        <v>4.78</v>
      </c>
      <c r="L1947">
        <v>0</v>
      </c>
    </row>
    <row r="1948" spans="1:12" x14ac:dyDescent="0.3">
      <c r="A1948" t="s">
        <v>1964</v>
      </c>
      <c r="B1948" t="s">
        <v>21</v>
      </c>
      <c r="C1948">
        <v>7999</v>
      </c>
      <c r="D1948">
        <v>24</v>
      </c>
      <c r="E1948">
        <v>4.32</v>
      </c>
      <c r="F1948">
        <f>COUNTIFS(mdr_rate_cleaned!$A$2:$A$10,B1948,mdr_rate_cleaned!$B$2:$B$10,"&lt;"&amp;C1948,mdr_rate_cleaned!$F$2:$F$10,"&gt;="&amp;C1948)</f>
        <v>1</v>
      </c>
      <c r="G1948">
        <v>3.0000000000000001E-3</v>
      </c>
      <c r="H1948">
        <v>24</v>
      </c>
      <c r="I1948" t="s">
        <v>15</v>
      </c>
      <c r="J1948" t="s">
        <v>15</v>
      </c>
      <c r="K1948">
        <v>4.32</v>
      </c>
      <c r="L1948">
        <v>0</v>
      </c>
    </row>
    <row r="1949" spans="1:12" x14ac:dyDescent="0.3">
      <c r="A1949" t="s">
        <v>1965</v>
      </c>
      <c r="B1949" t="s">
        <v>21</v>
      </c>
      <c r="C1949">
        <v>6647</v>
      </c>
      <c r="D1949">
        <v>19.940000000000001</v>
      </c>
      <c r="E1949">
        <v>3.59</v>
      </c>
      <c r="F1949">
        <f>COUNTIFS(mdr_rate_cleaned!$A$2:$A$10,B1949,mdr_rate_cleaned!$B$2:$B$10,"&lt;"&amp;C1949,mdr_rate_cleaned!$F$2:$F$10,"&gt;="&amp;C1949)</f>
        <v>1</v>
      </c>
      <c r="G1949">
        <v>3.0000000000000001E-3</v>
      </c>
      <c r="H1949">
        <v>19.940000000000001</v>
      </c>
      <c r="I1949" t="s">
        <v>15</v>
      </c>
      <c r="J1949" t="s">
        <v>15</v>
      </c>
      <c r="K1949">
        <v>3.59</v>
      </c>
      <c r="L1949">
        <v>0</v>
      </c>
    </row>
    <row r="1950" spans="1:12" x14ac:dyDescent="0.3">
      <c r="A1950" t="s">
        <v>1966</v>
      </c>
      <c r="B1950" t="s">
        <v>17</v>
      </c>
      <c r="C1950">
        <v>3498</v>
      </c>
      <c r="D1950">
        <v>55.97</v>
      </c>
      <c r="E1950">
        <v>10.07</v>
      </c>
      <c r="F1950">
        <f>COUNTIFS(mdr_rate_cleaned!$A$2:$A$10,B1950,mdr_rate_cleaned!$B$2:$B$10,"&lt;"&amp;C1950,mdr_rate_cleaned!$F$2:$F$10,"&gt;="&amp;C1950)</f>
        <v>1</v>
      </c>
      <c r="G1950">
        <v>1.6E-2</v>
      </c>
      <c r="H1950">
        <v>55.97</v>
      </c>
      <c r="I1950" t="s">
        <v>15</v>
      </c>
      <c r="J1950" t="s">
        <v>15</v>
      </c>
      <c r="K1950">
        <v>10.07</v>
      </c>
      <c r="L1950">
        <v>0</v>
      </c>
    </row>
    <row r="1951" spans="1:12" x14ac:dyDescent="0.3">
      <c r="A1951" t="s">
        <v>1967</v>
      </c>
      <c r="B1951" t="s">
        <v>21</v>
      </c>
      <c r="C1951">
        <v>3499</v>
      </c>
      <c r="D1951">
        <v>10.5</v>
      </c>
      <c r="E1951">
        <v>1.89</v>
      </c>
      <c r="F1951">
        <f>COUNTIFS(mdr_rate_cleaned!$A$2:$A$10,B1951,mdr_rate_cleaned!$B$2:$B$10,"&lt;"&amp;C1951,mdr_rate_cleaned!$F$2:$F$10,"&gt;="&amp;C1951)</f>
        <v>1</v>
      </c>
      <c r="G1951">
        <v>3.0000000000000001E-3</v>
      </c>
      <c r="H1951">
        <v>10.5</v>
      </c>
      <c r="I1951" t="s">
        <v>15</v>
      </c>
      <c r="J1951" t="s">
        <v>15</v>
      </c>
      <c r="K1951">
        <v>1.89</v>
      </c>
      <c r="L1951">
        <v>0</v>
      </c>
    </row>
    <row r="1952" spans="1:12" x14ac:dyDescent="0.3">
      <c r="A1952" t="s">
        <v>1968</v>
      </c>
      <c r="B1952" t="s">
        <v>39</v>
      </c>
      <c r="C1952">
        <v>799</v>
      </c>
      <c r="D1952">
        <v>11.99</v>
      </c>
      <c r="E1952">
        <v>2.16</v>
      </c>
      <c r="F1952">
        <f>COUNTIFS(mdr_rate_cleaned!$A$2:$A$10,B1952,mdr_rate_cleaned!$B$2:$B$10,"&lt;"&amp;C1952,mdr_rate_cleaned!$F$2:$F$10,"&gt;="&amp;C1952)</f>
        <v>1</v>
      </c>
      <c r="G1952">
        <v>1.4999999999999999E-2</v>
      </c>
      <c r="H1952">
        <v>11.99</v>
      </c>
      <c r="I1952" t="s">
        <v>15</v>
      </c>
      <c r="J1952" t="s">
        <v>15</v>
      </c>
      <c r="K1952">
        <v>2.16</v>
      </c>
      <c r="L1952">
        <v>0</v>
      </c>
    </row>
    <row r="1953" spans="1:12" x14ac:dyDescent="0.3">
      <c r="A1953" t="s">
        <v>1969</v>
      </c>
      <c r="B1953" t="s">
        <v>21</v>
      </c>
      <c r="C1953">
        <v>9498</v>
      </c>
      <c r="D1953">
        <v>28.49</v>
      </c>
      <c r="E1953">
        <v>5.13</v>
      </c>
      <c r="F1953">
        <f>COUNTIFS(mdr_rate_cleaned!$A$2:$A$10,B1953,mdr_rate_cleaned!$B$2:$B$10,"&lt;"&amp;C1953,mdr_rate_cleaned!$F$2:$F$10,"&gt;="&amp;C1953)</f>
        <v>1</v>
      </c>
      <c r="G1953">
        <v>3.0000000000000001E-3</v>
      </c>
      <c r="H1953">
        <v>28.49</v>
      </c>
      <c r="I1953" t="s">
        <v>15</v>
      </c>
      <c r="J1953" t="s">
        <v>15</v>
      </c>
      <c r="K1953">
        <v>5.13</v>
      </c>
      <c r="L1953">
        <v>0</v>
      </c>
    </row>
    <row r="1954" spans="1:12" x14ac:dyDescent="0.3">
      <c r="A1954" t="s">
        <v>1970</v>
      </c>
      <c r="B1954" t="s">
        <v>21</v>
      </c>
      <c r="C1954">
        <v>7999</v>
      </c>
      <c r="D1954">
        <v>24</v>
      </c>
      <c r="E1954">
        <v>4.32</v>
      </c>
      <c r="F1954">
        <f>COUNTIFS(mdr_rate_cleaned!$A$2:$A$10,B1954,mdr_rate_cleaned!$B$2:$B$10,"&lt;"&amp;C1954,mdr_rate_cleaned!$F$2:$F$10,"&gt;="&amp;C1954)</f>
        <v>1</v>
      </c>
      <c r="G1954">
        <v>3.0000000000000001E-3</v>
      </c>
      <c r="H1954">
        <v>24</v>
      </c>
      <c r="I1954" t="s">
        <v>15</v>
      </c>
      <c r="J1954" t="s">
        <v>15</v>
      </c>
      <c r="K1954">
        <v>4.32</v>
      </c>
      <c r="L1954">
        <v>0</v>
      </c>
    </row>
    <row r="1955" spans="1:12" x14ac:dyDescent="0.3">
      <c r="A1955" t="s">
        <v>1971</v>
      </c>
      <c r="B1955" t="s">
        <v>21</v>
      </c>
      <c r="C1955">
        <v>2499</v>
      </c>
      <c r="D1955">
        <v>7.5</v>
      </c>
      <c r="E1955">
        <v>1.35</v>
      </c>
      <c r="F1955">
        <f>COUNTIFS(mdr_rate_cleaned!$A$2:$A$10,B1955,mdr_rate_cleaned!$B$2:$B$10,"&lt;"&amp;C1955,mdr_rate_cleaned!$F$2:$F$10,"&gt;="&amp;C1955)</f>
        <v>1</v>
      </c>
      <c r="G1955">
        <v>3.0000000000000001E-3</v>
      </c>
      <c r="H1955">
        <v>7.5</v>
      </c>
      <c r="I1955" t="s">
        <v>15</v>
      </c>
      <c r="J1955" t="s">
        <v>15</v>
      </c>
      <c r="K1955">
        <v>1.35</v>
      </c>
      <c r="L1955">
        <v>0</v>
      </c>
    </row>
    <row r="1956" spans="1:12" x14ac:dyDescent="0.3">
      <c r="A1956" t="s">
        <v>1972</v>
      </c>
      <c r="B1956" t="s">
        <v>13</v>
      </c>
      <c r="C1956">
        <v>4999</v>
      </c>
      <c r="D1956">
        <v>84.98</v>
      </c>
      <c r="E1956">
        <v>15.3</v>
      </c>
      <c r="F1956">
        <f>COUNTIFS(mdr_rate_cleaned!$A$2:$A$10,B1956,mdr_rate_cleaned!$B$2:$B$10,"&lt;"&amp;C1956,mdr_rate_cleaned!$F$2:$F$10,"&gt;="&amp;C1956)</f>
        <v>1</v>
      </c>
      <c r="G1956">
        <v>1.7000000000000001E-2</v>
      </c>
      <c r="H1956">
        <v>84.98</v>
      </c>
      <c r="I1956" t="s">
        <v>15</v>
      </c>
      <c r="J1956" t="s">
        <v>15</v>
      </c>
      <c r="K1956">
        <v>15.3</v>
      </c>
      <c r="L1956">
        <v>0</v>
      </c>
    </row>
    <row r="1957" spans="1:12" x14ac:dyDescent="0.3">
      <c r="A1957" t="s">
        <v>1973</v>
      </c>
      <c r="B1957" t="s">
        <v>17</v>
      </c>
      <c r="C1957">
        <v>299</v>
      </c>
      <c r="D1957">
        <v>5.38</v>
      </c>
      <c r="E1957">
        <v>0.97</v>
      </c>
      <c r="F1957">
        <f>COUNTIFS(mdr_rate_cleaned!$A$2:$A$10,B1957,mdr_rate_cleaned!$B$2:$B$10,"&lt;"&amp;C1957,mdr_rate_cleaned!$F$2:$F$10,"&gt;="&amp;C1957)</f>
        <v>1</v>
      </c>
      <c r="G1957">
        <v>1.7999999999999999E-2</v>
      </c>
      <c r="H1957">
        <v>5.38</v>
      </c>
      <c r="I1957" t="s">
        <v>15</v>
      </c>
      <c r="J1957" t="s">
        <v>15</v>
      </c>
      <c r="K1957">
        <v>0.97</v>
      </c>
      <c r="L1957">
        <v>0</v>
      </c>
    </row>
    <row r="1958" spans="1:12" x14ac:dyDescent="0.3">
      <c r="A1958" t="s">
        <v>1974</v>
      </c>
      <c r="B1958" t="s">
        <v>39</v>
      </c>
      <c r="C1958">
        <v>798</v>
      </c>
      <c r="D1958">
        <v>11.97</v>
      </c>
      <c r="E1958">
        <v>2.15</v>
      </c>
      <c r="F1958">
        <f>COUNTIFS(mdr_rate_cleaned!$A$2:$A$10,B1958,mdr_rate_cleaned!$B$2:$B$10,"&lt;"&amp;C1958,mdr_rate_cleaned!$F$2:$F$10,"&gt;="&amp;C1958)</f>
        <v>1</v>
      </c>
      <c r="G1958">
        <v>1.4999999999999999E-2</v>
      </c>
      <c r="H1958">
        <v>11.97</v>
      </c>
      <c r="I1958" t="s">
        <v>15</v>
      </c>
      <c r="J1958" t="s">
        <v>15</v>
      </c>
      <c r="K1958">
        <v>2.15</v>
      </c>
      <c r="L1958">
        <v>0</v>
      </c>
    </row>
    <row r="1959" spans="1:12" x14ac:dyDescent="0.3">
      <c r="A1959" t="s">
        <v>1975</v>
      </c>
      <c r="B1959" t="s">
        <v>21</v>
      </c>
      <c r="C1959">
        <v>6297</v>
      </c>
      <c r="D1959">
        <v>18.89</v>
      </c>
      <c r="E1959">
        <v>3.4</v>
      </c>
      <c r="F1959">
        <f>COUNTIFS(mdr_rate_cleaned!$A$2:$A$10,B1959,mdr_rate_cleaned!$B$2:$B$10,"&lt;"&amp;C1959,mdr_rate_cleaned!$F$2:$F$10,"&gt;="&amp;C1959)</f>
        <v>1</v>
      </c>
      <c r="G1959">
        <v>3.0000000000000001E-3</v>
      </c>
      <c r="H1959">
        <v>18.89</v>
      </c>
      <c r="I1959" t="s">
        <v>15</v>
      </c>
      <c r="J1959" t="s">
        <v>15</v>
      </c>
      <c r="K1959">
        <v>3.4</v>
      </c>
      <c r="L1959">
        <v>0</v>
      </c>
    </row>
    <row r="1960" spans="1:12" x14ac:dyDescent="0.3">
      <c r="A1960" t="s">
        <v>1976</v>
      </c>
      <c r="B1960" t="s">
        <v>21</v>
      </c>
      <c r="C1960">
        <v>8498</v>
      </c>
      <c r="D1960">
        <v>25.49</v>
      </c>
      <c r="E1960">
        <v>4.59</v>
      </c>
      <c r="F1960">
        <f>COUNTIFS(mdr_rate_cleaned!$A$2:$A$10,B1960,mdr_rate_cleaned!$B$2:$B$10,"&lt;"&amp;C1960,mdr_rate_cleaned!$F$2:$F$10,"&gt;="&amp;C1960)</f>
        <v>1</v>
      </c>
      <c r="G1960">
        <v>3.0000000000000001E-3</v>
      </c>
      <c r="H1960">
        <v>25.49</v>
      </c>
      <c r="I1960" t="s">
        <v>15</v>
      </c>
      <c r="J1960" t="s">
        <v>15</v>
      </c>
      <c r="K1960">
        <v>4.59</v>
      </c>
      <c r="L1960">
        <v>0</v>
      </c>
    </row>
    <row r="1961" spans="1:12" x14ac:dyDescent="0.3">
      <c r="A1961" t="s">
        <v>1977</v>
      </c>
      <c r="B1961" t="s">
        <v>21</v>
      </c>
      <c r="C1961">
        <v>8597</v>
      </c>
      <c r="D1961">
        <v>25.79</v>
      </c>
      <c r="E1961">
        <v>4.6399999999999997</v>
      </c>
      <c r="F1961">
        <f>COUNTIFS(mdr_rate_cleaned!$A$2:$A$10,B1961,mdr_rate_cleaned!$B$2:$B$10,"&lt;"&amp;C1961,mdr_rate_cleaned!$F$2:$F$10,"&gt;="&amp;C1961)</f>
        <v>1</v>
      </c>
      <c r="G1961">
        <v>3.0000000000000001E-3</v>
      </c>
      <c r="H1961">
        <v>25.79</v>
      </c>
      <c r="I1961" t="s">
        <v>15</v>
      </c>
      <c r="J1961" t="s">
        <v>15</v>
      </c>
      <c r="K1961">
        <v>4.6399999999999997</v>
      </c>
      <c r="L1961">
        <v>0</v>
      </c>
    </row>
    <row r="1962" spans="1:12" x14ac:dyDescent="0.3">
      <c r="A1962" t="s">
        <v>1978</v>
      </c>
      <c r="B1962" t="s">
        <v>17</v>
      </c>
      <c r="C1962">
        <v>8798</v>
      </c>
      <c r="D1962">
        <v>140.77000000000001</v>
      </c>
      <c r="E1962">
        <v>25.34</v>
      </c>
      <c r="F1962">
        <f>COUNTIFS(mdr_rate_cleaned!$A$2:$A$10,B1962,mdr_rate_cleaned!$B$2:$B$10,"&lt;"&amp;C1962,mdr_rate_cleaned!$F$2:$F$10,"&gt;="&amp;C1962)</f>
        <v>1</v>
      </c>
      <c r="G1962">
        <v>1.6E-2</v>
      </c>
      <c r="H1962">
        <v>140.77000000000001</v>
      </c>
      <c r="I1962" t="s">
        <v>15</v>
      </c>
      <c r="J1962" t="s">
        <v>15</v>
      </c>
      <c r="K1962">
        <v>25.34</v>
      </c>
      <c r="L1962">
        <v>0</v>
      </c>
    </row>
    <row r="1963" spans="1:12" x14ac:dyDescent="0.3">
      <c r="A1963" t="s">
        <v>1979</v>
      </c>
      <c r="B1963" t="s">
        <v>21</v>
      </c>
      <c r="C1963">
        <v>1299</v>
      </c>
      <c r="D1963">
        <v>0</v>
      </c>
      <c r="E1963">
        <v>0</v>
      </c>
      <c r="F1963">
        <f>COUNTIFS(mdr_rate_cleaned!$A$2:$A$10,B1963,mdr_rate_cleaned!$B$2:$B$10,"&lt;"&amp;C1963,mdr_rate_cleaned!$F$2:$F$10,"&gt;="&amp;C1963)</f>
        <v>1</v>
      </c>
      <c r="G1963">
        <v>0</v>
      </c>
      <c r="H1963">
        <v>0</v>
      </c>
      <c r="I1963" t="s">
        <v>15</v>
      </c>
      <c r="J1963" t="s">
        <v>15</v>
      </c>
      <c r="K1963">
        <v>0</v>
      </c>
      <c r="L1963">
        <v>0</v>
      </c>
    </row>
    <row r="1964" spans="1:12" x14ac:dyDescent="0.3">
      <c r="A1964" t="s">
        <v>1980</v>
      </c>
      <c r="B1964" t="s">
        <v>21</v>
      </c>
      <c r="C1964">
        <v>2998</v>
      </c>
      <c r="D1964">
        <v>8.99</v>
      </c>
      <c r="E1964">
        <v>1.62</v>
      </c>
      <c r="F1964">
        <f>COUNTIFS(mdr_rate_cleaned!$A$2:$A$10,B1964,mdr_rate_cleaned!$B$2:$B$10,"&lt;"&amp;C1964,mdr_rate_cleaned!$F$2:$F$10,"&gt;="&amp;C1964)</f>
        <v>1</v>
      </c>
      <c r="G1964">
        <v>3.0000000000000001E-3</v>
      </c>
      <c r="H1964">
        <v>8.99</v>
      </c>
      <c r="I1964" t="s">
        <v>15</v>
      </c>
      <c r="J1964" t="s">
        <v>15</v>
      </c>
      <c r="K1964">
        <v>1.62</v>
      </c>
      <c r="L1964">
        <v>0</v>
      </c>
    </row>
    <row r="1965" spans="1:12" x14ac:dyDescent="0.3">
      <c r="A1965" t="s">
        <v>1981</v>
      </c>
      <c r="B1965" t="s">
        <v>21</v>
      </c>
      <c r="C1965">
        <v>8498</v>
      </c>
      <c r="D1965">
        <v>25.49</v>
      </c>
      <c r="E1965">
        <v>4.59</v>
      </c>
      <c r="F1965">
        <f>COUNTIFS(mdr_rate_cleaned!$A$2:$A$10,B1965,mdr_rate_cleaned!$B$2:$B$10,"&lt;"&amp;C1965,mdr_rate_cleaned!$F$2:$F$10,"&gt;="&amp;C1965)</f>
        <v>1</v>
      </c>
      <c r="G1965">
        <v>3.0000000000000001E-3</v>
      </c>
      <c r="H1965">
        <v>25.49</v>
      </c>
      <c r="I1965" t="s">
        <v>15</v>
      </c>
      <c r="J1965" t="s">
        <v>15</v>
      </c>
      <c r="K1965">
        <v>4.59</v>
      </c>
      <c r="L1965">
        <v>0</v>
      </c>
    </row>
    <row r="1966" spans="1:12" x14ac:dyDescent="0.3">
      <c r="A1966" t="s">
        <v>1982</v>
      </c>
      <c r="B1966" t="s">
        <v>21</v>
      </c>
      <c r="C1966">
        <v>1799</v>
      </c>
      <c r="D1966">
        <v>0</v>
      </c>
      <c r="E1966">
        <v>0</v>
      </c>
      <c r="F1966">
        <f>COUNTIFS(mdr_rate_cleaned!$A$2:$A$10,B1966,mdr_rate_cleaned!$B$2:$B$10,"&lt;"&amp;C1966,mdr_rate_cleaned!$F$2:$F$10,"&gt;="&amp;C1966)</f>
        <v>1</v>
      </c>
      <c r="G1966">
        <v>0</v>
      </c>
      <c r="H1966">
        <v>0</v>
      </c>
      <c r="I1966" t="s">
        <v>15</v>
      </c>
      <c r="J1966" t="s">
        <v>15</v>
      </c>
      <c r="K1966">
        <v>0</v>
      </c>
      <c r="L1966">
        <v>0</v>
      </c>
    </row>
    <row r="1967" spans="1:12" x14ac:dyDescent="0.3">
      <c r="A1967" t="s">
        <v>1983</v>
      </c>
      <c r="B1967" t="s">
        <v>21</v>
      </c>
      <c r="C1967">
        <v>2999</v>
      </c>
      <c r="D1967">
        <v>9</v>
      </c>
      <c r="E1967">
        <v>1.62</v>
      </c>
      <c r="F1967">
        <f>COUNTIFS(mdr_rate_cleaned!$A$2:$A$10,B1967,mdr_rate_cleaned!$B$2:$B$10,"&lt;"&amp;C1967,mdr_rate_cleaned!$F$2:$F$10,"&gt;="&amp;C1967)</f>
        <v>1</v>
      </c>
      <c r="G1967">
        <v>3.0000000000000001E-3</v>
      </c>
      <c r="H1967">
        <v>9</v>
      </c>
      <c r="I1967" t="s">
        <v>15</v>
      </c>
      <c r="J1967" t="s">
        <v>15</v>
      </c>
      <c r="K1967">
        <v>1.62</v>
      </c>
      <c r="L1967">
        <v>0</v>
      </c>
    </row>
    <row r="1968" spans="1:12" x14ac:dyDescent="0.3">
      <c r="A1968" t="s">
        <v>1984</v>
      </c>
      <c r="B1968" t="s">
        <v>21</v>
      </c>
      <c r="C1968">
        <v>999</v>
      </c>
      <c r="D1968">
        <v>0</v>
      </c>
      <c r="E1968">
        <v>0</v>
      </c>
      <c r="F1968">
        <f>COUNTIFS(mdr_rate_cleaned!$A$2:$A$10,B1968,mdr_rate_cleaned!$B$2:$B$10,"&lt;"&amp;C1968,mdr_rate_cleaned!$F$2:$F$10,"&gt;="&amp;C1968)</f>
        <v>1</v>
      </c>
      <c r="G1968">
        <v>0</v>
      </c>
      <c r="H1968">
        <v>0</v>
      </c>
      <c r="I1968" t="s">
        <v>15</v>
      </c>
      <c r="J1968" t="s">
        <v>15</v>
      </c>
      <c r="K1968">
        <v>0</v>
      </c>
      <c r="L1968">
        <v>0</v>
      </c>
    </row>
    <row r="1969" spans="1:12" x14ac:dyDescent="0.3">
      <c r="A1969" t="s">
        <v>1985</v>
      </c>
      <c r="B1969" t="s">
        <v>21</v>
      </c>
      <c r="C1969">
        <v>1299</v>
      </c>
      <c r="D1969">
        <v>0</v>
      </c>
      <c r="E1969">
        <v>0</v>
      </c>
      <c r="F1969">
        <f>COUNTIFS(mdr_rate_cleaned!$A$2:$A$10,B1969,mdr_rate_cleaned!$B$2:$B$10,"&lt;"&amp;C1969,mdr_rate_cleaned!$F$2:$F$10,"&gt;="&amp;C1969)</f>
        <v>1</v>
      </c>
      <c r="G1969">
        <v>0</v>
      </c>
      <c r="H1969">
        <v>0</v>
      </c>
      <c r="I1969" t="s">
        <v>15</v>
      </c>
      <c r="J1969" t="s">
        <v>15</v>
      </c>
      <c r="K1969">
        <v>0</v>
      </c>
      <c r="L1969">
        <v>0</v>
      </c>
    </row>
    <row r="1970" spans="1:12" x14ac:dyDescent="0.3">
      <c r="A1970" t="s">
        <v>1986</v>
      </c>
      <c r="B1970" t="s">
        <v>21</v>
      </c>
      <c r="C1970">
        <v>1499</v>
      </c>
      <c r="D1970">
        <v>0</v>
      </c>
      <c r="E1970">
        <v>0</v>
      </c>
      <c r="F1970">
        <f>COUNTIFS(mdr_rate_cleaned!$A$2:$A$10,B1970,mdr_rate_cleaned!$B$2:$B$10,"&lt;"&amp;C1970,mdr_rate_cleaned!$F$2:$F$10,"&gt;="&amp;C1970)</f>
        <v>1</v>
      </c>
      <c r="G1970">
        <v>0</v>
      </c>
      <c r="H1970">
        <v>0</v>
      </c>
      <c r="I1970" t="s">
        <v>15</v>
      </c>
      <c r="J1970" t="s">
        <v>15</v>
      </c>
      <c r="K1970">
        <v>0</v>
      </c>
      <c r="L1970">
        <v>0</v>
      </c>
    </row>
    <row r="1971" spans="1:12" x14ac:dyDescent="0.3">
      <c r="A1971" t="s">
        <v>1987</v>
      </c>
      <c r="B1971" t="s">
        <v>21</v>
      </c>
      <c r="C1971">
        <v>5498</v>
      </c>
      <c r="D1971">
        <v>16.489999999999998</v>
      </c>
      <c r="E1971">
        <v>2.97</v>
      </c>
      <c r="F1971">
        <f>COUNTIFS(mdr_rate_cleaned!$A$2:$A$10,B1971,mdr_rate_cleaned!$B$2:$B$10,"&lt;"&amp;C1971,mdr_rate_cleaned!$F$2:$F$10,"&gt;="&amp;C1971)</f>
        <v>1</v>
      </c>
      <c r="G1971">
        <v>3.0000000000000001E-3</v>
      </c>
      <c r="H1971">
        <v>16.489999999999998</v>
      </c>
      <c r="I1971" t="s">
        <v>15</v>
      </c>
      <c r="J1971" t="s">
        <v>15</v>
      </c>
      <c r="K1971">
        <v>2.97</v>
      </c>
      <c r="L1971">
        <v>0</v>
      </c>
    </row>
    <row r="1972" spans="1:12" x14ac:dyDescent="0.3">
      <c r="A1972" t="s">
        <v>1988</v>
      </c>
      <c r="B1972" t="s">
        <v>21</v>
      </c>
      <c r="C1972">
        <v>3298</v>
      </c>
      <c r="D1972">
        <v>9.89</v>
      </c>
      <c r="E1972">
        <v>1.78</v>
      </c>
      <c r="F1972">
        <f>COUNTIFS(mdr_rate_cleaned!$A$2:$A$10,B1972,mdr_rate_cleaned!$B$2:$B$10,"&lt;"&amp;C1972,mdr_rate_cleaned!$F$2:$F$10,"&gt;="&amp;C1972)</f>
        <v>1</v>
      </c>
      <c r="G1972">
        <v>3.0000000000000001E-3</v>
      </c>
      <c r="H1972">
        <v>9.89</v>
      </c>
      <c r="I1972" t="s">
        <v>15</v>
      </c>
      <c r="J1972" t="s">
        <v>15</v>
      </c>
      <c r="K1972">
        <v>1.78</v>
      </c>
      <c r="L1972">
        <v>0</v>
      </c>
    </row>
    <row r="1973" spans="1:12" x14ac:dyDescent="0.3">
      <c r="A1973" t="s">
        <v>1989</v>
      </c>
      <c r="B1973" t="s">
        <v>21</v>
      </c>
      <c r="C1973">
        <v>2998</v>
      </c>
      <c r="D1973">
        <v>8.99</v>
      </c>
      <c r="E1973">
        <v>1.62</v>
      </c>
      <c r="F1973">
        <f>COUNTIFS(mdr_rate_cleaned!$A$2:$A$10,B1973,mdr_rate_cleaned!$B$2:$B$10,"&lt;"&amp;C1973,mdr_rate_cleaned!$F$2:$F$10,"&gt;="&amp;C1973)</f>
        <v>1</v>
      </c>
      <c r="G1973">
        <v>3.0000000000000001E-3</v>
      </c>
      <c r="H1973">
        <v>8.99</v>
      </c>
      <c r="I1973" t="s">
        <v>15</v>
      </c>
      <c r="J1973" t="s">
        <v>15</v>
      </c>
      <c r="K1973">
        <v>1.62</v>
      </c>
      <c r="L1973">
        <v>0</v>
      </c>
    </row>
    <row r="1974" spans="1:12" x14ac:dyDescent="0.3">
      <c r="A1974" t="s">
        <v>1990</v>
      </c>
      <c r="B1974" t="s">
        <v>17</v>
      </c>
      <c r="C1974">
        <v>499</v>
      </c>
      <c r="D1974">
        <v>8.98</v>
      </c>
      <c r="E1974">
        <v>1.62</v>
      </c>
      <c r="F1974">
        <f>COUNTIFS(mdr_rate_cleaned!$A$2:$A$10,B1974,mdr_rate_cleaned!$B$2:$B$10,"&lt;"&amp;C1974,mdr_rate_cleaned!$F$2:$F$10,"&gt;="&amp;C1974)</f>
        <v>1</v>
      </c>
      <c r="G1974">
        <v>1.7999999999999999E-2</v>
      </c>
      <c r="H1974">
        <v>8.98</v>
      </c>
      <c r="I1974" t="s">
        <v>15</v>
      </c>
      <c r="J1974" t="s">
        <v>15</v>
      </c>
      <c r="K1974">
        <v>1.62</v>
      </c>
      <c r="L1974">
        <v>0</v>
      </c>
    </row>
    <row r="1975" spans="1:12" x14ac:dyDescent="0.3">
      <c r="A1975" t="s">
        <v>1991</v>
      </c>
      <c r="B1975" t="s">
        <v>17</v>
      </c>
      <c r="C1975">
        <v>4999</v>
      </c>
      <c r="D1975">
        <v>79.98</v>
      </c>
      <c r="E1975">
        <v>14.4</v>
      </c>
      <c r="F1975">
        <f>COUNTIFS(mdr_rate_cleaned!$A$2:$A$10,B1975,mdr_rate_cleaned!$B$2:$B$10,"&lt;"&amp;C1975,mdr_rate_cleaned!$F$2:$F$10,"&gt;="&amp;C1975)</f>
        <v>1</v>
      </c>
      <c r="G1975">
        <v>1.6E-2</v>
      </c>
      <c r="H1975">
        <v>79.98</v>
      </c>
      <c r="I1975" t="s">
        <v>15</v>
      </c>
      <c r="J1975" t="s">
        <v>15</v>
      </c>
      <c r="K1975">
        <v>14.4</v>
      </c>
      <c r="L1975">
        <v>0</v>
      </c>
    </row>
    <row r="1976" spans="1:12" x14ac:dyDescent="0.3">
      <c r="A1976" t="s">
        <v>1992</v>
      </c>
      <c r="B1976" t="s">
        <v>39</v>
      </c>
      <c r="C1976">
        <v>2999</v>
      </c>
      <c r="D1976">
        <v>35.99</v>
      </c>
      <c r="E1976">
        <v>6.48</v>
      </c>
      <c r="F1976">
        <f>COUNTIFS(mdr_rate_cleaned!$A$2:$A$10,B1976,mdr_rate_cleaned!$B$2:$B$10,"&lt;"&amp;C1976,mdr_rate_cleaned!$F$2:$F$10,"&gt;="&amp;C1976)</f>
        <v>1</v>
      </c>
      <c r="G1976">
        <v>1.2E-2</v>
      </c>
      <c r="H1976">
        <v>35.99</v>
      </c>
      <c r="I1976" t="s">
        <v>15</v>
      </c>
      <c r="J1976" t="s">
        <v>15</v>
      </c>
      <c r="K1976">
        <v>6.48</v>
      </c>
      <c r="L1976">
        <v>0</v>
      </c>
    </row>
    <row r="1977" spans="1:12" x14ac:dyDescent="0.3">
      <c r="A1977" t="s">
        <v>1993</v>
      </c>
      <c r="B1977" t="s">
        <v>21</v>
      </c>
      <c r="C1977">
        <v>4298</v>
      </c>
      <c r="D1977">
        <v>12.89</v>
      </c>
      <c r="E1977">
        <v>2.3199999999999998</v>
      </c>
      <c r="F1977">
        <f>COUNTIFS(mdr_rate_cleaned!$A$2:$A$10,B1977,mdr_rate_cleaned!$B$2:$B$10,"&lt;"&amp;C1977,mdr_rate_cleaned!$F$2:$F$10,"&gt;="&amp;C1977)</f>
        <v>1</v>
      </c>
      <c r="G1977">
        <v>3.0000000000000001E-3</v>
      </c>
      <c r="H1977">
        <v>12.89</v>
      </c>
      <c r="I1977" t="s">
        <v>15</v>
      </c>
      <c r="J1977" t="s">
        <v>15</v>
      </c>
      <c r="K1977">
        <v>2.3199999999999998</v>
      </c>
      <c r="L1977">
        <v>0</v>
      </c>
    </row>
    <row r="1978" spans="1:12" x14ac:dyDescent="0.3">
      <c r="A1978" t="s">
        <v>1994</v>
      </c>
      <c r="B1978" t="s">
        <v>17</v>
      </c>
      <c r="C1978">
        <v>1997</v>
      </c>
      <c r="D1978">
        <v>35.950000000000003</v>
      </c>
      <c r="E1978">
        <v>6.47</v>
      </c>
      <c r="F1978">
        <f>COUNTIFS(mdr_rate_cleaned!$A$2:$A$10,B1978,mdr_rate_cleaned!$B$2:$B$10,"&lt;"&amp;C1978,mdr_rate_cleaned!$F$2:$F$10,"&gt;="&amp;C1978)</f>
        <v>1</v>
      </c>
      <c r="G1978">
        <v>1.7999999999999999E-2</v>
      </c>
      <c r="H1978">
        <v>35.950000000000003</v>
      </c>
      <c r="I1978" t="s">
        <v>15</v>
      </c>
      <c r="J1978" t="s">
        <v>15</v>
      </c>
      <c r="K1978">
        <v>6.47</v>
      </c>
      <c r="L1978">
        <v>0</v>
      </c>
    </row>
    <row r="1979" spans="1:12" x14ac:dyDescent="0.3">
      <c r="A1979" t="s">
        <v>1995</v>
      </c>
      <c r="B1979" t="s">
        <v>39</v>
      </c>
      <c r="C1979">
        <v>5998</v>
      </c>
      <c r="D1979">
        <v>71.98</v>
      </c>
      <c r="E1979">
        <v>12.96</v>
      </c>
      <c r="F1979">
        <f>COUNTIFS(mdr_rate_cleaned!$A$2:$A$10,B1979,mdr_rate_cleaned!$B$2:$B$10,"&lt;"&amp;C1979,mdr_rate_cleaned!$F$2:$F$10,"&gt;="&amp;C1979)</f>
        <v>1</v>
      </c>
      <c r="G1979">
        <v>1.2E-2</v>
      </c>
      <c r="H1979">
        <v>71.98</v>
      </c>
      <c r="I1979" t="s">
        <v>15</v>
      </c>
      <c r="J1979" t="s">
        <v>15</v>
      </c>
      <c r="K1979">
        <v>12.96</v>
      </c>
      <c r="L1979">
        <v>0</v>
      </c>
    </row>
    <row r="1980" spans="1:12" x14ac:dyDescent="0.3">
      <c r="A1980" t="s">
        <v>1996</v>
      </c>
      <c r="B1980" t="s">
        <v>21</v>
      </c>
      <c r="C1980">
        <v>8797</v>
      </c>
      <c r="D1980">
        <v>26.39</v>
      </c>
      <c r="E1980">
        <v>4.75</v>
      </c>
      <c r="F1980">
        <f>COUNTIFS(mdr_rate_cleaned!$A$2:$A$10,B1980,mdr_rate_cleaned!$B$2:$B$10,"&lt;"&amp;C1980,mdr_rate_cleaned!$F$2:$F$10,"&gt;="&amp;C1980)</f>
        <v>1</v>
      </c>
      <c r="G1980">
        <v>3.0000000000000001E-3</v>
      </c>
      <c r="H1980">
        <v>26.39</v>
      </c>
      <c r="I1980" t="s">
        <v>15</v>
      </c>
      <c r="J1980" t="s">
        <v>15</v>
      </c>
      <c r="K1980">
        <v>4.75</v>
      </c>
      <c r="L1980">
        <v>0</v>
      </c>
    </row>
    <row r="1981" spans="1:12" x14ac:dyDescent="0.3">
      <c r="A1981" t="s">
        <v>1997</v>
      </c>
      <c r="B1981" t="s">
        <v>21</v>
      </c>
      <c r="C1981">
        <v>499</v>
      </c>
      <c r="D1981">
        <v>0</v>
      </c>
      <c r="E1981">
        <v>0</v>
      </c>
      <c r="F1981">
        <f>COUNTIFS(mdr_rate_cleaned!$A$2:$A$10,B1981,mdr_rate_cleaned!$B$2:$B$10,"&lt;"&amp;C1981,mdr_rate_cleaned!$F$2:$F$10,"&gt;="&amp;C1981)</f>
        <v>1</v>
      </c>
      <c r="G1981">
        <v>0</v>
      </c>
      <c r="H1981">
        <v>0</v>
      </c>
      <c r="I1981" t="s">
        <v>15</v>
      </c>
      <c r="J1981" t="s">
        <v>15</v>
      </c>
      <c r="K1981">
        <v>0</v>
      </c>
      <c r="L1981">
        <v>0</v>
      </c>
    </row>
    <row r="1982" spans="1:12" x14ac:dyDescent="0.3">
      <c r="A1982" t="s">
        <v>1998</v>
      </c>
      <c r="B1982" t="s">
        <v>21</v>
      </c>
      <c r="C1982">
        <v>1499</v>
      </c>
      <c r="D1982">
        <v>0</v>
      </c>
      <c r="E1982">
        <v>0</v>
      </c>
      <c r="F1982">
        <f>COUNTIFS(mdr_rate_cleaned!$A$2:$A$10,B1982,mdr_rate_cleaned!$B$2:$B$10,"&lt;"&amp;C1982,mdr_rate_cleaned!$F$2:$F$10,"&gt;="&amp;C1982)</f>
        <v>1</v>
      </c>
      <c r="G1982">
        <v>0</v>
      </c>
      <c r="H1982">
        <v>0</v>
      </c>
      <c r="I1982" t="s">
        <v>15</v>
      </c>
      <c r="J1982" t="s">
        <v>15</v>
      </c>
      <c r="K1982">
        <v>0</v>
      </c>
      <c r="L1982">
        <v>0</v>
      </c>
    </row>
    <row r="1983" spans="1:12" x14ac:dyDescent="0.3">
      <c r="A1983" t="s">
        <v>1999</v>
      </c>
      <c r="B1983" t="s">
        <v>21</v>
      </c>
      <c r="C1983">
        <v>499</v>
      </c>
      <c r="D1983">
        <v>0</v>
      </c>
      <c r="E1983">
        <v>0</v>
      </c>
      <c r="F1983">
        <f>COUNTIFS(mdr_rate_cleaned!$A$2:$A$10,B1983,mdr_rate_cleaned!$B$2:$B$10,"&lt;"&amp;C1983,mdr_rate_cleaned!$F$2:$F$10,"&gt;="&amp;C1983)</f>
        <v>1</v>
      </c>
      <c r="G1983">
        <v>0</v>
      </c>
      <c r="H1983">
        <v>0</v>
      </c>
      <c r="I1983" t="s">
        <v>15</v>
      </c>
      <c r="J1983" t="s">
        <v>15</v>
      </c>
      <c r="K1983">
        <v>0</v>
      </c>
      <c r="L1983">
        <v>0</v>
      </c>
    </row>
    <row r="1984" spans="1:12" x14ac:dyDescent="0.3">
      <c r="A1984" t="s">
        <v>2000</v>
      </c>
      <c r="B1984" t="s">
        <v>21</v>
      </c>
      <c r="C1984">
        <v>5298</v>
      </c>
      <c r="D1984">
        <v>15.89</v>
      </c>
      <c r="E1984">
        <v>2.86</v>
      </c>
      <c r="F1984">
        <f>COUNTIFS(mdr_rate_cleaned!$A$2:$A$10,B1984,mdr_rate_cleaned!$B$2:$B$10,"&lt;"&amp;C1984,mdr_rate_cleaned!$F$2:$F$10,"&gt;="&amp;C1984)</f>
        <v>1</v>
      </c>
      <c r="G1984">
        <v>3.0000000000000001E-3</v>
      </c>
      <c r="H1984">
        <v>15.89</v>
      </c>
      <c r="I1984" t="s">
        <v>15</v>
      </c>
      <c r="J1984" t="s">
        <v>15</v>
      </c>
      <c r="K1984">
        <v>2.86</v>
      </c>
      <c r="L1984">
        <v>0</v>
      </c>
    </row>
    <row r="1985" spans="1:12" x14ac:dyDescent="0.3">
      <c r="A1985" t="s">
        <v>2001</v>
      </c>
      <c r="B1985" t="s">
        <v>17</v>
      </c>
      <c r="C1985">
        <v>299</v>
      </c>
      <c r="D1985">
        <v>5.38</v>
      </c>
      <c r="E1985">
        <v>0.97</v>
      </c>
      <c r="F1985">
        <f>COUNTIFS(mdr_rate_cleaned!$A$2:$A$10,B1985,mdr_rate_cleaned!$B$2:$B$10,"&lt;"&amp;C1985,mdr_rate_cleaned!$F$2:$F$10,"&gt;="&amp;C1985)</f>
        <v>1</v>
      </c>
      <c r="G1985">
        <v>1.7999999999999999E-2</v>
      </c>
      <c r="H1985">
        <v>5.38</v>
      </c>
      <c r="I1985" t="s">
        <v>15</v>
      </c>
      <c r="J1985" t="s">
        <v>15</v>
      </c>
      <c r="K1985">
        <v>0.97</v>
      </c>
      <c r="L1985">
        <v>0</v>
      </c>
    </row>
    <row r="1986" spans="1:12" x14ac:dyDescent="0.3">
      <c r="A1986" t="s">
        <v>2002</v>
      </c>
      <c r="B1986" t="s">
        <v>21</v>
      </c>
      <c r="C1986">
        <v>999</v>
      </c>
      <c r="D1986">
        <v>0</v>
      </c>
      <c r="E1986">
        <v>0</v>
      </c>
      <c r="F1986">
        <f>COUNTIFS(mdr_rate_cleaned!$A$2:$A$10,B1986,mdr_rate_cleaned!$B$2:$B$10,"&lt;"&amp;C1986,mdr_rate_cleaned!$F$2:$F$10,"&gt;="&amp;C1986)</f>
        <v>1</v>
      </c>
      <c r="G1986">
        <v>0</v>
      </c>
      <c r="H1986">
        <v>0</v>
      </c>
      <c r="I1986" t="s">
        <v>15</v>
      </c>
      <c r="J1986" t="s">
        <v>15</v>
      </c>
      <c r="K1986">
        <v>0</v>
      </c>
      <c r="L1986">
        <v>0</v>
      </c>
    </row>
    <row r="1987" spans="1:12" x14ac:dyDescent="0.3">
      <c r="A1987" t="s">
        <v>2003</v>
      </c>
      <c r="B1987" t="s">
        <v>13</v>
      </c>
      <c r="C1987">
        <v>299</v>
      </c>
      <c r="D1987">
        <v>5.68</v>
      </c>
      <c r="E1987">
        <v>1.02</v>
      </c>
      <c r="F1987">
        <f>COUNTIFS(mdr_rate_cleaned!$A$2:$A$10,B1987,mdr_rate_cleaned!$B$2:$B$10,"&lt;"&amp;C1987,mdr_rate_cleaned!$F$2:$F$10,"&gt;="&amp;C1987)</f>
        <v>1</v>
      </c>
      <c r="G1987">
        <v>1.9E-2</v>
      </c>
      <c r="H1987">
        <v>5.68</v>
      </c>
      <c r="I1987" t="s">
        <v>15</v>
      </c>
      <c r="J1987" t="s">
        <v>15</v>
      </c>
      <c r="K1987">
        <v>1.02</v>
      </c>
      <c r="L1987">
        <v>0</v>
      </c>
    </row>
    <row r="1988" spans="1:12" x14ac:dyDescent="0.3">
      <c r="A1988" t="s">
        <v>2004</v>
      </c>
      <c r="B1988" t="s">
        <v>21</v>
      </c>
      <c r="C1988">
        <v>299</v>
      </c>
      <c r="D1988">
        <v>0</v>
      </c>
      <c r="E1988">
        <v>0</v>
      </c>
      <c r="F1988">
        <f>COUNTIFS(mdr_rate_cleaned!$A$2:$A$10,B1988,mdr_rate_cleaned!$B$2:$B$10,"&lt;"&amp;C1988,mdr_rate_cleaned!$F$2:$F$10,"&gt;="&amp;C1988)</f>
        <v>1</v>
      </c>
      <c r="G1988">
        <v>0</v>
      </c>
      <c r="H1988">
        <v>0</v>
      </c>
      <c r="I1988" t="s">
        <v>15</v>
      </c>
      <c r="J1988" t="s">
        <v>15</v>
      </c>
      <c r="K1988">
        <v>0</v>
      </c>
      <c r="L1988">
        <v>0</v>
      </c>
    </row>
    <row r="1989" spans="1:12" x14ac:dyDescent="0.3">
      <c r="A1989" t="s">
        <v>2005</v>
      </c>
      <c r="B1989" t="s">
        <v>21</v>
      </c>
      <c r="C1989">
        <v>349</v>
      </c>
      <c r="D1989">
        <v>0</v>
      </c>
      <c r="E1989">
        <v>0</v>
      </c>
      <c r="F1989">
        <f>COUNTIFS(mdr_rate_cleaned!$A$2:$A$10,B1989,mdr_rate_cleaned!$B$2:$B$10,"&lt;"&amp;C1989,mdr_rate_cleaned!$F$2:$F$10,"&gt;="&amp;C1989)</f>
        <v>1</v>
      </c>
      <c r="G1989">
        <v>0</v>
      </c>
      <c r="H1989">
        <v>0</v>
      </c>
      <c r="I1989" t="s">
        <v>15</v>
      </c>
      <c r="J1989" t="s">
        <v>15</v>
      </c>
      <c r="K1989">
        <v>0</v>
      </c>
      <c r="L1989">
        <v>0</v>
      </c>
    </row>
    <row r="1990" spans="1:12" x14ac:dyDescent="0.3">
      <c r="A1990" t="s">
        <v>2006</v>
      </c>
      <c r="B1990" t="s">
        <v>21</v>
      </c>
      <c r="C1990">
        <v>3499</v>
      </c>
      <c r="D1990">
        <v>10.5</v>
      </c>
      <c r="E1990">
        <v>1.89</v>
      </c>
      <c r="F1990">
        <f>COUNTIFS(mdr_rate_cleaned!$A$2:$A$10,B1990,mdr_rate_cleaned!$B$2:$B$10,"&lt;"&amp;C1990,mdr_rate_cleaned!$F$2:$F$10,"&gt;="&amp;C1990)</f>
        <v>1</v>
      </c>
      <c r="G1990">
        <v>3.0000000000000001E-3</v>
      </c>
      <c r="H1990">
        <v>10.5</v>
      </c>
      <c r="I1990" t="s">
        <v>15</v>
      </c>
      <c r="J1990" t="s">
        <v>15</v>
      </c>
      <c r="K1990">
        <v>1.89</v>
      </c>
      <c r="L1990">
        <v>0</v>
      </c>
    </row>
    <row r="1991" spans="1:12" x14ac:dyDescent="0.3">
      <c r="A1991" t="s">
        <v>2007</v>
      </c>
      <c r="B1991" t="s">
        <v>13</v>
      </c>
      <c r="C1991">
        <v>6497</v>
      </c>
      <c r="D1991">
        <v>110.45</v>
      </c>
      <c r="E1991">
        <v>19.88</v>
      </c>
      <c r="F1991">
        <f>COUNTIFS(mdr_rate_cleaned!$A$2:$A$10,B1991,mdr_rate_cleaned!$B$2:$B$10,"&lt;"&amp;C1991,mdr_rate_cleaned!$F$2:$F$10,"&gt;="&amp;C1991)</f>
        <v>1</v>
      </c>
      <c r="G1991">
        <v>1.7000000000000001E-2</v>
      </c>
      <c r="H1991">
        <v>110.45</v>
      </c>
      <c r="I1991" t="s">
        <v>15</v>
      </c>
      <c r="J1991" t="s">
        <v>15</v>
      </c>
      <c r="K1991">
        <v>19.88</v>
      </c>
      <c r="L1991">
        <v>0</v>
      </c>
    </row>
    <row r="1992" spans="1:12" x14ac:dyDescent="0.3">
      <c r="A1992" t="s">
        <v>2008</v>
      </c>
      <c r="B1992" t="s">
        <v>17</v>
      </c>
      <c r="C1992">
        <v>3798</v>
      </c>
      <c r="D1992">
        <v>60.77</v>
      </c>
      <c r="E1992">
        <v>10.94</v>
      </c>
      <c r="F1992">
        <f>COUNTIFS(mdr_rate_cleaned!$A$2:$A$10,B1992,mdr_rate_cleaned!$B$2:$B$10,"&lt;"&amp;C1992,mdr_rate_cleaned!$F$2:$F$10,"&gt;="&amp;C1992)</f>
        <v>1</v>
      </c>
      <c r="G1992">
        <v>1.6E-2</v>
      </c>
      <c r="H1992">
        <v>60.77</v>
      </c>
      <c r="I1992" t="s">
        <v>15</v>
      </c>
      <c r="J1992" t="s">
        <v>15</v>
      </c>
      <c r="K1992">
        <v>10.94</v>
      </c>
      <c r="L1992">
        <v>0</v>
      </c>
    </row>
    <row r="1993" spans="1:12" x14ac:dyDescent="0.3">
      <c r="A1993" t="s">
        <v>2009</v>
      </c>
      <c r="B1993" t="s">
        <v>13</v>
      </c>
      <c r="C1993">
        <v>798</v>
      </c>
      <c r="D1993">
        <v>15.16</v>
      </c>
      <c r="E1993">
        <v>2.73</v>
      </c>
      <c r="F1993">
        <f>COUNTIFS(mdr_rate_cleaned!$A$2:$A$10,B1993,mdr_rate_cleaned!$B$2:$B$10,"&lt;"&amp;C1993,mdr_rate_cleaned!$F$2:$F$10,"&gt;="&amp;C1993)</f>
        <v>1</v>
      </c>
      <c r="G1993">
        <v>1.9E-2</v>
      </c>
      <c r="H1993">
        <v>15.16</v>
      </c>
      <c r="I1993" t="s">
        <v>15</v>
      </c>
      <c r="J1993" t="s">
        <v>15</v>
      </c>
      <c r="K1993">
        <v>2.73</v>
      </c>
      <c r="L1993">
        <v>0</v>
      </c>
    </row>
    <row r="1994" spans="1:12" x14ac:dyDescent="0.3">
      <c r="A1994" t="s">
        <v>2010</v>
      </c>
      <c r="B1994" t="s">
        <v>21</v>
      </c>
      <c r="C1994">
        <v>599</v>
      </c>
      <c r="D1994">
        <v>0</v>
      </c>
      <c r="E1994">
        <v>0</v>
      </c>
      <c r="F1994">
        <f>COUNTIFS(mdr_rate_cleaned!$A$2:$A$10,B1994,mdr_rate_cleaned!$B$2:$B$10,"&lt;"&amp;C1994,mdr_rate_cleaned!$F$2:$F$10,"&gt;="&amp;C1994)</f>
        <v>1</v>
      </c>
      <c r="G1994">
        <v>0</v>
      </c>
      <c r="H1994">
        <v>0</v>
      </c>
      <c r="I1994" t="s">
        <v>15</v>
      </c>
      <c r="J1994" t="s">
        <v>15</v>
      </c>
      <c r="K1994">
        <v>0</v>
      </c>
      <c r="L1994">
        <v>0</v>
      </c>
    </row>
    <row r="1995" spans="1:12" x14ac:dyDescent="0.3">
      <c r="A1995" t="s">
        <v>2011</v>
      </c>
      <c r="B1995" t="s">
        <v>17</v>
      </c>
      <c r="C1995">
        <v>13297</v>
      </c>
      <c r="D1995">
        <v>212.75</v>
      </c>
      <c r="E1995">
        <v>38.299999999999997</v>
      </c>
      <c r="F1995">
        <f>COUNTIFS(mdr_rate_cleaned!$A$2:$A$10,B1995,mdr_rate_cleaned!$B$2:$B$10,"&lt;"&amp;C1995,mdr_rate_cleaned!$F$2:$F$10,"&gt;="&amp;C1995)</f>
        <v>1</v>
      </c>
      <c r="G1995">
        <v>1.6E-2</v>
      </c>
      <c r="H1995">
        <v>212.75</v>
      </c>
      <c r="I1995" t="s">
        <v>15</v>
      </c>
      <c r="J1995" t="s">
        <v>15</v>
      </c>
      <c r="K1995">
        <v>38.299999999999997</v>
      </c>
      <c r="L1995">
        <v>0</v>
      </c>
    </row>
    <row r="1996" spans="1:12" x14ac:dyDescent="0.3">
      <c r="A1996" t="s">
        <v>2012</v>
      </c>
      <c r="B1996" t="s">
        <v>39</v>
      </c>
      <c r="C1996">
        <v>1799</v>
      </c>
      <c r="D1996">
        <v>26.99</v>
      </c>
      <c r="E1996">
        <v>4.8600000000000003</v>
      </c>
      <c r="F1996">
        <f>COUNTIFS(mdr_rate_cleaned!$A$2:$A$10,B1996,mdr_rate_cleaned!$B$2:$B$10,"&lt;"&amp;C1996,mdr_rate_cleaned!$F$2:$F$10,"&gt;="&amp;C1996)</f>
        <v>1</v>
      </c>
      <c r="G1996">
        <v>1.4999999999999999E-2</v>
      </c>
      <c r="H1996">
        <v>26.99</v>
      </c>
      <c r="I1996" t="s">
        <v>15</v>
      </c>
      <c r="J1996" t="s">
        <v>15</v>
      </c>
      <c r="K1996">
        <v>4.8600000000000003</v>
      </c>
      <c r="L1996">
        <v>0</v>
      </c>
    </row>
    <row r="1997" spans="1:12" x14ac:dyDescent="0.3">
      <c r="A1997" t="s">
        <v>2013</v>
      </c>
      <c r="B1997" t="s">
        <v>21</v>
      </c>
      <c r="C1997">
        <v>1799</v>
      </c>
      <c r="D1997">
        <v>0</v>
      </c>
      <c r="E1997">
        <v>0</v>
      </c>
      <c r="F1997">
        <f>COUNTIFS(mdr_rate_cleaned!$A$2:$A$10,B1997,mdr_rate_cleaned!$B$2:$B$10,"&lt;"&amp;C1997,mdr_rate_cleaned!$F$2:$F$10,"&gt;="&amp;C1997)</f>
        <v>1</v>
      </c>
      <c r="G1997">
        <v>0</v>
      </c>
      <c r="H1997">
        <v>0</v>
      </c>
      <c r="I1997" t="s">
        <v>15</v>
      </c>
      <c r="J1997" t="s">
        <v>15</v>
      </c>
      <c r="K1997">
        <v>0</v>
      </c>
      <c r="L1997">
        <v>0</v>
      </c>
    </row>
    <row r="1998" spans="1:12" x14ac:dyDescent="0.3">
      <c r="A1998" t="s">
        <v>2014</v>
      </c>
      <c r="B1998" t="s">
        <v>39</v>
      </c>
      <c r="C1998">
        <v>299</v>
      </c>
      <c r="D1998">
        <v>4.49</v>
      </c>
      <c r="E1998">
        <v>0.81</v>
      </c>
      <c r="F1998">
        <f>COUNTIFS(mdr_rate_cleaned!$A$2:$A$10,B1998,mdr_rate_cleaned!$B$2:$B$10,"&lt;"&amp;C1998,mdr_rate_cleaned!$F$2:$F$10,"&gt;="&amp;C1998)</f>
        <v>1</v>
      </c>
      <c r="G1998">
        <v>1.4999999999999999E-2</v>
      </c>
      <c r="H1998">
        <v>4.49</v>
      </c>
      <c r="I1998" t="s">
        <v>15</v>
      </c>
      <c r="J1998" t="s">
        <v>15</v>
      </c>
      <c r="K1998">
        <v>0.81</v>
      </c>
      <c r="L1998">
        <v>0</v>
      </c>
    </row>
    <row r="1999" spans="1:12" x14ac:dyDescent="0.3">
      <c r="A1999" t="s">
        <v>2015</v>
      </c>
      <c r="B1999" t="s">
        <v>13</v>
      </c>
      <c r="C1999">
        <v>599</v>
      </c>
      <c r="D1999">
        <v>11.38</v>
      </c>
      <c r="E1999">
        <v>2.0499999999999998</v>
      </c>
      <c r="F1999">
        <f>COUNTIFS(mdr_rate_cleaned!$A$2:$A$10,B1999,mdr_rate_cleaned!$B$2:$B$10,"&lt;"&amp;C1999,mdr_rate_cleaned!$F$2:$F$10,"&gt;="&amp;C1999)</f>
        <v>1</v>
      </c>
      <c r="G1999">
        <v>1.9E-2</v>
      </c>
      <c r="H1999">
        <v>11.38</v>
      </c>
      <c r="I1999" t="s">
        <v>15</v>
      </c>
      <c r="J1999" t="s">
        <v>15</v>
      </c>
      <c r="K1999">
        <v>2.0499999999999998</v>
      </c>
      <c r="L1999">
        <v>0</v>
      </c>
    </row>
    <row r="2000" spans="1:12" x14ac:dyDescent="0.3">
      <c r="A2000" t="s">
        <v>2016</v>
      </c>
      <c r="B2000" t="s">
        <v>17</v>
      </c>
      <c r="C2000">
        <v>4999</v>
      </c>
      <c r="D2000">
        <v>79.98</v>
      </c>
      <c r="E2000">
        <v>14.4</v>
      </c>
      <c r="F2000">
        <f>COUNTIFS(mdr_rate_cleaned!$A$2:$A$10,B2000,mdr_rate_cleaned!$B$2:$B$10,"&lt;"&amp;C2000,mdr_rate_cleaned!$F$2:$F$10,"&gt;="&amp;C2000)</f>
        <v>1</v>
      </c>
      <c r="G2000">
        <v>1.6E-2</v>
      </c>
      <c r="H2000">
        <v>79.98</v>
      </c>
      <c r="I2000" t="s">
        <v>15</v>
      </c>
      <c r="J2000" t="s">
        <v>15</v>
      </c>
      <c r="K2000">
        <v>14.4</v>
      </c>
      <c r="L2000">
        <v>0</v>
      </c>
    </row>
    <row r="2001" spans="1:12" x14ac:dyDescent="0.3">
      <c r="A2001" t="s">
        <v>2017</v>
      </c>
      <c r="B2001" t="s">
        <v>21</v>
      </c>
      <c r="C2001">
        <v>4999</v>
      </c>
      <c r="D2001">
        <v>15</v>
      </c>
      <c r="E2001">
        <v>2.7</v>
      </c>
      <c r="F2001">
        <f>COUNTIFS(mdr_rate_cleaned!$A$2:$A$10,B2001,mdr_rate_cleaned!$B$2:$B$10,"&lt;"&amp;C2001,mdr_rate_cleaned!$F$2:$F$10,"&gt;="&amp;C2001)</f>
        <v>1</v>
      </c>
      <c r="G2001">
        <v>3.0000000000000001E-3</v>
      </c>
      <c r="H2001">
        <v>15</v>
      </c>
      <c r="I2001" t="s">
        <v>15</v>
      </c>
      <c r="J2001" t="s">
        <v>15</v>
      </c>
      <c r="K2001">
        <v>2.7</v>
      </c>
      <c r="L2001">
        <v>0</v>
      </c>
    </row>
    <row r="2002" spans="1:12" x14ac:dyDescent="0.3">
      <c r="A2002" t="s">
        <v>2018</v>
      </c>
      <c r="B2002" t="s">
        <v>21</v>
      </c>
      <c r="C2002">
        <v>1598</v>
      </c>
      <c r="D2002">
        <v>0</v>
      </c>
      <c r="E2002">
        <v>0</v>
      </c>
      <c r="F2002">
        <f>COUNTIFS(mdr_rate_cleaned!$A$2:$A$10,B2002,mdr_rate_cleaned!$B$2:$B$10,"&lt;"&amp;C2002,mdr_rate_cleaned!$F$2:$F$10,"&gt;="&amp;C2002)</f>
        <v>1</v>
      </c>
      <c r="G2002">
        <v>0</v>
      </c>
      <c r="H2002">
        <v>0</v>
      </c>
      <c r="I2002" t="s">
        <v>15</v>
      </c>
      <c r="J2002" t="s">
        <v>15</v>
      </c>
      <c r="K2002">
        <v>0</v>
      </c>
      <c r="L2002">
        <v>0</v>
      </c>
    </row>
    <row r="2003" spans="1:12" x14ac:dyDescent="0.3">
      <c r="A2003" t="s">
        <v>2019</v>
      </c>
      <c r="B2003" t="s">
        <v>21</v>
      </c>
      <c r="C2003">
        <v>1299</v>
      </c>
      <c r="D2003">
        <v>0</v>
      </c>
      <c r="E2003">
        <v>0</v>
      </c>
      <c r="F2003">
        <f>COUNTIFS(mdr_rate_cleaned!$A$2:$A$10,B2003,mdr_rate_cleaned!$B$2:$B$10,"&lt;"&amp;C2003,mdr_rate_cleaned!$F$2:$F$10,"&gt;="&amp;C2003)</f>
        <v>1</v>
      </c>
      <c r="G2003">
        <v>0</v>
      </c>
      <c r="H2003">
        <v>0</v>
      </c>
      <c r="I2003" t="s">
        <v>15</v>
      </c>
      <c r="J2003" t="s">
        <v>15</v>
      </c>
      <c r="K2003">
        <v>0</v>
      </c>
      <c r="L2003">
        <v>0</v>
      </c>
    </row>
    <row r="2004" spans="1:12" x14ac:dyDescent="0.3">
      <c r="A2004" t="s">
        <v>2020</v>
      </c>
      <c r="B2004" t="s">
        <v>17</v>
      </c>
      <c r="C2004">
        <v>1798</v>
      </c>
      <c r="D2004">
        <v>32.36</v>
      </c>
      <c r="E2004">
        <v>5.82</v>
      </c>
      <c r="F2004">
        <f>COUNTIFS(mdr_rate_cleaned!$A$2:$A$10,B2004,mdr_rate_cleaned!$B$2:$B$10,"&lt;"&amp;C2004,mdr_rate_cleaned!$F$2:$F$10,"&gt;="&amp;C2004)</f>
        <v>1</v>
      </c>
      <c r="G2004">
        <v>1.7999999999999999E-2</v>
      </c>
      <c r="H2004">
        <v>32.36</v>
      </c>
      <c r="I2004" t="s">
        <v>15</v>
      </c>
      <c r="J2004" t="s">
        <v>15</v>
      </c>
      <c r="K2004">
        <v>5.82</v>
      </c>
      <c r="L2004">
        <v>0</v>
      </c>
    </row>
    <row r="2005" spans="1:12" x14ac:dyDescent="0.3">
      <c r="A2005" t="s">
        <v>2021</v>
      </c>
      <c r="B2005" t="s">
        <v>17</v>
      </c>
      <c r="C2005">
        <v>3597</v>
      </c>
      <c r="D2005">
        <v>57.55</v>
      </c>
      <c r="E2005">
        <v>10.36</v>
      </c>
      <c r="F2005">
        <f>COUNTIFS(mdr_rate_cleaned!$A$2:$A$10,B2005,mdr_rate_cleaned!$B$2:$B$10,"&lt;"&amp;C2005,mdr_rate_cleaned!$F$2:$F$10,"&gt;="&amp;C2005)</f>
        <v>1</v>
      </c>
      <c r="G2005">
        <v>1.6E-2</v>
      </c>
      <c r="H2005">
        <v>57.55</v>
      </c>
      <c r="I2005" t="s">
        <v>15</v>
      </c>
      <c r="J2005" t="s">
        <v>15</v>
      </c>
      <c r="K2005">
        <v>10.36</v>
      </c>
      <c r="L2005">
        <v>0</v>
      </c>
    </row>
    <row r="2006" spans="1:12" x14ac:dyDescent="0.3">
      <c r="A2006" t="s">
        <v>2022</v>
      </c>
      <c r="B2006" t="s">
        <v>17</v>
      </c>
      <c r="C2006">
        <v>7999</v>
      </c>
      <c r="D2006">
        <v>127.98</v>
      </c>
      <c r="E2006">
        <v>23.04</v>
      </c>
      <c r="F2006">
        <f>COUNTIFS(mdr_rate_cleaned!$A$2:$A$10,B2006,mdr_rate_cleaned!$B$2:$B$10,"&lt;"&amp;C2006,mdr_rate_cleaned!$F$2:$F$10,"&gt;="&amp;C2006)</f>
        <v>1</v>
      </c>
      <c r="G2006">
        <v>1.6E-2</v>
      </c>
      <c r="H2006">
        <v>127.98</v>
      </c>
      <c r="I2006" t="s">
        <v>15</v>
      </c>
      <c r="J2006" t="s">
        <v>15</v>
      </c>
      <c r="K2006">
        <v>23.04</v>
      </c>
      <c r="L2006">
        <v>0</v>
      </c>
    </row>
    <row r="2007" spans="1:12" x14ac:dyDescent="0.3">
      <c r="A2007" t="s">
        <v>2023</v>
      </c>
      <c r="B2007" t="s">
        <v>21</v>
      </c>
      <c r="C2007">
        <v>999</v>
      </c>
      <c r="D2007">
        <v>0</v>
      </c>
      <c r="E2007">
        <v>0</v>
      </c>
      <c r="F2007">
        <f>COUNTIFS(mdr_rate_cleaned!$A$2:$A$10,B2007,mdr_rate_cleaned!$B$2:$B$10,"&lt;"&amp;C2007,mdr_rate_cleaned!$F$2:$F$10,"&gt;="&amp;C2007)</f>
        <v>1</v>
      </c>
      <c r="G2007">
        <v>0</v>
      </c>
      <c r="H2007">
        <v>0</v>
      </c>
      <c r="I2007" t="s">
        <v>15</v>
      </c>
      <c r="J2007" t="s">
        <v>15</v>
      </c>
      <c r="K2007">
        <v>0</v>
      </c>
      <c r="L2007">
        <v>0</v>
      </c>
    </row>
    <row r="2008" spans="1:12" x14ac:dyDescent="0.3">
      <c r="A2008" t="s">
        <v>2024</v>
      </c>
      <c r="B2008" t="s">
        <v>13</v>
      </c>
      <c r="C2008">
        <v>3499</v>
      </c>
      <c r="D2008">
        <v>59.48</v>
      </c>
      <c r="E2008">
        <v>10.71</v>
      </c>
      <c r="F2008">
        <f>COUNTIFS(mdr_rate_cleaned!$A$2:$A$10,B2008,mdr_rate_cleaned!$B$2:$B$10,"&lt;"&amp;C2008,mdr_rate_cleaned!$F$2:$F$10,"&gt;="&amp;C2008)</f>
        <v>1</v>
      </c>
      <c r="G2008">
        <v>1.7000000000000001E-2</v>
      </c>
      <c r="H2008">
        <v>59.48</v>
      </c>
      <c r="I2008" t="s">
        <v>15</v>
      </c>
      <c r="J2008" t="s">
        <v>15</v>
      </c>
      <c r="K2008">
        <v>10.71</v>
      </c>
      <c r="L2008">
        <v>0</v>
      </c>
    </row>
    <row r="2009" spans="1:12" x14ac:dyDescent="0.3">
      <c r="A2009" t="s">
        <v>2025</v>
      </c>
      <c r="B2009" t="s">
        <v>17</v>
      </c>
      <c r="C2009">
        <v>3848</v>
      </c>
      <c r="D2009">
        <v>61.57</v>
      </c>
      <c r="E2009">
        <v>11.08</v>
      </c>
      <c r="F2009">
        <f>COUNTIFS(mdr_rate_cleaned!$A$2:$A$10,B2009,mdr_rate_cleaned!$B$2:$B$10,"&lt;"&amp;C2009,mdr_rate_cleaned!$F$2:$F$10,"&gt;="&amp;C2009)</f>
        <v>1</v>
      </c>
      <c r="G2009">
        <v>1.6E-2</v>
      </c>
      <c r="H2009">
        <v>61.57</v>
      </c>
      <c r="I2009" t="s">
        <v>15</v>
      </c>
      <c r="J2009" t="s">
        <v>15</v>
      </c>
      <c r="K2009">
        <v>11.08</v>
      </c>
      <c r="L2009">
        <v>0</v>
      </c>
    </row>
    <row r="2010" spans="1:12" x14ac:dyDescent="0.3">
      <c r="A2010" t="s">
        <v>2026</v>
      </c>
      <c r="B2010" t="s">
        <v>21</v>
      </c>
      <c r="C2010">
        <v>2999</v>
      </c>
      <c r="D2010">
        <v>9</v>
      </c>
      <c r="E2010">
        <v>1.62</v>
      </c>
      <c r="F2010">
        <f>COUNTIFS(mdr_rate_cleaned!$A$2:$A$10,B2010,mdr_rate_cleaned!$B$2:$B$10,"&lt;"&amp;C2010,mdr_rate_cleaned!$F$2:$F$10,"&gt;="&amp;C2010)</f>
        <v>1</v>
      </c>
      <c r="G2010">
        <v>3.0000000000000001E-3</v>
      </c>
      <c r="H2010">
        <v>9</v>
      </c>
      <c r="I2010" t="s">
        <v>15</v>
      </c>
      <c r="J2010" t="s">
        <v>15</v>
      </c>
      <c r="K2010">
        <v>1.62</v>
      </c>
      <c r="L2010">
        <v>0</v>
      </c>
    </row>
    <row r="2011" spans="1:12" x14ac:dyDescent="0.3">
      <c r="A2011" t="s">
        <v>2027</v>
      </c>
      <c r="B2011" t="s">
        <v>17</v>
      </c>
      <c r="C2011">
        <v>6397</v>
      </c>
      <c r="D2011">
        <v>102.35</v>
      </c>
      <c r="E2011">
        <v>18.420000000000002</v>
      </c>
      <c r="F2011">
        <f>COUNTIFS(mdr_rate_cleaned!$A$2:$A$10,B2011,mdr_rate_cleaned!$B$2:$B$10,"&lt;"&amp;C2011,mdr_rate_cleaned!$F$2:$F$10,"&gt;="&amp;C2011)</f>
        <v>1</v>
      </c>
      <c r="G2011">
        <v>1.6E-2</v>
      </c>
      <c r="H2011">
        <v>102.35</v>
      </c>
      <c r="I2011" t="s">
        <v>15</v>
      </c>
      <c r="J2011" t="s">
        <v>15</v>
      </c>
      <c r="K2011">
        <v>18.420000000000002</v>
      </c>
      <c r="L2011">
        <v>0</v>
      </c>
    </row>
    <row r="2012" spans="1:12" x14ac:dyDescent="0.3">
      <c r="A2012" t="s">
        <v>2028</v>
      </c>
      <c r="B2012" t="s">
        <v>17</v>
      </c>
      <c r="C2012">
        <v>2499</v>
      </c>
      <c r="D2012">
        <v>39.979999999999997</v>
      </c>
      <c r="E2012">
        <v>7.2</v>
      </c>
      <c r="F2012">
        <f>COUNTIFS(mdr_rate_cleaned!$A$2:$A$10,B2012,mdr_rate_cleaned!$B$2:$B$10,"&lt;"&amp;C2012,mdr_rate_cleaned!$F$2:$F$10,"&gt;="&amp;C2012)</f>
        <v>1</v>
      </c>
      <c r="G2012">
        <v>1.6E-2</v>
      </c>
      <c r="H2012">
        <v>39.979999999999997</v>
      </c>
      <c r="I2012" t="s">
        <v>15</v>
      </c>
      <c r="J2012" t="s">
        <v>15</v>
      </c>
      <c r="K2012">
        <v>7.2</v>
      </c>
      <c r="L2012">
        <v>0</v>
      </c>
    </row>
    <row r="2013" spans="1:12" x14ac:dyDescent="0.3">
      <c r="A2013" t="s">
        <v>2029</v>
      </c>
      <c r="B2013" t="s">
        <v>17</v>
      </c>
      <c r="C2013">
        <v>3298</v>
      </c>
      <c r="D2013">
        <v>52.77</v>
      </c>
      <c r="E2013">
        <v>9.5</v>
      </c>
      <c r="F2013">
        <f>COUNTIFS(mdr_rate_cleaned!$A$2:$A$10,B2013,mdr_rate_cleaned!$B$2:$B$10,"&lt;"&amp;C2013,mdr_rate_cleaned!$F$2:$F$10,"&gt;="&amp;C2013)</f>
        <v>1</v>
      </c>
      <c r="G2013">
        <v>1.6E-2</v>
      </c>
      <c r="H2013">
        <v>52.77</v>
      </c>
      <c r="I2013" t="s">
        <v>15</v>
      </c>
      <c r="J2013" t="s">
        <v>15</v>
      </c>
      <c r="K2013">
        <v>9.5</v>
      </c>
      <c r="L2013">
        <v>0</v>
      </c>
    </row>
    <row r="2014" spans="1:12" x14ac:dyDescent="0.3">
      <c r="A2014" t="s">
        <v>2030</v>
      </c>
      <c r="B2014" t="s">
        <v>17</v>
      </c>
      <c r="C2014">
        <v>5097</v>
      </c>
      <c r="D2014">
        <v>81.55</v>
      </c>
      <c r="E2014">
        <v>14.68</v>
      </c>
      <c r="F2014">
        <f>COUNTIFS(mdr_rate_cleaned!$A$2:$A$10,B2014,mdr_rate_cleaned!$B$2:$B$10,"&lt;"&amp;C2014,mdr_rate_cleaned!$F$2:$F$10,"&gt;="&amp;C2014)</f>
        <v>1</v>
      </c>
      <c r="G2014">
        <v>1.6E-2</v>
      </c>
      <c r="H2014">
        <v>81.55</v>
      </c>
      <c r="I2014" t="s">
        <v>15</v>
      </c>
      <c r="J2014" t="s">
        <v>15</v>
      </c>
      <c r="K2014">
        <v>14.68</v>
      </c>
      <c r="L2014">
        <v>0</v>
      </c>
    </row>
    <row r="2015" spans="1:12" x14ac:dyDescent="0.3">
      <c r="A2015" t="s">
        <v>2031</v>
      </c>
      <c r="B2015" t="s">
        <v>21</v>
      </c>
      <c r="C2015">
        <v>349</v>
      </c>
      <c r="D2015">
        <v>0</v>
      </c>
      <c r="E2015">
        <v>0</v>
      </c>
      <c r="F2015">
        <f>COUNTIFS(mdr_rate_cleaned!$A$2:$A$10,B2015,mdr_rate_cleaned!$B$2:$B$10,"&lt;"&amp;C2015,mdr_rate_cleaned!$F$2:$F$10,"&gt;="&amp;C2015)</f>
        <v>1</v>
      </c>
      <c r="G2015">
        <v>0</v>
      </c>
      <c r="H2015">
        <v>0</v>
      </c>
      <c r="I2015" t="s">
        <v>15</v>
      </c>
      <c r="J2015" t="s">
        <v>15</v>
      </c>
      <c r="K2015">
        <v>0</v>
      </c>
      <c r="L2015">
        <v>0</v>
      </c>
    </row>
    <row r="2016" spans="1:12" x14ac:dyDescent="0.3">
      <c r="A2016" t="s">
        <v>2032</v>
      </c>
      <c r="B2016" t="s">
        <v>21</v>
      </c>
      <c r="C2016">
        <v>1499</v>
      </c>
      <c r="D2016">
        <v>0</v>
      </c>
      <c r="E2016">
        <v>0</v>
      </c>
      <c r="F2016">
        <f>COUNTIFS(mdr_rate_cleaned!$A$2:$A$10,B2016,mdr_rate_cleaned!$B$2:$B$10,"&lt;"&amp;C2016,mdr_rate_cleaned!$F$2:$F$10,"&gt;="&amp;C2016)</f>
        <v>1</v>
      </c>
      <c r="G2016">
        <v>0</v>
      </c>
      <c r="H2016">
        <v>0</v>
      </c>
      <c r="I2016" t="s">
        <v>15</v>
      </c>
      <c r="J2016" t="s">
        <v>15</v>
      </c>
      <c r="K2016">
        <v>0</v>
      </c>
      <c r="L2016">
        <v>0</v>
      </c>
    </row>
    <row r="2017" spans="1:12" x14ac:dyDescent="0.3">
      <c r="A2017" t="s">
        <v>2033</v>
      </c>
      <c r="B2017" t="s">
        <v>17</v>
      </c>
      <c r="C2017">
        <v>598</v>
      </c>
      <c r="D2017">
        <v>10.76</v>
      </c>
      <c r="E2017">
        <v>1.94</v>
      </c>
      <c r="F2017">
        <f>COUNTIFS(mdr_rate_cleaned!$A$2:$A$10,B2017,mdr_rate_cleaned!$B$2:$B$10,"&lt;"&amp;C2017,mdr_rate_cleaned!$F$2:$F$10,"&gt;="&amp;C2017)</f>
        <v>1</v>
      </c>
      <c r="G2017">
        <v>1.7999999999999999E-2</v>
      </c>
      <c r="H2017">
        <v>10.76</v>
      </c>
      <c r="I2017" t="s">
        <v>15</v>
      </c>
      <c r="J2017" t="s">
        <v>15</v>
      </c>
      <c r="K2017">
        <v>1.94</v>
      </c>
      <c r="L2017">
        <v>0</v>
      </c>
    </row>
    <row r="2018" spans="1:12" x14ac:dyDescent="0.3">
      <c r="A2018" t="s">
        <v>2034</v>
      </c>
      <c r="B2018" t="s">
        <v>21</v>
      </c>
      <c r="C2018">
        <v>299</v>
      </c>
      <c r="D2018">
        <v>0</v>
      </c>
      <c r="E2018">
        <v>0</v>
      </c>
      <c r="F2018">
        <f>COUNTIFS(mdr_rate_cleaned!$A$2:$A$10,B2018,mdr_rate_cleaned!$B$2:$B$10,"&lt;"&amp;C2018,mdr_rate_cleaned!$F$2:$F$10,"&gt;="&amp;C2018)</f>
        <v>1</v>
      </c>
      <c r="G2018">
        <v>0</v>
      </c>
      <c r="H2018">
        <v>0</v>
      </c>
      <c r="I2018" t="s">
        <v>15</v>
      </c>
      <c r="J2018" t="s">
        <v>15</v>
      </c>
      <c r="K2018">
        <v>0</v>
      </c>
      <c r="L2018">
        <v>0</v>
      </c>
    </row>
    <row r="2019" spans="1:12" x14ac:dyDescent="0.3">
      <c r="A2019" t="s">
        <v>2035</v>
      </c>
      <c r="B2019" t="s">
        <v>17</v>
      </c>
      <c r="C2019">
        <v>2998</v>
      </c>
      <c r="D2019">
        <v>47.97</v>
      </c>
      <c r="E2019">
        <v>8.6300000000000008</v>
      </c>
      <c r="F2019">
        <f>COUNTIFS(mdr_rate_cleaned!$A$2:$A$10,B2019,mdr_rate_cleaned!$B$2:$B$10,"&lt;"&amp;C2019,mdr_rate_cleaned!$F$2:$F$10,"&gt;="&amp;C2019)</f>
        <v>1</v>
      </c>
      <c r="G2019">
        <v>1.6E-2</v>
      </c>
      <c r="H2019">
        <v>47.97</v>
      </c>
      <c r="I2019" t="s">
        <v>15</v>
      </c>
      <c r="J2019" t="s">
        <v>15</v>
      </c>
      <c r="K2019">
        <v>8.6300000000000008</v>
      </c>
      <c r="L2019">
        <v>0</v>
      </c>
    </row>
    <row r="2020" spans="1:12" x14ac:dyDescent="0.3">
      <c r="A2020" t="s">
        <v>2036</v>
      </c>
      <c r="B2020" t="s">
        <v>17</v>
      </c>
      <c r="C2020">
        <v>349</v>
      </c>
      <c r="D2020">
        <v>6.28</v>
      </c>
      <c r="E2020">
        <v>1.1299999999999999</v>
      </c>
      <c r="F2020">
        <f>COUNTIFS(mdr_rate_cleaned!$A$2:$A$10,B2020,mdr_rate_cleaned!$B$2:$B$10,"&lt;"&amp;C2020,mdr_rate_cleaned!$F$2:$F$10,"&gt;="&amp;C2020)</f>
        <v>1</v>
      </c>
      <c r="G2020">
        <v>1.7999999999999999E-2</v>
      </c>
      <c r="H2020">
        <v>6.28</v>
      </c>
      <c r="I2020" t="s">
        <v>15</v>
      </c>
      <c r="J2020" t="s">
        <v>15</v>
      </c>
      <c r="K2020">
        <v>1.1299999999999999</v>
      </c>
      <c r="L2020">
        <v>0</v>
      </c>
    </row>
    <row r="2021" spans="1:12" x14ac:dyDescent="0.3">
      <c r="A2021" t="s">
        <v>2037</v>
      </c>
      <c r="B2021" t="s">
        <v>21</v>
      </c>
      <c r="C2021">
        <v>2498</v>
      </c>
      <c r="D2021">
        <v>7.49</v>
      </c>
      <c r="E2021">
        <v>1.35</v>
      </c>
      <c r="F2021">
        <f>COUNTIFS(mdr_rate_cleaned!$A$2:$A$10,B2021,mdr_rate_cleaned!$B$2:$B$10,"&lt;"&amp;C2021,mdr_rate_cleaned!$F$2:$F$10,"&gt;="&amp;C2021)</f>
        <v>1</v>
      </c>
      <c r="G2021">
        <v>3.0000000000000001E-3</v>
      </c>
      <c r="H2021">
        <v>7.49</v>
      </c>
      <c r="I2021" t="s">
        <v>15</v>
      </c>
      <c r="J2021" t="s">
        <v>15</v>
      </c>
      <c r="K2021">
        <v>1.35</v>
      </c>
      <c r="L2021">
        <v>0</v>
      </c>
    </row>
    <row r="2022" spans="1:12" x14ac:dyDescent="0.3">
      <c r="A2022" t="s">
        <v>2038</v>
      </c>
      <c r="B2022" t="s">
        <v>21</v>
      </c>
      <c r="C2022">
        <v>349</v>
      </c>
      <c r="D2022">
        <v>0</v>
      </c>
      <c r="E2022">
        <v>0</v>
      </c>
      <c r="F2022">
        <f>COUNTIFS(mdr_rate_cleaned!$A$2:$A$10,B2022,mdr_rate_cleaned!$B$2:$B$10,"&lt;"&amp;C2022,mdr_rate_cleaned!$F$2:$F$10,"&gt;="&amp;C2022)</f>
        <v>1</v>
      </c>
      <c r="G2022">
        <v>0</v>
      </c>
      <c r="H2022">
        <v>0</v>
      </c>
      <c r="I2022" t="s">
        <v>15</v>
      </c>
      <c r="J2022" t="s">
        <v>15</v>
      </c>
      <c r="K2022">
        <v>0</v>
      </c>
      <c r="L2022">
        <v>0</v>
      </c>
    </row>
    <row r="2023" spans="1:12" x14ac:dyDescent="0.3">
      <c r="A2023" t="s">
        <v>2039</v>
      </c>
      <c r="B2023" t="s">
        <v>13</v>
      </c>
      <c r="C2023">
        <v>2999</v>
      </c>
      <c r="D2023">
        <v>50.98</v>
      </c>
      <c r="E2023">
        <v>9.18</v>
      </c>
      <c r="F2023">
        <f>COUNTIFS(mdr_rate_cleaned!$A$2:$A$10,B2023,mdr_rate_cleaned!$B$2:$B$10,"&lt;"&amp;C2023,mdr_rate_cleaned!$F$2:$F$10,"&gt;="&amp;C2023)</f>
        <v>1</v>
      </c>
      <c r="G2023">
        <v>1.7000000000000001E-2</v>
      </c>
      <c r="H2023">
        <v>50.98</v>
      </c>
      <c r="I2023" t="s">
        <v>15</v>
      </c>
      <c r="J2023" t="s">
        <v>15</v>
      </c>
      <c r="K2023">
        <v>9.18</v>
      </c>
      <c r="L2023">
        <v>0</v>
      </c>
    </row>
    <row r="2024" spans="1:12" x14ac:dyDescent="0.3">
      <c r="A2024" t="s">
        <v>2040</v>
      </c>
      <c r="B2024" t="s">
        <v>21</v>
      </c>
      <c r="C2024">
        <v>4298</v>
      </c>
      <c r="D2024">
        <v>12.89</v>
      </c>
      <c r="E2024">
        <v>2.3199999999999998</v>
      </c>
      <c r="F2024">
        <f>COUNTIFS(mdr_rate_cleaned!$A$2:$A$10,B2024,mdr_rate_cleaned!$B$2:$B$10,"&lt;"&amp;C2024,mdr_rate_cleaned!$F$2:$F$10,"&gt;="&amp;C2024)</f>
        <v>1</v>
      </c>
      <c r="G2024">
        <v>3.0000000000000001E-3</v>
      </c>
      <c r="H2024">
        <v>12.89</v>
      </c>
      <c r="I2024" t="s">
        <v>15</v>
      </c>
      <c r="J2024" t="s">
        <v>15</v>
      </c>
      <c r="K2024">
        <v>2.3199999999999998</v>
      </c>
      <c r="L2024">
        <v>0</v>
      </c>
    </row>
    <row r="2025" spans="1:12" x14ac:dyDescent="0.3">
      <c r="A2025" t="s">
        <v>2041</v>
      </c>
      <c r="B2025" t="s">
        <v>13</v>
      </c>
      <c r="C2025">
        <v>3598</v>
      </c>
      <c r="D2025">
        <v>61.17</v>
      </c>
      <c r="E2025">
        <v>11.01</v>
      </c>
      <c r="F2025">
        <f>COUNTIFS(mdr_rate_cleaned!$A$2:$A$10,B2025,mdr_rate_cleaned!$B$2:$B$10,"&lt;"&amp;C2025,mdr_rate_cleaned!$F$2:$F$10,"&gt;="&amp;C2025)</f>
        <v>1</v>
      </c>
      <c r="G2025">
        <v>1.7000000000000001E-2</v>
      </c>
      <c r="H2025">
        <v>61.17</v>
      </c>
      <c r="I2025" t="s">
        <v>15</v>
      </c>
      <c r="J2025" t="s">
        <v>15</v>
      </c>
      <c r="K2025">
        <v>11.01</v>
      </c>
      <c r="L2025">
        <v>0</v>
      </c>
    </row>
    <row r="2026" spans="1:12" x14ac:dyDescent="0.3">
      <c r="A2026" t="s">
        <v>2042</v>
      </c>
      <c r="B2026" t="s">
        <v>17</v>
      </c>
      <c r="C2026">
        <v>1098</v>
      </c>
      <c r="D2026">
        <v>19.760000000000002</v>
      </c>
      <c r="E2026">
        <v>3.56</v>
      </c>
      <c r="F2026">
        <f>COUNTIFS(mdr_rate_cleaned!$A$2:$A$10,B2026,mdr_rate_cleaned!$B$2:$B$10,"&lt;"&amp;C2026,mdr_rate_cleaned!$F$2:$F$10,"&gt;="&amp;C2026)</f>
        <v>1</v>
      </c>
      <c r="G2026">
        <v>1.7999999999999999E-2</v>
      </c>
      <c r="H2026">
        <v>19.760000000000002</v>
      </c>
      <c r="I2026" t="s">
        <v>15</v>
      </c>
      <c r="J2026" t="s">
        <v>15</v>
      </c>
      <c r="K2026">
        <v>3.56</v>
      </c>
      <c r="L2026">
        <v>0</v>
      </c>
    </row>
    <row r="2027" spans="1:12" x14ac:dyDescent="0.3">
      <c r="A2027" t="s">
        <v>2043</v>
      </c>
      <c r="B2027" t="s">
        <v>21</v>
      </c>
      <c r="C2027">
        <v>299</v>
      </c>
      <c r="D2027">
        <v>0</v>
      </c>
      <c r="E2027">
        <v>0</v>
      </c>
      <c r="F2027">
        <f>COUNTIFS(mdr_rate_cleaned!$A$2:$A$10,B2027,mdr_rate_cleaned!$B$2:$B$10,"&lt;"&amp;C2027,mdr_rate_cleaned!$F$2:$F$10,"&gt;="&amp;C2027)</f>
        <v>1</v>
      </c>
      <c r="G2027">
        <v>0</v>
      </c>
      <c r="H2027">
        <v>0</v>
      </c>
      <c r="I2027" t="s">
        <v>15</v>
      </c>
      <c r="J2027" t="s">
        <v>15</v>
      </c>
      <c r="K2027">
        <v>0</v>
      </c>
      <c r="L2027">
        <v>0</v>
      </c>
    </row>
    <row r="2028" spans="1:12" x14ac:dyDescent="0.3">
      <c r="A2028" t="s">
        <v>2044</v>
      </c>
      <c r="B2028" t="s">
        <v>17</v>
      </c>
      <c r="C2028">
        <v>5497</v>
      </c>
      <c r="D2028">
        <v>87.95</v>
      </c>
      <c r="E2028">
        <v>15.83</v>
      </c>
      <c r="F2028">
        <f>COUNTIFS(mdr_rate_cleaned!$A$2:$A$10,B2028,mdr_rate_cleaned!$B$2:$B$10,"&lt;"&amp;C2028,mdr_rate_cleaned!$F$2:$F$10,"&gt;="&amp;C2028)</f>
        <v>1</v>
      </c>
      <c r="G2028">
        <v>1.6E-2</v>
      </c>
      <c r="H2028">
        <v>87.95</v>
      </c>
      <c r="I2028" t="s">
        <v>15</v>
      </c>
      <c r="J2028" t="s">
        <v>15</v>
      </c>
      <c r="K2028">
        <v>15.83</v>
      </c>
      <c r="L2028">
        <v>0</v>
      </c>
    </row>
    <row r="2029" spans="1:12" x14ac:dyDescent="0.3">
      <c r="A2029" t="s">
        <v>2045</v>
      </c>
      <c r="B2029" t="s">
        <v>21</v>
      </c>
      <c r="C2029">
        <v>3798</v>
      </c>
      <c r="D2029">
        <v>11.39</v>
      </c>
      <c r="E2029">
        <v>2.0499999999999998</v>
      </c>
      <c r="F2029">
        <f>COUNTIFS(mdr_rate_cleaned!$A$2:$A$10,B2029,mdr_rate_cleaned!$B$2:$B$10,"&lt;"&amp;C2029,mdr_rate_cleaned!$F$2:$F$10,"&gt;="&amp;C2029)</f>
        <v>1</v>
      </c>
      <c r="G2029">
        <v>3.0000000000000001E-3</v>
      </c>
      <c r="H2029">
        <v>11.39</v>
      </c>
      <c r="I2029" t="s">
        <v>15</v>
      </c>
      <c r="J2029" t="s">
        <v>15</v>
      </c>
      <c r="K2029">
        <v>2.0499999999999998</v>
      </c>
      <c r="L2029">
        <v>0</v>
      </c>
    </row>
    <row r="2030" spans="1:12" x14ac:dyDescent="0.3">
      <c r="A2030" t="s">
        <v>2046</v>
      </c>
      <c r="B2030" t="s">
        <v>21</v>
      </c>
      <c r="C2030">
        <v>9847</v>
      </c>
      <c r="D2030">
        <v>29.54</v>
      </c>
      <c r="E2030">
        <v>5.32</v>
      </c>
      <c r="F2030">
        <f>COUNTIFS(mdr_rate_cleaned!$A$2:$A$10,B2030,mdr_rate_cleaned!$B$2:$B$10,"&lt;"&amp;C2030,mdr_rate_cleaned!$F$2:$F$10,"&gt;="&amp;C2030)</f>
        <v>1</v>
      </c>
      <c r="G2030">
        <v>3.0000000000000001E-3</v>
      </c>
      <c r="H2030">
        <v>29.54</v>
      </c>
      <c r="I2030" t="s">
        <v>15</v>
      </c>
      <c r="J2030" t="s">
        <v>15</v>
      </c>
      <c r="K2030">
        <v>5.32</v>
      </c>
      <c r="L2030">
        <v>0</v>
      </c>
    </row>
    <row r="2031" spans="1:12" x14ac:dyDescent="0.3">
      <c r="A2031" t="s">
        <v>2047</v>
      </c>
      <c r="B2031" t="s">
        <v>39</v>
      </c>
      <c r="C2031">
        <v>1299</v>
      </c>
      <c r="D2031">
        <v>19.489999999999998</v>
      </c>
      <c r="E2031">
        <v>3.51</v>
      </c>
      <c r="F2031">
        <f>COUNTIFS(mdr_rate_cleaned!$A$2:$A$10,B2031,mdr_rate_cleaned!$B$2:$B$10,"&lt;"&amp;C2031,mdr_rate_cleaned!$F$2:$F$10,"&gt;="&amp;C2031)</f>
        <v>1</v>
      </c>
      <c r="G2031">
        <v>1.4999999999999999E-2</v>
      </c>
      <c r="H2031">
        <v>19.489999999999998</v>
      </c>
      <c r="I2031" t="s">
        <v>15</v>
      </c>
      <c r="J2031" t="s">
        <v>15</v>
      </c>
      <c r="K2031">
        <v>3.51</v>
      </c>
      <c r="L2031">
        <v>0</v>
      </c>
    </row>
    <row r="2032" spans="1:12" x14ac:dyDescent="0.3">
      <c r="A2032" t="s">
        <v>2048</v>
      </c>
      <c r="B2032" t="s">
        <v>17</v>
      </c>
      <c r="C2032">
        <v>2998</v>
      </c>
      <c r="D2032">
        <v>47.97</v>
      </c>
      <c r="E2032">
        <v>8.6300000000000008</v>
      </c>
      <c r="F2032">
        <f>COUNTIFS(mdr_rate_cleaned!$A$2:$A$10,B2032,mdr_rate_cleaned!$B$2:$B$10,"&lt;"&amp;C2032,mdr_rate_cleaned!$F$2:$F$10,"&gt;="&amp;C2032)</f>
        <v>1</v>
      </c>
      <c r="G2032">
        <v>1.6E-2</v>
      </c>
      <c r="H2032">
        <v>47.97</v>
      </c>
      <c r="I2032" t="s">
        <v>15</v>
      </c>
      <c r="J2032" t="s">
        <v>15</v>
      </c>
      <c r="K2032">
        <v>8.6300000000000008</v>
      </c>
      <c r="L2032">
        <v>0</v>
      </c>
    </row>
    <row r="2033" spans="1:12" x14ac:dyDescent="0.3">
      <c r="A2033" t="s">
        <v>2049</v>
      </c>
      <c r="B2033" t="s">
        <v>21</v>
      </c>
      <c r="C2033">
        <v>3298</v>
      </c>
      <c r="D2033">
        <v>9.89</v>
      </c>
      <c r="E2033">
        <v>1.78</v>
      </c>
      <c r="F2033">
        <f>COUNTIFS(mdr_rate_cleaned!$A$2:$A$10,B2033,mdr_rate_cleaned!$B$2:$B$10,"&lt;"&amp;C2033,mdr_rate_cleaned!$F$2:$F$10,"&gt;="&amp;C2033)</f>
        <v>1</v>
      </c>
      <c r="G2033">
        <v>3.0000000000000001E-3</v>
      </c>
      <c r="H2033">
        <v>9.89</v>
      </c>
      <c r="I2033" t="s">
        <v>15</v>
      </c>
      <c r="J2033" t="s">
        <v>15</v>
      </c>
      <c r="K2033">
        <v>1.78</v>
      </c>
      <c r="L2033">
        <v>0</v>
      </c>
    </row>
    <row r="2034" spans="1:12" x14ac:dyDescent="0.3">
      <c r="A2034" t="s">
        <v>2050</v>
      </c>
      <c r="B2034" t="s">
        <v>21</v>
      </c>
      <c r="C2034">
        <v>2998</v>
      </c>
      <c r="D2034">
        <v>8.99</v>
      </c>
      <c r="E2034">
        <v>1.62</v>
      </c>
      <c r="F2034">
        <f>COUNTIFS(mdr_rate_cleaned!$A$2:$A$10,B2034,mdr_rate_cleaned!$B$2:$B$10,"&lt;"&amp;C2034,mdr_rate_cleaned!$F$2:$F$10,"&gt;="&amp;C2034)</f>
        <v>1</v>
      </c>
      <c r="G2034">
        <v>3.0000000000000001E-3</v>
      </c>
      <c r="H2034">
        <v>8.99</v>
      </c>
      <c r="I2034" t="s">
        <v>15</v>
      </c>
      <c r="J2034" t="s">
        <v>15</v>
      </c>
      <c r="K2034">
        <v>1.62</v>
      </c>
      <c r="L2034">
        <v>0</v>
      </c>
    </row>
    <row r="2035" spans="1:12" x14ac:dyDescent="0.3">
      <c r="A2035" t="s">
        <v>2051</v>
      </c>
      <c r="B2035" t="s">
        <v>13</v>
      </c>
      <c r="C2035">
        <v>3498</v>
      </c>
      <c r="D2035">
        <v>59.47</v>
      </c>
      <c r="E2035">
        <v>10.7</v>
      </c>
      <c r="F2035">
        <f>COUNTIFS(mdr_rate_cleaned!$A$2:$A$10,B2035,mdr_rate_cleaned!$B$2:$B$10,"&lt;"&amp;C2035,mdr_rate_cleaned!$F$2:$F$10,"&gt;="&amp;C2035)</f>
        <v>1</v>
      </c>
      <c r="G2035">
        <v>1.7000000000000001E-2</v>
      </c>
      <c r="H2035">
        <v>59.47</v>
      </c>
      <c r="I2035" t="s">
        <v>15</v>
      </c>
      <c r="J2035" t="s">
        <v>15</v>
      </c>
      <c r="K2035">
        <v>10.7</v>
      </c>
      <c r="L2035">
        <v>0</v>
      </c>
    </row>
    <row r="2036" spans="1:12" x14ac:dyDescent="0.3">
      <c r="A2036" t="s">
        <v>2052</v>
      </c>
      <c r="B2036" t="s">
        <v>21</v>
      </c>
      <c r="C2036">
        <v>1799</v>
      </c>
      <c r="D2036">
        <v>0</v>
      </c>
      <c r="E2036">
        <v>0</v>
      </c>
      <c r="F2036">
        <f>COUNTIFS(mdr_rate_cleaned!$A$2:$A$10,B2036,mdr_rate_cleaned!$B$2:$B$10,"&lt;"&amp;C2036,mdr_rate_cleaned!$F$2:$F$10,"&gt;="&amp;C2036)</f>
        <v>1</v>
      </c>
      <c r="G2036">
        <v>0</v>
      </c>
      <c r="H2036">
        <v>0</v>
      </c>
      <c r="I2036" t="s">
        <v>15</v>
      </c>
      <c r="J2036" t="s">
        <v>15</v>
      </c>
      <c r="K2036">
        <v>0</v>
      </c>
      <c r="L2036">
        <v>0</v>
      </c>
    </row>
    <row r="2037" spans="1:12" x14ac:dyDescent="0.3">
      <c r="A2037" t="s">
        <v>2053</v>
      </c>
      <c r="B2037" t="s">
        <v>21</v>
      </c>
      <c r="C2037">
        <v>1499</v>
      </c>
      <c r="D2037">
        <v>0</v>
      </c>
      <c r="E2037">
        <v>0</v>
      </c>
      <c r="F2037">
        <f>COUNTIFS(mdr_rate_cleaned!$A$2:$A$10,B2037,mdr_rate_cleaned!$B$2:$B$10,"&lt;"&amp;C2037,mdr_rate_cleaned!$F$2:$F$10,"&gt;="&amp;C2037)</f>
        <v>1</v>
      </c>
      <c r="G2037">
        <v>0</v>
      </c>
      <c r="H2037">
        <v>0</v>
      </c>
      <c r="I2037" t="s">
        <v>15</v>
      </c>
      <c r="J2037" t="s">
        <v>15</v>
      </c>
      <c r="K2037">
        <v>0</v>
      </c>
      <c r="L2037">
        <v>0</v>
      </c>
    </row>
    <row r="2038" spans="1:12" x14ac:dyDescent="0.3">
      <c r="A2038" t="s">
        <v>2054</v>
      </c>
      <c r="B2038" t="s">
        <v>17</v>
      </c>
      <c r="C2038">
        <v>1298</v>
      </c>
      <c r="D2038">
        <v>23.36</v>
      </c>
      <c r="E2038">
        <v>4.2</v>
      </c>
      <c r="F2038">
        <f>COUNTIFS(mdr_rate_cleaned!$A$2:$A$10,B2038,mdr_rate_cleaned!$B$2:$B$10,"&lt;"&amp;C2038,mdr_rate_cleaned!$F$2:$F$10,"&gt;="&amp;C2038)</f>
        <v>1</v>
      </c>
      <c r="G2038">
        <v>1.7999999999999999E-2</v>
      </c>
      <c r="H2038">
        <v>23.36</v>
      </c>
      <c r="I2038" t="s">
        <v>15</v>
      </c>
      <c r="J2038" t="s">
        <v>15</v>
      </c>
      <c r="K2038">
        <v>4.2</v>
      </c>
      <c r="L2038">
        <v>0</v>
      </c>
    </row>
    <row r="2039" spans="1:12" x14ac:dyDescent="0.3">
      <c r="A2039" t="s">
        <v>2055</v>
      </c>
      <c r="B2039" t="s">
        <v>39</v>
      </c>
      <c r="C2039">
        <v>1299</v>
      </c>
      <c r="D2039">
        <v>19.489999999999998</v>
      </c>
      <c r="E2039">
        <v>3.51</v>
      </c>
      <c r="F2039">
        <f>COUNTIFS(mdr_rate_cleaned!$A$2:$A$10,B2039,mdr_rate_cleaned!$B$2:$B$10,"&lt;"&amp;C2039,mdr_rate_cleaned!$F$2:$F$10,"&gt;="&amp;C2039)</f>
        <v>1</v>
      </c>
      <c r="G2039">
        <v>1.4999999999999999E-2</v>
      </c>
      <c r="H2039">
        <v>19.489999999999998</v>
      </c>
      <c r="I2039" t="s">
        <v>15</v>
      </c>
      <c r="J2039" t="s">
        <v>15</v>
      </c>
      <c r="K2039">
        <v>3.51</v>
      </c>
      <c r="L2039">
        <v>0</v>
      </c>
    </row>
    <row r="2040" spans="1:12" x14ac:dyDescent="0.3">
      <c r="A2040" t="s">
        <v>2056</v>
      </c>
      <c r="B2040" t="s">
        <v>17</v>
      </c>
      <c r="C2040">
        <v>5847</v>
      </c>
      <c r="D2040">
        <v>93.55</v>
      </c>
      <c r="E2040">
        <v>16.84</v>
      </c>
      <c r="F2040">
        <f>COUNTIFS(mdr_rate_cleaned!$A$2:$A$10,B2040,mdr_rate_cleaned!$B$2:$B$10,"&lt;"&amp;C2040,mdr_rate_cleaned!$F$2:$F$10,"&gt;="&amp;C2040)</f>
        <v>1</v>
      </c>
      <c r="G2040">
        <v>1.6E-2</v>
      </c>
      <c r="H2040">
        <v>93.55</v>
      </c>
      <c r="I2040" t="s">
        <v>15</v>
      </c>
      <c r="J2040" t="s">
        <v>15</v>
      </c>
      <c r="K2040">
        <v>16.84</v>
      </c>
      <c r="L2040">
        <v>0</v>
      </c>
    </row>
    <row r="2041" spans="1:12" x14ac:dyDescent="0.3">
      <c r="A2041" t="s">
        <v>2057</v>
      </c>
      <c r="B2041" t="s">
        <v>21</v>
      </c>
      <c r="C2041">
        <v>2597</v>
      </c>
      <c r="D2041">
        <v>7.79</v>
      </c>
      <c r="E2041">
        <v>1.4</v>
      </c>
      <c r="F2041">
        <f>COUNTIFS(mdr_rate_cleaned!$A$2:$A$10,B2041,mdr_rate_cleaned!$B$2:$B$10,"&lt;"&amp;C2041,mdr_rate_cleaned!$F$2:$F$10,"&gt;="&amp;C2041)</f>
        <v>1</v>
      </c>
      <c r="G2041">
        <v>3.0000000000000001E-3</v>
      </c>
      <c r="H2041">
        <v>7.79</v>
      </c>
      <c r="I2041" t="s">
        <v>15</v>
      </c>
      <c r="J2041" t="s">
        <v>15</v>
      </c>
      <c r="K2041">
        <v>1.4</v>
      </c>
      <c r="L2041">
        <v>0</v>
      </c>
    </row>
    <row r="2042" spans="1:12" x14ac:dyDescent="0.3">
      <c r="A2042" t="s">
        <v>2058</v>
      </c>
      <c r="B2042" t="s">
        <v>21</v>
      </c>
      <c r="C2042">
        <v>1499</v>
      </c>
      <c r="D2042">
        <v>0</v>
      </c>
      <c r="E2042">
        <v>0</v>
      </c>
      <c r="F2042">
        <f>COUNTIFS(mdr_rate_cleaned!$A$2:$A$10,B2042,mdr_rate_cleaned!$B$2:$B$10,"&lt;"&amp;C2042,mdr_rate_cleaned!$F$2:$F$10,"&gt;="&amp;C2042)</f>
        <v>1</v>
      </c>
      <c r="G2042">
        <v>0</v>
      </c>
      <c r="H2042">
        <v>0</v>
      </c>
      <c r="I2042" t="s">
        <v>15</v>
      </c>
      <c r="J2042" t="s">
        <v>15</v>
      </c>
      <c r="K2042">
        <v>0</v>
      </c>
      <c r="L2042">
        <v>0</v>
      </c>
    </row>
    <row r="2043" spans="1:12" x14ac:dyDescent="0.3">
      <c r="A2043" t="s">
        <v>2059</v>
      </c>
      <c r="B2043" t="s">
        <v>17</v>
      </c>
      <c r="C2043">
        <v>2848</v>
      </c>
      <c r="D2043">
        <v>45.57</v>
      </c>
      <c r="E2043">
        <v>8.1999999999999993</v>
      </c>
      <c r="F2043">
        <f>COUNTIFS(mdr_rate_cleaned!$A$2:$A$10,B2043,mdr_rate_cleaned!$B$2:$B$10,"&lt;"&amp;C2043,mdr_rate_cleaned!$F$2:$F$10,"&gt;="&amp;C2043)</f>
        <v>1</v>
      </c>
      <c r="G2043">
        <v>1.6E-2</v>
      </c>
      <c r="H2043">
        <v>45.57</v>
      </c>
      <c r="I2043" t="s">
        <v>15</v>
      </c>
      <c r="J2043" t="s">
        <v>15</v>
      </c>
      <c r="K2043">
        <v>8.1999999999999993</v>
      </c>
      <c r="L2043">
        <v>0</v>
      </c>
    </row>
    <row r="2044" spans="1:12" x14ac:dyDescent="0.3">
      <c r="A2044" t="s">
        <v>2060</v>
      </c>
      <c r="B2044" t="s">
        <v>21</v>
      </c>
      <c r="C2044">
        <v>299</v>
      </c>
      <c r="D2044">
        <v>0</v>
      </c>
      <c r="E2044">
        <v>0</v>
      </c>
      <c r="F2044">
        <f>COUNTIFS(mdr_rate_cleaned!$A$2:$A$10,B2044,mdr_rate_cleaned!$B$2:$B$10,"&lt;"&amp;C2044,mdr_rate_cleaned!$F$2:$F$10,"&gt;="&amp;C2044)</f>
        <v>1</v>
      </c>
      <c r="G2044">
        <v>0</v>
      </c>
      <c r="H2044">
        <v>0</v>
      </c>
      <c r="I2044" t="s">
        <v>15</v>
      </c>
      <c r="J2044" t="s">
        <v>15</v>
      </c>
      <c r="K2044">
        <v>0</v>
      </c>
      <c r="L2044">
        <v>0</v>
      </c>
    </row>
    <row r="2045" spans="1:12" x14ac:dyDescent="0.3">
      <c r="A2045" t="s">
        <v>2061</v>
      </c>
      <c r="B2045" t="s">
        <v>17</v>
      </c>
      <c r="C2045">
        <v>499</v>
      </c>
      <c r="D2045">
        <v>8.98</v>
      </c>
      <c r="E2045">
        <v>1.62</v>
      </c>
      <c r="F2045">
        <f>COUNTIFS(mdr_rate_cleaned!$A$2:$A$10,B2045,mdr_rate_cleaned!$B$2:$B$10,"&lt;"&amp;C2045,mdr_rate_cleaned!$F$2:$F$10,"&gt;="&amp;C2045)</f>
        <v>1</v>
      </c>
      <c r="G2045">
        <v>1.7999999999999999E-2</v>
      </c>
      <c r="H2045">
        <v>8.98</v>
      </c>
      <c r="I2045" t="s">
        <v>15</v>
      </c>
      <c r="J2045" t="s">
        <v>15</v>
      </c>
      <c r="K2045">
        <v>1.62</v>
      </c>
      <c r="L2045">
        <v>0</v>
      </c>
    </row>
    <row r="2046" spans="1:12" x14ac:dyDescent="0.3">
      <c r="A2046" t="s">
        <v>2062</v>
      </c>
      <c r="B2046" t="s">
        <v>21</v>
      </c>
      <c r="C2046">
        <v>599</v>
      </c>
      <c r="D2046">
        <v>0</v>
      </c>
      <c r="E2046">
        <v>0</v>
      </c>
      <c r="F2046">
        <f>COUNTIFS(mdr_rate_cleaned!$A$2:$A$10,B2046,mdr_rate_cleaned!$B$2:$B$10,"&lt;"&amp;C2046,mdr_rate_cleaned!$F$2:$F$10,"&gt;="&amp;C2046)</f>
        <v>1</v>
      </c>
      <c r="G2046">
        <v>0</v>
      </c>
      <c r="H2046">
        <v>0</v>
      </c>
      <c r="I2046" t="s">
        <v>15</v>
      </c>
      <c r="J2046" t="s">
        <v>15</v>
      </c>
      <c r="K2046">
        <v>0</v>
      </c>
      <c r="L2046">
        <v>0</v>
      </c>
    </row>
    <row r="2047" spans="1:12" x14ac:dyDescent="0.3">
      <c r="A2047" t="s">
        <v>2063</v>
      </c>
      <c r="B2047" t="s">
        <v>21</v>
      </c>
      <c r="C2047">
        <v>5298</v>
      </c>
      <c r="D2047">
        <v>15.89</v>
      </c>
      <c r="E2047">
        <v>2.86</v>
      </c>
      <c r="F2047">
        <f>COUNTIFS(mdr_rate_cleaned!$A$2:$A$10,B2047,mdr_rate_cleaned!$B$2:$B$10,"&lt;"&amp;C2047,mdr_rate_cleaned!$F$2:$F$10,"&gt;="&amp;C2047)</f>
        <v>1</v>
      </c>
      <c r="G2047">
        <v>3.0000000000000001E-3</v>
      </c>
      <c r="H2047">
        <v>15.89</v>
      </c>
      <c r="I2047" t="s">
        <v>15</v>
      </c>
      <c r="J2047" t="s">
        <v>15</v>
      </c>
      <c r="K2047">
        <v>2.86</v>
      </c>
      <c r="L2047">
        <v>0</v>
      </c>
    </row>
    <row r="2048" spans="1:12" x14ac:dyDescent="0.3">
      <c r="A2048" t="s">
        <v>2064</v>
      </c>
      <c r="B2048" t="s">
        <v>21</v>
      </c>
      <c r="C2048">
        <v>2798</v>
      </c>
      <c r="D2048">
        <v>8.39</v>
      </c>
      <c r="E2048">
        <v>1.51</v>
      </c>
      <c r="F2048">
        <f>COUNTIFS(mdr_rate_cleaned!$A$2:$A$10,B2048,mdr_rate_cleaned!$B$2:$B$10,"&lt;"&amp;C2048,mdr_rate_cleaned!$F$2:$F$10,"&gt;="&amp;C2048)</f>
        <v>1</v>
      </c>
      <c r="G2048">
        <v>3.0000000000000001E-3</v>
      </c>
      <c r="H2048">
        <v>8.39</v>
      </c>
      <c r="I2048" t="s">
        <v>15</v>
      </c>
      <c r="J2048" t="s">
        <v>15</v>
      </c>
      <c r="K2048">
        <v>1.51</v>
      </c>
      <c r="L2048">
        <v>0</v>
      </c>
    </row>
    <row r="2049" spans="1:12" x14ac:dyDescent="0.3">
      <c r="A2049" t="s">
        <v>2065</v>
      </c>
      <c r="B2049" t="s">
        <v>21</v>
      </c>
      <c r="C2049">
        <v>499</v>
      </c>
      <c r="D2049">
        <v>1.5</v>
      </c>
      <c r="E2049">
        <v>0.27</v>
      </c>
      <c r="F2049">
        <f>COUNTIFS(mdr_rate_cleaned!$A$2:$A$10,B2049,mdr_rate_cleaned!$B$2:$B$10,"&lt;"&amp;C2049,mdr_rate_cleaned!$F$2:$F$10,"&gt;="&amp;C2049)</f>
        <v>1</v>
      </c>
      <c r="G2049">
        <v>0</v>
      </c>
      <c r="H2049">
        <v>0</v>
      </c>
      <c r="I2049" t="s">
        <v>14</v>
      </c>
      <c r="J2049" t="s">
        <v>15</v>
      </c>
      <c r="K2049">
        <v>0</v>
      </c>
      <c r="L2049">
        <v>1.77</v>
      </c>
    </row>
    <row r="2050" spans="1:12" x14ac:dyDescent="0.3">
      <c r="A2050" t="s">
        <v>2066</v>
      </c>
      <c r="B2050" t="s">
        <v>21</v>
      </c>
      <c r="C2050">
        <v>8998</v>
      </c>
      <c r="D2050">
        <v>26.99</v>
      </c>
      <c r="E2050">
        <v>4.8600000000000003</v>
      </c>
      <c r="F2050">
        <f>COUNTIFS(mdr_rate_cleaned!$A$2:$A$10,B2050,mdr_rate_cleaned!$B$2:$B$10,"&lt;"&amp;C2050,mdr_rate_cleaned!$F$2:$F$10,"&gt;="&amp;C2050)</f>
        <v>1</v>
      </c>
      <c r="G2050">
        <v>3.0000000000000001E-3</v>
      </c>
      <c r="H2050">
        <v>26.99</v>
      </c>
      <c r="I2050" t="s">
        <v>15</v>
      </c>
      <c r="J2050" t="s">
        <v>15</v>
      </c>
      <c r="K2050">
        <v>4.8600000000000003</v>
      </c>
      <c r="L2050">
        <v>0</v>
      </c>
    </row>
    <row r="2051" spans="1:12" x14ac:dyDescent="0.3">
      <c r="A2051" t="s">
        <v>2067</v>
      </c>
      <c r="B2051" t="s">
        <v>21</v>
      </c>
      <c r="C2051">
        <v>2098</v>
      </c>
      <c r="D2051">
        <v>6.29</v>
      </c>
      <c r="E2051">
        <v>1.1299999999999999</v>
      </c>
      <c r="F2051">
        <f>COUNTIFS(mdr_rate_cleaned!$A$2:$A$10,B2051,mdr_rate_cleaned!$B$2:$B$10,"&lt;"&amp;C2051,mdr_rate_cleaned!$F$2:$F$10,"&gt;="&amp;C2051)</f>
        <v>1</v>
      </c>
      <c r="G2051">
        <v>3.0000000000000001E-3</v>
      </c>
      <c r="H2051">
        <v>6.29</v>
      </c>
      <c r="I2051" t="s">
        <v>15</v>
      </c>
      <c r="J2051" t="s">
        <v>15</v>
      </c>
      <c r="K2051">
        <v>1.1299999999999999</v>
      </c>
      <c r="L2051">
        <v>0</v>
      </c>
    </row>
    <row r="2052" spans="1:12" x14ac:dyDescent="0.3">
      <c r="A2052" t="s">
        <v>2068</v>
      </c>
      <c r="B2052" t="s">
        <v>21</v>
      </c>
      <c r="C2052">
        <v>1799</v>
      </c>
      <c r="D2052">
        <v>0</v>
      </c>
      <c r="E2052">
        <v>0</v>
      </c>
      <c r="F2052">
        <f>COUNTIFS(mdr_rate_cleaned!$A$2:$A$10,B2052,mdr_rate_cleaned!$B$2:$B$10,"&lt;"&amp;C2052,mdr_rate_cleaned!$F$2:$F$10,"&gt;="&amp;C2052)</f>
        <v>1</v>
      </c>
      <c r="G2052">
        <v>0</v>
      </c>
      <c r="H2052">
        <v>0</v>
      </c>
      <c r="I2052" t="s">
        <v>15</v>
      </c>
      <c r="J2052" t="s">
        <v>15</v>
      </c>
      <c r="K2052">
        <v>0</v>
      </c>
      <c r="L2052">
        <v>0</v>
      </c>
    </row>
    <row r="2053" spans="1:12" x14ac:dyDescent="0.3">
      <c r="A2053" t="s">
        <v>2069</v>
      </c>
      <c r="B2053" t="s">
        <v>17</v>
      </c>
      <c r="C2053">
        <v>999</v>
      </c>
      <c r="D2053">
        <v>17.98</v>
      </c>
      <c r="E2053">
        <v>3.24</v>
      </c>
      <c r="F2053">
        <f>COUNTIFS(mdr_rate_cleaned!$A$2:$A$10,B2053,mdr_rate_cleaned!$B$2:$B$10,"&lt;"&amp;C2053,mdr_rate_cleaned!$F$2:$F$10,"&gt;="&amp;C2053)</f>
        <v>1</v>
      </c>
      <c r="G2053">
        <v>1.7999999999999999E-2</v>
      </c>
      <c r="H2053">
        <v>17.98</v>
      </c>
      <c r="I2053" t="s">
        <v>15</v>
      </c>
      <c r="J2053" t="s">
        <v>15</v>
      </c>
      <c r="K2053">
        <v>3.24</v>
      </c>
      <c r="L2053">
        <v>0</v>
      </c>
    </row>
    <row r="2054" spans="1:12" x14ac:dyDescent="0.3">
      <c r="A2054" t="s">
        <v>2070</v>
      </c>
      <c r="B2054" t="s">
        <v>17</v>
      </c>
      <c r="C2054">
        <v>5998</v>
      </c>
      <c r="D2054">
        <v>95.97</v>
      </c>
      <c r="E2054">
        <v>17.27</v>
      </c>
      <c r="F2054">
        <f>COUNTIFS(mdr_rate_cleaned!$A$2:$A$10,B2054,mdr_rate_cleaned!$B$2:$B$10,"&lt;"&amp;C2054,mdr_rate_cleaned!$F$2:$F$10,"&gt;="&amp;C2054)</f>
        <v>1</v>
      </c>
      <c r="G2054">
        <v>1.6E-2</v>
      </c>
      <c r="H2054">
        <v>95.97</v>
      </c>
      <c r="I2054" t="s">
        <v>15</v>
      </c>
      <c r="J2054" t="s">
        <v>15</v>
      </c>
      <c r="K2054">
        <v>17.27</v>
      </c>
      <c r="L2054">
        <v>0</v>
      </c>
    </row>
    <row r="2055" spans="1:12" x14ac:dyDescent="0.3">
      <c r="A2055" t="s">
        <v>2071</v>
      </c>
      <c r="B2055" t="s">
        <v>21</v>
      </c>
      <c r="C2055">
        <v>8348</v>
      </c>
      <c r="D2055">
        <v>25.04</v>
      </c>
      <c r="E2055">
        <v>4.51</v>
      </c>
      <c r="F2055">
        <f>COUNTIFS(mdr_rate_cleaned!$A$2:$A$10,B2055,mdr_rate_cleaned!$B$2:$B$10,"&lt;"&amp;C2055,mdr_rate_cleaned!$F$2:$F$10,"&gt;="&amp;C2055)</f>
        <v>1</v>
      </c>
      <c r="G2055">
        <v>3.0000000000000001E-3</v>
      </c>
      <c r="H2055">
        <v>25.04</v>
      </c>
      <c r="I2055" t="s">
        <v>15</v>
      </c>
      <c r="J2055" t="s">
        <v>15</v>
      </c>
      <c r="K2055">
        <v>4.51</v>
      </c>
      <c r="L2055">
        <v>0</v>
      </c>
    </row>
    <row r="2056" spans="1:12" x14ac:dyDescent="0.3">
      <c r="A2056" t="s">
        <v>2072</v>
      </c>
      <c r="B2056" t="s">
        <v>21</v>
      </c>
      <c r="C2056">
        <v>8997</v>
      </c>
      <c r="D2056">
        <v>26.99</v>
      </c>
      <c r="E2056">
        <v>4.8600000000000003</v>
      </c>
      <c r="F2056">
        <f>COUNTIFS(mdr_rate_cleaned!$A$2:$A$10,B2056,mdr_rate_cleaned!$B$2:$B$10,"&lt;"&amp;C2056,mdr_rate_cleaned!$F$2:$F$10,"&gt;="&amp;C2056)</f>
        <v>1</v>
      </c>
      <c r="G2056">
        <v>3.0000000000000001E-3</v>
      </c>
      <c r="H2056">
        <v>26.99</v>
      </c>
      <c r="I2056" t="s">
        <v>15</v>
      </c>
      <c r="J2056" t="s">
        <v>15</v>
      </c>
      <c r="K2056">
        <v>4.8600000000000003</v>
      </c>
      <c r="L2056">
        <v>0</v>
      </c>
    </row>
    <row r="2057" spans="1:12" x14ac:dyDescent="0.3">
      <c r="A2057" t="s">
        <v>2073</v>
      </c>
      <c r="B2057" t="s">
        <v>17</v>
      </c>
      <c r="C2057">
        <v>5597</v>
      </c>
      <c r="D2057">
        <v>89.55</v>
      </c>
      <c r="E2057">
        <v>16.12</v>
      </c>
      <c r="F2057">
        <f>COUNTIFS(mdr_rate_cleaned!$A$2:$A$10,B2057,mdr_rate_cleaned!$B$2:$B$10,"&lt;"&amp;C2057,mdr_rate_cleaned!$F$2:$F$10,"&gt;="&amp;C2057)</f>
        <v>1</v>
      </c>
      <c r="G2057">
        <v>1.6E-2</v>
      </c>
      <c r="H2057">
        <v>89.55</v>
      </c>
      <c r="I2057" t="s">
        <v>15</v>
      </c>
      <c r="J2057" t="s">
        <v>15</v>
      </c>
      <c r="K2057">
        <v>16.12</v>
      </c>
      <c r="L2057">
        <v>0</v>
      </c>
    </row>
    <row r="2058" spans="1:12" x14ac:dyDescent="0.3">
      <c r="A2058" t="s">
        <v>2074</v>
      </c>
      <c r="B2058" t="s">
        <v>21</v>
      </c>
      <c r="C2058">
        <v>11097</v>
      </c>
      <c r="D2058">
        <v>33.29</v>
      </c>
      <c r="E2058">
        <v>5.99</v>
      </c>
      <c r="F2058">
        <f>COUNTIFS(mdr_rate_cleaned!$A$2:$A$10,B2058,mdr_rate_cleaned!$B$2:$B$10,"&lt;"&amp;C2058,mdr_rate_cleaned!$F$2:$F$10,"&gt;="&amp;C2058)</f>
        <v>1</v>
      </c>
      <c r="G2058">
        <v>3.0000000000000001E-3</v>
      </c>
      <c r="H2058">
        <v>33.29</v>
      </c>
      <c r="I2058" t="s">
        <v>15</v>
      </c>
      <c r="J2058" t="s">
        <v>15</v>
      </c>
      <c r="K2058">
        <v>5.99</v>
      </c>
      <c r="L2058">
        <v>0</v>
      </c>
    </row>
    <row r="2059" spans="1:12" x14ac:dyDescent="0.3">
      <c r="A2059" t="s">
        <v>2075</v>
      </c>
      <c r="B2059" t="s">
        <v>17</v>
      </c>
      <c r="C2059">
        <v>1799</v>
      </c>
      <c r="D2059">
        <v>32.380000000000003</v>
      </c>
      <c r="E2059">
        <v>5.83</v>
      </c>
      <c r="F2059">
        <f>COUNTIFS(mdr_rate_cleaned!$A$2:$A$10,B2059,mdr_rate_cleaned!$B$2:$B$10,"&lt;"&amp;C2059,mdr_rate_cleaned!$F$2:$F$10,"&gt;="&amp;C2059)</f>
        <v>1</v>
      </c>
      <c r="G2059">
        <v>1.7999999999999999E-2</v>
      </c>
      <c r="H2059">
        <v>32.380000000000003</v>
      </c>
      <c r="I2059" t="s">
        <v>15</v>
      </c>
      <c r="J2059" t="s">
        <v>15</v>
      </c>
      <c r="K2059">
        <v>5.83</v>
      </c>
      <c r="L2059">
        <v>0</v>
      </c>
    </row>
    <row r="2060" spans="1:12" x14ac:dyDescent="0.3">
      <c r="A2060" t="s">
        <v>2076</v>
      </c>
      <c r="B2060" t="s">
        <v>21</v>
      </c>
      <c r="C2060">
        <v>1799</v>
      </c>
      <c r="D2060">
        <v>0</v>
      </c>
      <c r="E2060">
        <v>0</v>
      </c>
      <c r="F2060">
        <f>COUNTIFS(mdr_rate_cleaned!$A$2:$A$10,B2060,mdr_rate_cleaned!$B$2:$B$10,"&lt;"&amp;C2060,mdr_rate_cleaned!$F$2:$F$10,"&gt;="&amp;C2060)</f>
        <v>1</v>
      </c>
      <c r="G2060">
        <v>0</v>
      </c>
      <c r="H2060">
        <v>0</v>
      </c>
      <c r="I2060" t="s">
        <v>15</v>
      </c>
      <c r="J2060" t="s">
        <v>15</v>
      </c>
      <c r="K2060">
        <v>0</v>
      </c>
      <c r="L2060">
        <v>0</v>
      </c>
    </row>
    <row r="2061" spans="1:12" x14ac:dyDescent="0.3">
      <c r="A2061" t="s">
        <v>2077</v>
      </c>
      <c r="B2061" t="s">
        <v>21</v>
      </c>
      <c r="C2061">
        <v>2499</v>
      </c>
      <c r="D2061">
        <v>7.5</v>
      </c>
      <c r="E2061">
        <v>1.35</v>
      </c>
      <c r="F2061">
        <f>COUNTIFS(mdr_rate_cleaned!$A$2:$A$10,B2061,mdr_rate_cleaned!$B$2:$B$10,"&lt;"&amp;C2061,mdr_rate_cleaned!$F$2:$F$10,"&gt;="&amp;C2061)</f>
        <v>1</v>
      </c>
      <c r="G2061">
        <v>3.0000000000000001E-3</v>
      </c>
      <c r="H2061">
        <v>7.5</v>
      </c>
      <c r="I2061" t="s">
        <v>15</v>
      </c>
      <c r="J2061" t="s">
        <v>15</v>
      </c>
      <c r="K2061">
        <v>1.35</v>
      </c>
      <c r="L2061">
        <v>0</v>
      </c>
    </row>
    <row r="2062" spans="1:12" x14ac:dyDescent="0.3">
      <c r="A2062" t="s">
        <v>2078</v>
      </c>
      <c r="B2062" t="s">
        <v>21</v>
      </c>
      <c r="C2062">
        <v>349</v>
      </c>
      <c r="D2062">
        <v>0</v>
      </c>
      <c r="E2062">
        <v>0</v>
      </c>
      <c r="F2062">
        <f>COUNTIFS(mdr_rate_cleaned!$A$2:$A$10,B2062,mdr_rate_cleaned!$B$2:$B$10,"&lt;"&amp;C2062,mdr_rate_cleaned!$F$2:$F$10,"&gt;="&amp;C2062)</f>
        <v>1</v>
      </c>
      <c r="G2062">
        <v>0</v>
      </c>
      <c r="H2062">
        <v>0</v>
      </c>
      <c r="I2062" t="s">
        <v>15</v>
      </c>
      <c r="J2062" t="s">
        <v>15</v>
      </c>
      <c r="K2062">
        <v>0</v>
      </c>
      <c r="L2062">
        <v>0</v>
      </c>
    </row>
    <row r="2063" spans="1:12" x14ac:dyDescent="0.3">
      <c r="A2063" t="s">
        <v>2079</v>
      </c>
      <c r="B2063" t="s">
        <v>21</v>
      </c>
      <c r="C2063">
        <v>1499</v>
      </c>
      <c r="D2063">
        <v>0</v>
      </c>
      <c r="E2063">
        <v>0</v>
      </c>
      <c r="F2063">
        <f>COUNTIFS(mdr_rate_cleaned!$A$2:$A$10,B2063,mdr_rate_cleaned!$B$2:$B$10,"&lt;"&amp;C2063,mdr_rate_cleaned!$F$2:$F$10,"&gt;="&amp;C2063)</f>
        <v>1</v>
      </c>
      <c r="G2063">
        <v>0</v>
      </c>
      <c r="H2063">
        <v>0</v>
      </c>
      <c r="I2063" t="s">
        <v>15</v>
      </c>
      <c r="J2063" t="s">
        <v>15</v>
      </c>
      <c r="K2063">
        <v>0</v>
      </c>
      <c r="L2063">
        <v>0</v>
      </c>
    </row>
    <row r="2064" spans="1:12" x14ac:dyDescent="0.3">
      <c r="A2064" t="s">
        <v>2080</v>
      </c>
      <c r="B2064" t="s">
        <v>21</v>
      </c>
      <c r="C2064">
        <v>2499</v>
      </c>
      <c r="D2064">
        <v>7.5</v>
      </c>
      <c r="E2064">
        <v>1.35</v>
      </c>
      <c r="F2064">
        <f>COUNTIFS(mdr_rate_cleaned!$A$2:$A$10,B2064,mdr_rate_cleaned!$B$2:$B$10,"&lt;"&amp;C2064,mdr_rate_cleaned!$F$2:$F$10,"&gt;="&amp;C2064)</f>
        <v>1</v>
      </c>
      <c r="G2064">
        <v>3.0000000000000001E-3</v>
      </c>
      <c r="H2064">
        <v>7.5</v>
      </c>
      <c r="I2064" t="s">
        <v>15</v>
      </c>
      <c r="J2064" t="s">
        <v>15</v>
      </c>
      <c r="K2064">
        <v>1.35</v>
      </c>
      <c r="L2064">
        <v>0</v>
      </c>
    </row>
    <row r="2065" spans="1:12" x14ac:dyDescent="0.3">
      <c r="A2065" t="s">
        <v>2081</v>
      </c>
      <c r="B2065" t="s">
        <v>21</v>
      </c>
      <c r="C2065">
        <v>7999</v>
      </c>
      <c r="D2065">
        <v>24</v>
      </c>
      <c r="E2065">
        <v>4.32</v>
      </c>
      <c r="F2065">
        <f>COUNTIFS(mdr_rate_cleaned!$A$2:$A$10,B2065,mdr_rate_cleaned!$B$2:$B$10,"&lt;"&amp;C2065,mdr_rate_cleaned!$F$2:$F$10,"&gt;="&amp;C2065)</f>
        <v>1</v>
      </c>
      <c r="G2065">
        <v>3.0000000000000001E-3</v>
      </c>
      <c r="H2065">
        <v>24</v>
      </c>
      <c r="I2065" t="s">
        <v>15</v>
      </c>
      <c r="J2065" t="s">
        <v>15</v>
      </c>
      <c r="K2065">
        <v>4.32</v>
      </c>
      <c r="L2065">
        <v>0</v>
      </c>
    </row>
    <row r="2066" spans="1:12" x14ac:dyDescent="0.3">
      <c r="A2066" t="s">
        <v>2082</v>
      </c>
      <c r="B2066" t="s">
        <v>39</v>
      </c>
      <c r="C2066">
        <v>1799</v>
      </c>
      <c r="D2066">
        <v>26.99</v>
      </c>
      <c r="E2066">
        <v>4.8600000000000003</v>
      </c>
      <c r="F2066">
        <f>COUNTIFS(mdr_rate_cleaned!$A$2:$A$10,B2066,mdr_rate_cleaned!$B$2:$B$10,"&lt;"&amp;C2066,mdr_rate_cleaned!$F$2:$F$10,"&gt;="&amp;C2066)</f>
        <v>1</v>
      </c>
      <c r="G2066">
        <v>1.4999999999999999E-2</v>
      </c>
      <c r="H2066">
        <v>26.99</v>
      </c>
      <c r="I2066" t="s">
        <v>15</v>
      </c>
      <c r="J2066" t="s">
        <v>15</v>
      </c>
      <c r="K2066">
        <v>4.8600000000000003</v>
      </c>
      <c r="L2066">
        <v>0</v>
      </c>
    </row>
    <row r="2067" spans="1:12" x14ac:dyDescent="0.3">
      <c r="A2067" t="s">
        <v>2083</v>
      </c>
      <c r="B2067" t="s">
        <v>21</v>
      </c>
      <c r="C2067">
        <v>1299</v>
      </c>
      <c r="D2067">
        <v>0</v>
      </c>
      <c r="E2067">
        <v>0</v>
      </c>
      <c r="F2067">
        <f>COUNTIFS(mdr_rate_cleaned!$A$2:$A$10,B2067,mdr_rate_cleaned!$B$2:$B$10,"&lt;"&amp;C2067,mdr_rate_cleaned!$F$2:$F$10,"&gt;="&amp;C2067)</f>
        <v>1</v>
      </c>
      <c r="G2067">
        <v>0</v>
      </c>
      <c r="H2067">
        <v>0</v>
      </c>
      <c r="I2067" t="s">
        <v>15</v>
      </c>
      <c r="J2067" t="s">
        <v>15</v>
      </c>
      <c r="K2067">
        <v>0</v>
      </c>
      <c r="L2067">
        <v>0</v>
      </c>
    </row>
    <row r="2068" spans="1:12" x14ac:dyDescent="0.3">
      <c r="A2068" t="s">
        <v>2084</v>
      </c>
      <c r="B2068" t="s">
        <v>17</v>
      </c>
      <c r="C2068">
        <v>299</v>
      </c>
      <c r="D2068">
        <v>5.38</v>
      </c>
      <c r="E2068">
        <v>0.97</v>
      </c>
      <c r="F2068">
        <f>COUNTIFS(mdr_rate_cleaned!$A$2:$A$10,B2068,mdr_rate_cleaned!$B$2:$B$10,"&lt;"&amp;C2068,mdr_rate_cleaned!$F$2:$F$10,"&gt;="&amp;C2068)</f>
        <v>1</v>
      </c>
      <c r="G2068">
        <v>1.7999999999999999E-2</v>
      </c>
      <c r="H2068">
        <v>5.38</v>
      </c>
      <c r="I2068" t="s">
        <v>15</v>
      </c>
      <c r="J2068" t="s">
        <v>15</v>
      </c>
      <c r="K2068">
        <v>0.97</v>
      </c>
      <c r="L2068">
        <v>0</v>
      </c>
    </row>
    <row r="2069" spans="1:12" x14ac:dyDescent="0.3">
      <c r="A2069" t="s">
        <v>2085</v>
      </c>
      <c r="B2069" t="s">
        <v>21</v>
      </c>
      <c r="C2069">
        <v>3499</v>
      </c>
      <c r="D2069">
        <v>10.5</v>
      </c>
      <c r="E2069">
        <v>1.89</v>
      </c>
      <c r="F2069">
        <f>COUNTIFS(mdr_rate_cleaned!$A$2:$A$10,B2069,mdr_rate_cleaned!$B$2:$B$10,"&lt;"&amp;C2069,mdr_rate_cleaned!$F$2:$F$10,"&gt;="&amp;C2069)</f>
        <v>1</v>
      </c>
      <c r="G2069">
        <v>3.0000000000000001E-3</v>
      </c>
      <c r="H2069">
        <v>10.5</v>
      </c>
      <c r="I2069" t="s">
        <v>15</v>
      </c>
      <c r="J2069" t="s">
        <v>15</v>
      </c>
      <c r="K2069">
        <v>1.89</v>
      </c>
      <c r="L2069">
        <v>0</v>
      </c>
    </row>
    <row r="2070" spans="1:12" x14ac:dyDescent="0.3">
      <c r="A2070" t="s">
        <v>2086</v>
      </c>
      <c r="B2070" t="s">
        <v>17</v>
      </c>
      <c r="C2070">
        <v>3298</v>
      </c>
      <c r="D2070">
        <v>52.77</v>
      </c>
      <c r="E2070">
        <v>9.5</v>
      </c>
      <c r="F2070">
        <f>COUNTIFS(mdr_rate_cleaned!$A$2:$A$10,B2070,mdr_rate_cleaned!$B$2:$B$10,"&lt;"&amp;C2070,mdr_rate_cleaned!$F$2:$F$10,"&gt;="&amp;C2070)</f>
        <v>1</v>
      </c>
      <c r="G2070">
        <v>1.6E-2</v>
      </c>
      <c r="H2070">
        <v>52.77</v>
      </c>
      <c r="I2070" t="s">
        <v>15</v>
      </c>
      <c r="J2070" t="s">
        <v>15</v>
      </c>
      <c r="K2070">
        <v>9.5</v>
      </c>
      <c r="L2070">
        <v>0</v>
      </c>
    </row>
    <row r="2071" spans="1:12" x14ac:dyDescent="0.3">
      <c r="A2071" t="s">
        <v>2087</v>
      </c>
      <c r="B2071" t="s">
        <v>21</v>
      </c>
      <c r="C2071">
        <v>4999</v>
      </c>
      <c r="D2071">
        <v>15</v>
      </c>
      <c r="E2071">
        <v>2.7</v>
      </c>
      <c r="F2071">
        <f>COUNTIFS(mdr_rate_cleaned!$A$2:$A$10,B2071,mdr_rate_cleaned!$B$2:$B$10,"&lt;"&amp;C2071,mdr_rate_cleaned!$F$2:$F$10,"&gt;="&amp;C2071)</f>
        <v>1</v>
      </c>
      <c r="G2071">
        <v>3.0000000000000001E-3</v>
      </c>
      <c r="H2071">
        <v>15</v>
      </c>
      <c r="I2071" t="s">
        <v>15</v>
      </c>
      <c r="J2071" t="s">
        <v>15</v>
      </c>
      <c r="K2071">
        <v>2.7</v>
      </c>
      <c r="L2071">
        <v>0</v>
      </c>
    </row>
    <row r="2072" spans="1:12" x14ac:dyDescent="0.3">
      <c r="A2072" t="s">
        <v>2088</v>
      </c>
      <c r="B2072" t="s">
        <v>21</v>
      </c>
      <c r="C2072">
        <v>4999</v>
      </c>
      <c r="D2072">
        <v>15</v>
      </c>
      <c r="E2072">
        <v>2.7</v>
      </c>
      <c r="F2072">
        <f>COUNTIFS(mdr_rate_cleaned!$A$2:$A$10,B2072,mdr_rate_cleaned!$B$2:$B$10,"&lt;"&amp;C2072,mdr_rate_cleaned!$F$2:$F$10,"&gt;="&amp;C2072)</f>
        <v>1</v>
      </c>
      <c r="G2072">
        <v>3.0000000000000001E-3</v>
      </c>
      <c r="H2072">
        <v>15</v>
      </c>
      <c r="I2072" t="s">
        <v>15</v>
      </c>
      <c r="J2072" t="s">
        <v>15</v>
      </c>
      <c r="K2072">
        <v>2.7</v>
      </c>
      <c r="L2072">
        <v>0</v>
      </c>
    </row>
    <row r="2073" spans="1:12" x14ac:dyDescent="0.3">
      <c r="A2073" t="s">
        <v>2089</v>
      </c>
      <c r="B2073" t="s">
        <v>17</v>
      </c>
      <c r="C2073">
        <v>349</v>
      </c>
      <c r="D2073">
        <v>6.28</v>
      </c>
      <c r="E2073">
        <v>1.1299999999999999</v>
      </c>
      <c r="F2073">
        <f>COUNTIFS(mdr_rate_cleaned!$A$2:$A$10,B2073,mdr_rate_cleaned!$B$2:$B$10,"&lt;"&amp;C2073,mdr_rate_cleaned!$F$2:$F$10,"&gt;="&amp;C2073)</f>
        <v>1</v>
      </c>
      <c r="G2073">
        <v>1.7999999999999999E-2</v>
      </c>
      <c r="H2073">
        <v>6.28</v>
      </c>
      <c r="I2073" t="s">
        <v>15</v>
      </c>
      <c r="J2073" t="s">
        <v>15</v>
      </c>
      <c r="K2073">
        <v>1.1299999999999999</v>
      </c>
      <c r="L2073">
        <v>0</v>
      </c>
    </row>
    <row r="2074" spans="1:12" x14ac:dyDescent="0.3">
      <c r="A2074" t="s">
        <v>2090</v>
      </c>
      <c r="B2074" t="s">
        <v>21</v>
      </c>
      <c r="C2074">
        <v>799</v>
      </c>
      <c r="D2074">
        <v>0</v>
      </c>
      <c r="E2074">
        <v>0</v>
      </c>
      <c r="F2074">
        <f>COUNTIFS(mdr_rate_cleaned!$A$2:$A$10,B2074,mdr_rate_cleaned!$B$2:$B$10,"&lt;"&amp;C2074,mdr_rate_cleaned!$F$2:$F$10,"&gt;="&amp;C2074)</f>
        <v>1</v>
      </c>
      <c r="G2074">
        <v>0</v>
      </c>
      <c r="H2074">
        <v>0</v>
      </c>
      <c r="I2074" t="s">
        <v>15</v>
      </c>
      <c r="J2074" t="s">
        <v>15</v>
      </c>
      <c r="K2074">
        <v>0</v>
      </c>
      <c r="L2074">
        <v>0</v>
      </c>
    </row>
    <row r="2075" spans="1:12" x14ac:dyDescent="0.3">
      <c r="A2075" t="s">
        <v>2091</v>
      </c>
      <c r="B2075" t="s">
        <v>21</v>
      </c>
      <c r="C2075">
        <v>599</v>
      </c>
      <c r="D2075">
        <v>0</v>
      </c>
      <c r="E2075">
        <v>0</v>
      </c>
      <c r="F2075">
        <f>COUNTIFS(mdr_rate_cleaned!$A$2:$A$10,B2075,mdr_rate_cleaned!$B$2:$B$10,"&lt;"&amp;C2075,mdr_rate_cleaned!$F$2:$F$10,"&gt;="&amp;C2075)</f>
        <v>1</v>
      </c>
      <c r="G2075">
        <v>0</v>
      </c>
      <c r="H2075">
        <v>0</v>
      </c>
      <c r="I2075" t="s">
        <v>15</v>
      </c>
      <c r="J2075" t="s">
        <v>15</v>
      </c>
      <c r="K2075">
        <v>0</v>
      </c>
      <c r="L2075">
        <v>0</v>
      </c>
    </row>
    <row r="2076" spans="1:12" x14ac:dyDescent="0.3">
      <c r="A2076" t="s">
        <v>2092</v>
      </c>
      <c r="B2076" t="s">
        <v>17</v>
      </c>
      <c r="C2076">
        <v>499</v>
      </c>
      <c r="D2076">
        <v>8.98</v>
      </c>
      <c r="E2076">
        <v>1.62</v>
      </c>
      <c r="F2076">
        <f>COUNTIFS(mdr_rate_cleaned!$A$2:$A$10,B2076,mdr_rate_cleaned!$B$2:$B$10,"&lt;"&amp;C2076,mdr_rate_cleaned!$F$2:$F$10,"&gt;="&amp;C2076)</f>
        <v>1</v>
      </c>
      <c r="G2076">
        <v>1.7999999999999999E-2</v>
      </c>
      <c r="H2076">
        <v>8.98</v>
      </c>
      <c r="I2076" t="s">
        <v>15</v>
      </c>
      <c r="J2076" t="s">
        <v>15</v>
      </c>
      <c r="K2076">
        <v>1.62</v>
      </c>
      <c r="L2076">
        <v>0</v>
      </c>
    </row>
    <row r="2077" spans="1:12" x14ac:dyDescent="0.3">
      <c r="A2077" t="s">
        <v>2093</v>
      </c>
      <c r="B2077" t="s">
        <v>17</v>
      </c>
      <c r="C2077">
        <v>299</v>
      </c>
      <c r="D2077">
        <v>5.38</v>
      </c>
      <c r="E2077">
        <v>0.97</v>
      </c>
      <c r="F2077">
        <f>COUNTIFS(mdr_rate_cleaned!$A$2:$A$10,B2077,mdr_rate_cleaned!$B$2:$B$10,"&lt;"&amp;C2077,mdr_rate_cleaned!$F$2:$F$10,"&gt;="&amp;C2077)</f>
        <v>1</v>
      </c>
      <c r="G2077">
        <v>1.7999999999999999E-2</v>
      </c>
      <c r="H2077">
        <v>5.38</v>
      </c>
      <c r="I2077" t="s">
        <v>15</v>
      </c>
      <c r="J2077" t="s">
        <v>15</v>
      </c>
      <c r="K2077">
        <v>0.97</v>
      </c>
      <c r="L2077">
        <v>0</v>
      </c>
    </row>
    <row r="2078" spans="1:12" x14ac:dyDescent="0.3">
      <c r="A2078" t="s">
        <v>2094</v>
      </c>
      <c r="B2078" t="s">
        <v>21</v>
      </c>
      <c r="C2078">
        <v>1848</v>
      </c>
      <c r="D2078">
        <v>0</v>
      </c>
      <c r="E2078">
        <v>0</v>
      </c>
      <c r="F2078">
        <f>COUNTIFS(mdr_rate_cleaned!$A$2:$A$10,B2078,mdr_rate_cleaned!$B$2:$B$10,"&lt;"&amp;C2078,mdr_rate_cleaned!$F$2:$F$10,"&gt;="&amp;C2078)</f>
        <v>1</v>
      </c>
      <c r="G2078">
        <v>0</v>
      </c>
      <c r="H2078">
        <v>0</v>
      </c>
      <c r="I2078" t="s">
        <v>15</v>
      </c>
      <c r="J2078" t="s">
        <v>15</v>
      </c>
      <c r="K2078">
        <v>0</v>
      </c>
      <c r="L2078">
        <v>0</v>
      </c>
    </row>
    <row r="2079" spans="1:12" x14ac:dyDescent="0.3">
      <c r="A2079" t="s">
        <v>2095</v>
      </c>
      <c r="B2079" t="s">
        <v>17</v>
      </c>
      <c r="C2079">
        <v>2398</v>
      </c>
      <c r="D2079">
        <v>38.369999999999997</v>
      </c>
      <c r="E2079">
        <v>6.91</v>
      </c>
      <c r="F2079">
        <f>COUNTIFS(mdr_rate_cleaned!$A$2:$A$10,B2079,mdr_rate_cleaned!$B$2:$B$10,"&lt;"&amp;C2079,mdr_rate_cleaned!$F$2:$F$10,"&gt;="&amp;C2079)</f>
        <v>1</v>
      </c>
      <c r="G2079">
        <v>1.6E-2</v>
      </c>
      <c r="H2079">
        <v>38.369999999999997</v>
      </c>
      <c r="I2079" t="s">
        <v>15</v>
      </c>
      <c r="J2079" t="s">
        <v>15</v>
      </c>
      <c r="K2079">
        <v>6.91</v>
      </c>
      <c r="L2079">
        <v>0</v>
      </c>
    </row>
    <row r="2080" spans="1:12" x14ac:dyDescent="0.3">
      <c r="A2080" t="s">
        <v>2096</v>
      </c>
      <c r="B2080" t="s">
        <v>21</v>
      </c>
      <c r="C2080">
        <v>5998</v>
      </c>
      <c r="D2080">
        <v>17.989999999999998</v>
      </c>
      <c r="E2080">
        <v>3.24</v>
      </c>
      <c r="F2080">
        <f>COUNTIFS(mdr_rate_cleaned!$A$2:$A$10,B2080,mdr_rate_cleaned!$B$2:$B$10,"&lt;"&amp;C2080,mdr_rate_cleaned!$F$2:$F$10,"&gt;="&amp;C2080)</f>
        <v>1</v>
      </c>
      <c r="G2080">
        <v>3.0000000000000001E-3</v>
      </c>
      <c r="H2080">
        <v>17.989999999999998</v>
      </c>
      <c r="I2080" t="s">
        <v>15</v>
      </c>
      <c r="J2080" t="s">
        <v>15</v>
      </c>
      <c r="K2080">
        <v>3.24</v>
      </c>
      <c r="L2080">
        <v>0</v>
      </c>
    </row>
    <row r="2081" spans="1:12" x14ac:dyDescent="0.3">
      <c r="A2081" t="s">
        <v>2097</v>
      </c>
      <c r="B2081" t="s">
        <v>21</v>
      </c>
      <c r="C2081">
        <v>999</v>
      </c>
      <c r="D2081">
        <v>0</v>
      </c>
      <c r="E2081">
        <v>0</v>
      </c>
      <c r="F2081">
        <f>COUNTIFS(mdr_rate_cleaned!$A$2:$A$10,B2081,mdr_rate_cleaned!$B$2:$B$10,"&lt;"&amp;C2081,mdr_rate_cleaned!$F$2:$F$10,"&gt;="&amp;C2081)</f>
        <v>1</v>
      </c>
      <c r="G2081">
        <v>0</v>
      </c>
      <c r="H2081">
        <v>0</v>
      </c>
      <c r="I2081" t="s">
        <v>15</v>
      </c>
      <c r="J2081" t="s">
        <v>15</v>
      </c>
      <c r="K2081">
        <v>0</v>
      </c>
      <c r="L2081">
        <v>0</v>
      </c>
    </row>
    <row r="2082" spans="1:12" x14ac:dyDescent="0.3">
      <c r="A2082" t="s">
        <v>2098</v>
      </c>
      <c r="B2082" t="s">
        <v>13</v>
      </c>
      <c r="C2082">
        <v>2298</v>
      </c>
      <c r="D2082">
        <v>39.07</v>
      </c>
      <c r="E2082">
        <v>7.03</v>
      </c>
      <c r="F2082">
        <f>COUNTIFS(mdr_rate_cleaned!$A$2:$A$10,B2082,mdr_rate_cleaned!$B$2:$B$10,"&lt;"&amp;C2082,mdr_rate_cleaned!$F$2:$F$10,"&gt;="&amp;C2082)</f>
        <v>1</v>
      </c>
      <c r="G2082">
        <v>1.7000000000000001E-2</v>
      </c>
      <c r="H2082">
        <v>39.07</v>
      </c>
      <c r="I2082" t="s">
        <v>15</v>
      </c>
      <c r="J2082" t="s">
        <v>15</v>
      </c>
      <c r="K2082">
        <v>7.03</v>
      </c>
      <c r="L2082">
        <v>0</v>
      </c>
    </row>
    <row r="2083" spans="1:12" x14ac:dyDescent="0.3">
      <c r="A2083" t="s">
        <v>2099</v>
      </c>
      <c r="B2083" t="s">
        <v>17</v>
      </c>
      <c r="C2083">
        <v>7999</v>
      </c>
      <c r="D2083">
        <v>127.98</v>
      </c>
      <c r="E2083">
        <v>23.04</v>
      </c>
      <c r="F2083">
        <f>COUNTIFS(mdr_rate_cleaned!$A$2:$A$10,B2083,mdr_rate_cleaned!$B$2:$B$10,"&lt;"&amp;C2083,mdr_rate_cleaned!$F$2:$F$10,"&gt;="&amp;C2083)</f>
        <v>1</v>
      </c>
      <c r="G2083">
        <v>1.6E-2</v>
      </c>
      <c r="H2083">
        <v>127.98</v>
      </c>
      <c r="I2083" t="s">
        <v>15</v>
      </c>
      <c r="J2083" t="s">
        <v>15</v>
      </c>
      <c r="K2083">
        <v>23.04</v>
      </c>
      <c r="L2083">
        <v>0</v>
      </c>
    </row>
    <row r="2084" spans="1:12" x14ac:dyDescent="0.3">
      <c r="A2084" t="s">
        <v>2100</v>
      </c>
      <c r="B2084" t="s">
        <v>17</v>
      </c>
      <c r="C2084">
        <v>3098</v>
      </c>
      <c r="D2084">
        <v>49.57</v>
      </c>
      <c r="E2084">
        <v>8.92</v>
      </c>
      <c r="F2084">
        <f>COUNTIFS(mdr_rate_cleaned!$A$2:$A$10,B2084,mdr_rate_cleaned!$B$2:$B$10,"&lt;"&amp;C2084,mdr_rate_cleaned!$F$2:$F$10,"&gt;="&amp;C2084)</f>
        <v>1</v>
      </c>
      <c r="G2084">
        <v>1.6E-2</v>
      </c>
      <c r="H2084">
        <v>49.57</v>
      </c>
      <c r="I2084" t="s">
        <v>15</v>
      </c>
      <c r="J2084" t="s">
        <v>15</v>
      </c>
      <c r="K2084">
        <v>8.92</v>
      </c>
      <c r="L2084">
        <v>0</v>
      </c>
    </row>
    <row r="2085" spans="1:12" x14ac:dyDescent="0.3">
      <c r="A2085" t="s">
        <v>2101</v>
      </c>
      <c r="B2085" t="s">
        <v>17</v>
      </c>
      <c r="C2085">
        <v>3397</v>
      </c>
      <c r="D2085">
        <v>54.35</v>
      </c>
      <c r="E2085">
        <v>9.7799999999999994</v>
      </c>
      <c r="F2085">
        <f>COUNTIFS(mdr_rate_cleaned!$A$2:$A$10,B2085,mdr_rate_cleaned!$B$2:$B$10,"&lt;"&amp;C2085,mdr_rate_cleaned!$F$2:$F$10,"&gt;="&amp;C2085)</f>
        <v>1</v>
      </c>
      <c r="G2085">
        <v>1.6E-2</v>
      </c>
      <c r="H2085">
        <v>54.35</v>
      </c>
      <c r="I2085" t="s">
        <v>15</v>
      </c>
      <c r="J2085" t="s">
        <v>15</v>
      </c>
      <c r="K2085">
        <v>9.7799999999999994</v>
      </c>
      <c r="L2085">
        <v>0</v>
      </c>
    </row>
    <row r="2086" spans="1:12" x14ac:dyDescent="0.3">
      <c r="A2086" t="s">
        <v>2102</v>
      </c>
      <c r="B2086" t="s">
        <v>17</v>
      </c>
      <c r="C2086">
        <v>1298</v>
      </c>
      <c r="D2086">
        <v>23.36</v>
      </c>
      <c r="E2086">
        <v>4.2</v>
      </c>
      <c r="F2086">
        <f>COUNTIFS(mdr_rate_cleaned!$A$2:$A$10,B2086,mdr_rate_cleaned!$B$2:$B$10,"&lt;"&amp;C2086,mdr_rate_cleaned!$F$2:$F$10,"&gt;="&amp;C2086)</f>
        <v>1</v>
      </c>
      <c r="G2086">
        <v>1.7999999999999999E-2</v>
      </c>
      <c r="H2086">
        <v>23.36</v>
      </c>
      <c r="I2086" t="s">
        <v>15</v>
      </c>
      <c r="J2086" t="s">
        <v>15</v>
      </c>
      <c r="K2086">
        <v>4.2</v>
      </c>
      <c r="L2086">
        <v>0</v>
      </c>
    </row>
    <row r="2087" spans="1:12" x14ac:dyDescent="0.3">
      <c r="A2087" t="s">
        <v>2103</v>
      </c>
      <c r="B2087" t="s">
        <v>13</v>
      </c>
      <c r="C2087">
        <v>1299</v>
      </c>
      <c r="D2087">
        <v>24.68</v>
      </c>
      <c r="E2087">
        <v>4.4400000000000004</v>
      </c>
      <c r="F2087">
        <f>COUNTIFS(mdr_rate_cleaned!$A$2:$A$10,B2087,mdr_rate_cleaned!$B$2:$B$10,"&lt;"&amp;C2087,mdr_rate_cleaned!$F$2:$F$10,"&gt;="&amp;C2087)</f>
        <v>1</v>
      </c>
      <c r="G2087">
        <v>1.9E-2</v>
      </c>
      <c r="H2087">
        <v>24.68</v>
      </c>
      <c r="I2087" t="s">
        <v>15</v>
      </c>
      <c r="J2087" t="s">
        <v>15</v>
      </c>
      <c r="K2087">
        <v>4.4400000000000004</v>
      </c>
      <c r="L2087">
        <v>0</v>
      </c>
    </row>
    <row r="2088" spans="1:12" x14ac:dyDescent="0.3">
      <c r="A2088" t="s">
        <v>2104</v>
      </c>
      <c r="B2088" t="s">
        <v>17</v>
      </c>
      <c r="C2088">
        <v>2999</v>
      </c>
      <c r="D2088">
        <v>47.98</v>
      </c>
      <c r="E2088">
        <v>8.64</v>
      </c>
      <c r="F2088">
        <f>COUNTIFS(mdr_rate_cleaned!$A$2:$A$10,B2088,mdr_rate_cleaned!$B$2:$B$10,"&lt;"&amp;C2088,mdr_rate_cleaned!$F$2:$F$10,"&gt;="&amp;C2088)</f>
        <v>1</v>
      </c>
      <c r="G2088">
        <v>1.6E-2</v>
      </c>
      <c r="H2088">
        <v>47.98</v>
      </c>
      <c r="I2088" t="s">
        <v>15</v>
      </c>
      <c r="J2088" t="s">
        <v>15</v>
      </c>
      <c r="K2088">
        <v>8.64</v>
      </c>
      <c r="L2088">
        <v>0</v>
      </c>
    </row>
    <row r="2089" spans="1:12" x14ac:dyDescent="0.3">
      <c r="A2089" t="s">
        <v>2105</v>
      </c>
      <c r="B2089" t="s">
        <v>21</v>
      </c>
      <c r="C2089">
        <v>8798</v>
      </c>
      <c r="D2089">
        <v>26.39</v>
      </c>
      <c r="E2089">
        <v>4.75</v>
      </c>
      <c r="F2089">
        <f>COUNTIFS(mdr_rate_cleaned!$A$2:$A$10,B2089,mdr_rate_cleaned!$B$2:$B$10,"&lt;"&amp;C2089,mdr_rate_cleaned!$F$2:$F$10,"&gt;="&amp;C2089)</f>
        <v>1</v>
      </c>
      <c r="G2089">
        <v>3.0000000000000001E-3</v>
      </c>
      <c r="H2089">
        <v>26.39</v>
      </c>
      <c r="I2089" t="s">
        <v>15</v>
      </c>
      <c r="J2089" t="s">
        <v>15</v>
      </c>
      <c r="K2089">
        <v>4.75</v>
      </c>
      <c r="L2089">
        <v>0</v>
      </c>
    </row>
    <row r="2090" spans="1:12" x14ac:dyDescent="0.3">
      <c r="A2090" t="s">
        <v>2106</v>
      </c>
      <c r="B2090" t="s">
        <v>13</v>
      </c>
      <c r="C2090">
        <v>999</v>
      </c>
      <c r="D2090">
        <v>18.98</v>
      </c>
      <c r="E2090">
        <v>3.42</v>
      </c>
      <c r="F2090">
        <f>COUNTIFS(mdr_rate_cleaned!$A$2:$A$10,B2090,mdr_rate_cleaned!$B$2:$B$10,"&lt;"&amp;C2090,mdr_rate_cleaned!$F$2:$F$10,"&gt;="&amp;C2090)</f>
        <v>1</v>
      </c>
      <c r="G2090">
        <v>1.9E-2</v>
      </c>
      <c r="H2090">
        <v>18.98</v>
      </c>
      <c r="I2090" t="s">
        <v>15</v>
      </c>
      <c r="J2090" t="s">
        <v>15</v>
      </c>
      <c r="K2090">
        <v>3.42</v>
      </c>
      <c r="L2090">
        <v>0</v>
      </c>
    </row>
    <row r="2091" spans="1:12" x14ac:dyDescent="0.3">
      <c r="A2091" t="s">
        <v>2107</v>
      </c>
      <c r="B2091" t="s">
        <v>21</v>
      </c>
      <c r="C2091">
        <v>999</v>
      </c>
      <c r="D2091">
        <v>0</v>
      </c>
      <c r="E2091">
        <v>0</v>
      </c>
      <c r="F2091">
        <f>COUNTIFS(mdr_rate_cleaned!$A$2:$A$10,B2091,mdr_rate_cleaned!$B$2:$B$10,"&lt;"&amp;C2091,mdr_rate_cleaned!$F$2:$F$10,"&gt;="&amp;C2091)</f>
        <v>1</v>
      </c>
      <c r="G2091">
        <v>0</v>
      </c>
      <c r="H2091">
        <v>0</v>
      </c>
      <c r="I2091" t="s">
        <v>15</v>
      </c>
      <c r="J2091" t="s">
        <v>15</v>
      </c>
      <c r="K2091">
        <v>0</v>
      </c>
      <c r="L2091">
        <v>0</v>
      </c>
    </row>
    <row r="2092" spans="1:12" x14ac:dyDescent="0.3">
      <c r="A2092" t="s">
        <v>2108</v>
      </c>
      <c r="B2092" t="s">
        <v>21</v>
      </c>
      <c r="C2092">
        <v>7999</v>
      </c>
      <c r="D2092">
        <v>24</v>
      </c>
      <c r="E2092">
        <v>4.32</v>
      </c>
      <c r="F2092">
        <f>COUNTIFS(mdr_rate_cleaned!$A$2:$A$10,B2092,mdr_rate_cleaned!$B$2:$B$10,"&lt;"&amp;C2092,mdr_rate_cleaned!$F$2:$F$10,"&gt;="&amp;C2092)</f>
        <v>1</v>
      </c>
      <c r="G2092">
        <v>3.0000000000000001E-3</v>
      </c>
      <c r="H2092">
        <v>24</v>
      </c>
      <c r="I2092" t="s">
        <v>15</v>
      </c>
      <c r="J2092" t="s">
        <v>15</v>
      </c>
      <c r="K2092">
        <v>4.32</v>
      </c>
      <c r="L2092">
        <v>0</v>
      </c>
    </row>
    <row r="2093" spans="1:12" x14ac:dyDescent="0.3">
      <c r="A2093" t="s">
        <v>2109</v>
      </c>
      <c r="B2093" t="s">
        <v>13</v>
      </c>
      <c r="C2093">
        <v>848</v>
      </c>
      <c r="D2093">
        <v>16.11</v>
      </c>
      <c r="E2093">
        <v>2.9</v>
      </c>
      <c r="F2093">
        <f>COUNTIFS(mdr_rate_cleaned!$A$2:$A$10,B2093,mdr_rate_cleaned!$B$2:$B$10,"&lt;"&amp;C2093,mdr_rate_cleaned!$F$2:$F$10,"&gt;="&amp;C2093)</f>
        <v>1</v>
      </c>
      <c r="G2093">
        <v>1.9E-2</v>
      </c>
      <c r="H2093">
        <v>16.11</v>
      </c>
      <c r="I2093" t="s">
        <v>15</v>
      </c>
      <c r="J2093" t="s">
        <v>15</v>
      </c>
      <c r="K2093">
        <v>2.9</v>
      </c>
      <c r="L2093">
        <v>0</v>
      </c>
    </row>
    <row r="2094" spans="1:12" x14ac:dyDescent="0.3">
      <c r="A2094" t="s">
        <v>2110</v>
      </c>
      <c r="B2094" t="s">
        <v>21</v>
      </c>
      <c r="C2094">
        <v>5897</v>
      </c>
      <c r="D2094">
        <v>17.690000000000001</v>
      </c>
      <c r="E2094">
        <v>3.18</v>
      </c>
      <c r="F2094">
        <f>COUNTIFS(mdr_rate_cleaned!$A$2:$A$10,B2094,mdr_rate_cleaned!$B$2:$B$10,"&lt;"&amp;C2094,mdr_rate_cleaned!$F$2:$F$10,"&gt;="&amp;C2094)</f>
        <v>1</v>
      </c>
      <c r="G2094">
        <v>3.0000000000000001E-3</v>
      </c>
      <c r="H2094">
        <v>17.690000000000001</v>
      </c>
      <c r="I2094" t="s">
        <v>15</v>
      </c>
      <c r="J2094" t="s">
        <v>15</v>
      </c>
      <c r="K2094">
        <v>3.18</v>
      </c>
      <c r="L2094">
        <v>0</v>
      </c>
    </row>
    <row r="2095" spans="1:12" x14ac:dyDescent="0.3">
      <c r="A2095" t="s">
        <v>2111</v>
      </c>
      <c r="B2095" t="s">
        <v>13</v>
      </c>
      <c r="C2095">
        <v>1198</v>
      </c>
      <c r="D2095">
        <v>22.76</v>
      </c>
      <c r="E2095">
        <v>4.0999999999999996</v>
      </c>
      <c r="F2095">
        <f>COUNTIFS(mdr_rate_cleaned!$A$2:$A$10,B2095,mdr_rate_cleaned!$B$2:$B$10,"&lt;"&amp;C2095,mdr_rate_cleaned!$F$2:$F$10,"&gt;="&amp;C2095)</f>
        <v>1</v>
      </c>
      <c r="G2095">
        <v>1.9E-2</v>
      </c>
      <c r="H2095">
        <v>22.76</v>
      </c>
      <c r="I2095" t="s">
        <v>15</v>
      </c>
      <c r="J2095" t="s">
        <v>15</v>
      </c>
      <c r="K2095">
        <v>4.0999999999999996</v>
      </c>
      <c r="L2095">
        <v>0</v>
      </c>
    </row>
    <row r="2096" spans="1:12" x14ac:dyDescent="0.3">
      <c r="A2096" t="s">
        <v>2112</v>
      </c>
      <c r="B2096" t="s">
        <v>13</v>
      </c>
      <c r="C2096">
        <v>17797</v>
      </c>
      <c r="D2096">
        <v>302.55</v>
      </c>
      <c r="E2096">
        <v>54.46</v>
      </c>
      <c r="F2096">
        <f>COUNTIFS(mdr_rate_cleaned!$A$2:$A$10,B2096,mdr_rate_cleaned!$B$2:$B$10,"&lt;"&amp;C2096,mdr_rate_cleaned!$F$2:$F$10,"&gt;="&amp;C2096)</f>
        <v>1</v>
      </c>
      <c r="G2096">
        <v>1.7000000000000001E-2</v>
      </c>
      <c r="H2096">
        <v>302.55</v>
      </c>
      <c r="I2096" t="s">
        <v>15</v>
      </c>
      <c r="J2096" t="s">
        <v>15</v>
      </c>
      <c r="K2096">
        <v>54.46</v>
      </c>
      <c r="L2096">
        <v>0</v>
      </c>
    </row>
    <row r="2097" spans="1:12" x14ac:dyDescent="0.3">
      <c r="A2097" t="s">
        <v>2113</v>
      </c>
      <c r="B2097" t="s">
        <v>17</v>
      </c>
      <c r="C2097">
        <v>2197</v>
      </c>
      <c r="D2097">
        <v>35.15</v>
      </c>
      <c r="E2097">
        <v>6.33</v>
      </c>
      <c r="F2097">
        <f>COUNTIFS(mdr_rate_cleaned!$A$2:$A$10,B2097,mdr_rate_cleaned!$B$2:$B$10,"&lt;"&amp;C2097,mdr_rate_cleaned!$F$2:$F$10,"&gt;="&amp;C2097)</f>
        <v>1</v>
      </c>
      <c r="G2097">
        <v>1.6E-2</v>
      </c>
      <c r="H2097">
        <v>35.15</v>
      </c>
      <c r="I2097" t="s">
        <v>15</v>
      </c>
      <c r="J2097" t="s">
        <v>15</v>
      </c>
      <c r="K2097">
        <v>6.33</v>
      </c>
      <c r="L2097">
        <v>0</v>
      </c>
    </row>
    <row r="2098" spans="1:12" x14ac:dyDescent="0.3">
      <c r="A2098" t="s">
        <v>2114</v>
      </c>
      <c r="B2098" t="s">
        <v>39</v>
      </c>
      <c r="C2098">
        <v>4999</v>
      </c>
      <c r="D2098">
        <v>59.99</v>
      </c>
      <c r="E2098">
        <v>10.8</v>
      </c>
      <c r="F2098">
        <f>COUNTIFS(mdr_rate_cleaned!$A$2:$A$10,B2098,mdr_rate_cleaned!$B$2:$B$10,"&lt;"&amp;C2098,mdr_rate_cleaned!$F$2:$F$10,"&gt;="&amp;C2098)</f>
        <v>1</v>
      </c>
      <c r="G2098">
        <v>1.2E-2</v>
      </c>
      <c r="H2098">
        <v>59.99</v>
      </c>
      <c r="I2098" t="s">
        <v>15</v>
      </c>
      <c r="J2098" t="s">
        <v>15</v>
      </c>
      <c r="K2098">
        <v>10.8</v>
      </c>
      <c r="L2098">
        <v>0</v>
      </c>
    </row>
    <row r="2099" spans="1:12" x14ac:dyDescent="0.3">
      <c r="A2099" t="s">
        <v>2115</v>
      </c>
      <c r="B2099" t="s">
        <v>17</v>
      </c>
      <c r="C2099">
        <v>1299</v>
      </c>
      <c r="D2099">
        <v>23.38</v>
      </c>
      <c r="E2099">
        <v>4.21</v>
      </c>
      <c r="F2099">
        <f>COUNTIFS(mdr_rate_cleaned!$A$2:$A$10,B2099,mdr_rate_cleaned!$B$2:$B$10,"&lt;"&amp;C2099,mdr_rate_cleaned!$F$2:$F$10,"&gt;="&amp;C2099)</f>
        <v>1</v>
      </c>
      <c r="G2099">
        <v>1.7999999999999999E-2</v>
      </c>
      <c r="H2099">
        <v>23.38</v>
      </c>
      <c r="I2099" t="s">
        <v>15</v>
      </c>
      <c r="J2099" t="s">
        <v>15</v>
      </c>
      <c r="K2099">
        <v>4.21</v>
      </c>
      <c r="L2099">
        <v>0</v>
      </c>
    </row>
    <row r="2100" spans="1:12" x14ac:dyDescent="0.3">
      <c r="A2100" t="s">
        <v>2116</v>
      </c>
      <c r="B2100" t="s">
        <v>13</v>
      </c>
      <c r="C2100">
        <v>8598</v>
      </c>
      <c r="D2100">
        <v>146.16999999999999</v>
      </c>
      <c r="E2100">
        <v>26.31</v>
      </c>
      <c r="F2100">
        <f>COUNTIFS(mdr_rate_cleaned!$A$2:$A$10,B2100,mdr_rate_cleaned!$B$2:$B$10,"&lt;"&amp;C2100,mdr_rate_cleaned!$F$2:$F$10,"&gt;="&amp;C2100)</f>
        <v>1</v>
      </c>
      <c r="G2100">
        <v>1.7000000000000001E-2</v>
      </c>
      <c r="H2100">
        <v>146.16999999999999</v>
      </c>
      <c r="I2100" t="s">
        <v>15</v>
      </c>
      <c r="J2100" t="s">
        <v>15</v>
      </c>
      <c r="K2100">
        <v>26.31</v>
      </c>
      <c r="L2100">
        <v>0</v>
      </c>
    </row>
    <row r="2101" spans="1:12" x14ac:dyDescent="0.3">
      <c r="A2101" t="s">
        <v>2117</v>
      </c>
      <c r="B2101" t="s">
        <v>39</v>
      </c>
      <c r="C2101">
        <v>1947</v>
      </c>
      <c r="D2101">
        <v>29.21</v>
      </c>
      <c r="E2101">
        <v>5.26</v>
      </c>
      <c r="F2101">
        <f>COUNTIFS(mdr_rate_cleaned!$A$2:$A$10,B2101,mdr_rate_cleaned!$B$2:$B$10,"&lt;"&amp;C2101,mdr_rate_cleaned!$F$2:$F$10,"&gt;="&amp;C2101)</f>
        <v>1</v>
      </c>
      <c r="G2101">
        <v>1.4999999999999999E-2</v>
      </c>
      <c r="H2101">
        <v>29.21</v>
      </c>
      <c r="I2101" t="s">
        <v>15</v>
      </c>
      <c r="J2101" t="s">
        <v>15</v>
      </c>
      <c r="K2101">
        <v>5.26</v>
      </c>
      <c r="L2101">
        <v>0</v>
      </c>
    </row>
    <row r="2102" spans="1:12" x14ac:dyDescent="0.3">
      <c r="A2102" t="s">
        <v>2118</v>
      </c>
      <c r="B2102" t="s">
        <v>21</v>
      </c>
      <c r="C2102">
        <v>6997</v>
      </c>
      <c r="D2102">
        <v>20.99</v>
      </c>
      <c r="E2102">
        <v>3.78</v>
      </c>
      <c r="F2102">
        <f>COUNTIFS(mdr_rate_cleaned!$A$2:$A$10,B2102,mdr_rate_cleaned!$B$2:$B$10,"&lt;"&amp;C2102,mdr_rate_cleaned!$F$2:$F$10,"&gt;="&amp;C2102)</f>
        <v>1</v>
      </c>
      <c r="G2102">
        <v>3.0000000000000001E-3</v>
      </c>
      <c r="H2102">
        <v>20.99</v>
      </c>
      <c r="I2102" t="s">
        <v>15</v>
      </c>
      <c r="J2102" t="s">
        <v>15</v>
      </c>
      <c r="K2102">
        <v>3.78</v>
      </c>
      <c r="L2102">
        <v>0</v>
      </c>
    </row>
    <row r="2103" spans="1:12" x14ac:dyDescent="0.3">
      <c r="A2103" t="s">
        <v>2119</v>
      </c>
      <c r="B2103" t="s">
        <v>17</v>
      </c>
      <c r="C2103">
        <v>299</v>
      </c>
      <c r="D2103">
        <v>5.38</v>
      </c>
      <c r="E2103">
        <v>0.97</v>
      </c>
      <c r="F2103">
        <f>COUNTIFS(mdr_rate_cleaned!$A$2:$A$10,B2103,mdr_rate_cleaned!$B$2:$B$10,"&lt;"&amp;C2103,mdr_rate_cleaned!$F$2:$F$10,"&gt;="&amp;C2103)</f>
        <v>1</v>
      </c>
      <c r="G2103">
        <v>1.7999999999999999E-2</v>
      </c>
      <c r="H2103">
        <v>5.38</v>
      </c>
      <c r="I2103" t="s">
        <v>15</v>
      </c>
      <c r="J2103" t="s">
        <v>15</v>
      </c>
      <c r="K2103">
        <v>0.97</v>
      </c>
      <c r="L2103">
        <v>0</v>
      </c>
    </row>
    <row r="2104" spans="1:12" x14ac:dyDescent="0.3">
      <c r="A2104" t="s">
        <v>2120</v>
      </c>
      <c r="B2104" t="s">
        <v>13</v>
      </c>
      <c r="C2104">
        <v>499</v>
      </c>
      <c r="D2104">
        <v>9.48</v>
      </c>
      <c r="E2104">
        <v>1.71</v>
      </c>
      <c r="F2104">
        <f>COUNTIFS(mdr_rate_cleaned!$A$2:$A$10,B2104,mdr_rate_cleaned!$B$2:$B$10,"&lt;"&amp;C2104,mdr_rate_cleaned!$F$2:$F$10,"&gt;="&amp;C2104)</f>
        <v>1</v>
      </c>
      <c r="G2104">
        <v>1.9E-2</v>
      </c>
      <c r="H2104">
        <v>9.48</v>
      </c>
      <c r="I2104" t="s">
        <v>15</v>
      </c>
      <c r="J2104" t="s">
        <v>15</v>
      </c>
      <c r="K2104">
        <v>1.71</v>
      </c>
      <c r="L2104">
        <v>0</v>
      </c>
    </row>
    <row r="2105" spans="1:12" x14ac:dyDescent="0.3">
      <c r="A2105" t="s">
        <v>2121</v>
      </c>
      <c r="B2105" t="s">
        <v>13</v>
      </c>
      <c r="C2105">
        <v>299</v>
      </c>
      <c r="D2105">
        <v>5.68</v>
      </c>
      <c r="E2105">
        <v>1.02</v>
      </c>
      <c r="F2105">
        <f>COUNTIFS(mdr_rate_cleaned!$A$2:$A$10,B2105,mdr_rate_cleaned!$B$2:$B$10,"&lt;"&amp;C2105,mdr_rate_cleaned!$F$2:$F$10,"&gt;="&amp;C2105)</f>
        <v>1</v>
      </c>
      <c r="G2105">
        <v>1.9E-2</v>
      </c>
      <c r="H2105">
        <v>5.68</v>
      </c>
      <c r="I2105" t="s">
        <v>15</v>
      </c>
      <c r="J2105" t="s">
        <v>15</v>
      </c>
      <c r="K2105">
        <v>1.02</v>
      </c>
      <c r="L2105">
        <v>0</v>
      </c>
    </row>
    <row r="2106" spans="1:12" x14ac:dyDescent="0.3">
      <c r="A2106" t="s">
        <v>2122</v>
      </c>
      <c r="B2106" t="s">
        <v>21</v>
      </c>
      <c r="C2106">
        <v>1499</v>
      </c>
      <c r="D2106">
        <v>0</v>
      </c>
      <c r="E2106">
        <v>0</v>
      </c>
      <c r="F2106">
        <f>COUNTIFS(mdr_rate_cleaned!$A$2:$A$10,B2106,mdr_rate_cleaned!$B$2:$B$10,"&lt;"&amp;C2106,mdr_rate_cleaned!$F$2:$F$10,"&gt;="&amp;C2106)</f>
        <v>1</v>
      </c>
      <c r="G2106">
        <v>0</v>
      </c>
      <c r="H2106">
        <v>0</v>
      </c>
      <c r="I2106" t="s">
        <v>15</v>
      </c>
      <c r="J2106" t="s">
        <v>15</v>
      </c>
      <c r="K2106">
        <v>0</v>
      </c>
      <c r="L2106">
        <v>0</v>
      </c>
    </row>
    <row r="2107" spans="1:12" x14ac:dyDescent="0.3">
      <c r="A2107" t="s">
        <v>2123</v>
      </c>
      <c r="B2107" t="s">
        <v>21</v>
      </c>
      <c r="C2107">
        <v>6097</v>
      </c>
      <c r="D2107">
        <v>18.29</v>
      </c>
      <c r="E2107">
        <v>3.29</v>
      </c>
      <c r="F2107">
        <f>COUNTIFS(mdr_rate_cleaned!$A$2:$A$10,B2107,mdr_rate_cleaned!$B$2:$B$10,"&lt;"&amp;C2107,mdr_rate_cleaned!$F$2:$F$10,"&gt;="&amp;C2107)</f>
        <v>1</v>
      </c>
      <c r="G2107">
        <v>3.0000000000000001E-3</v>
      </c>
      <c r="H2107">
        <v>18.29</v>
      </c>
      <c r="I2107" t="s">
        <v>15</v>
      </c>
      <c r="J2107" t="s">
        <v>15</v>
      </c>
      <c r="K2107">
        <v>3.29</v>
      </c>
      <c r="L2107">
        <v>0</v>
      </c>
    </row>
    <row r="2108" spans="1:12" x14ac:dyDescent="0.3">
      <c r="A2108" t="s">
        <v>2124</v>
      </c>
      <c r="B2108" t="s">
        <v>21</v>
      </c>
      <c r="C2108">
        <v>1499</v>
      </c>
      <c r="D2108">
        <v>0</v>
      </c>
      <c r="E2108">
        <v>0</v>
      </c>
      <c r="F2108">
        <f>COUNTIFS(mdr_rate_cleaned!$A$2:$A$10,B2108,mdr_rate_cleaned!$B$2:$B$10,"&lt;"&amp;C2108,mdr_rate_cleaned!$F$2:$F$10,"&gt;="&amp;C2108)</f>
        <v>1</v>
      </c>
      <c r="G2108">
        <v>0</v>
      </c>
      <c r="H2108">
        <v>0</v>
      </c>
      <c r="I2108" t="s">
        <v>15</v>
      </c>
      <c r="J2108" t="s">
        <v>15</v>
      </c>
      <c r="K2108">
        <v>0</v>
      </c>
      <c r="L2108">
        <v>0</v>
      </c>
    </row>
    <row r="2109" spans="1:12" x14ac:dyDescent="0.3">
      <c r="A2109" t="s">
        <v>2125</v>
      </c>
      <c r="B2109" t="s">
        <v>17</v>
      </c>
      <c r="C2109">
        <v>3897</v>
      </c>
      <c r="D2109">
        <v>62.35</v>
      </c>
      <c r="E2109">
        <v>11.22</v>
      </c>
      <c r="F2109">
        <f>COUNTIFS(mdr_rate_cleaned!$A$2:$A$10,B2109,mdr_rate_cleaned!$B$2:$B$10,"&lt;"&amp;C2109,mdr_rate_cleaned!$F$2:$F$10,"&gt;="&amp;C2109)</f>
        <v>1</v>
      </c>
      <c r="G2109">
        <v>1.6E-2</v>
      </c>
      <c r="H2109">
        <v>62.35</v>
      </c>
      <c r="I2109" t="s">
        <v>15</v>
      </c>
      <c r="J2109" t="s">
        <v>15</v>
      </c>
      <c r="K2109">
        <v>11.22</v>
      </c>
      <c r="L2109">
        <v>0</v>
      </c>
    </row>
    <row r="2110" spans="1:12" x14ac:dyDescent="0.3">
      <c r="A2110" t="s">
        <v>2126</v>
      </c>
      <c r="B2110" t="s">
        <v>13</v>
      </c>
      <c r="C2110">
        <v>3499</v>
      </c>
      <c r="D2110">
        <v>59.48</v>
      </c>
      <c r="E2110">
        <v>10.71</v>
      </c>
      <c r="F2110">
        <f>COUNTIFS(mdr_rate_cleaned!$A$2:$A$10,B2110,mdr_rate_cleaned!$B$2:$B$10,"&lt;"&amp;C2110,mdr_rate_cleaned!$F$2:$F$10,"&gt;="&amp;C2110)</f>
        <v>1</v>
      </c>
      <c r="G2110">
        <v>1.7000000000000001E-2</v>
      </c>
      <c r="H2110">
        <v>59.48</v>
      </c>
      <c r="I2110" t="s">
        <v>15</v>
      </c>
      <c r="J2110" t="s">
        <v>15</v>
      </c>
      <c r="K2110">
        <v>10.71</v>
      </c>
      <c r="L2110">
        <v>0</v>
      </c>
    </row>
    <row r="2111" spans="1:12" x14ac:dyDescent="0.3">
      <c r="A2111" t="s">
        <v>2127</v>
      </c>
      <c r="B2111" t="s">
        <v>13</v>
      </c>
      <c r="C2111">
        <v>999</v>
      </c>
      <c r="D2111">
        <v>18.98</v>
      </c>
      <c r="E2111">
        <v>3.42</v>
      </c>
      <c r="F2111">
        <f>COUNTIFS(mdr_rate_cleaned!$A$2:$A$10,B2111,mdr_rate_cleaned!$B$2:$B$10,"&lt;"&amp;C2111,mdr_rate_cleaned!$F$2:$F$10,"&gt;="&amp;C2111)</f>
        <v>1</v>
      </c>
      <c r="G2111">
        <v>1.9E-2</v>
      </c>
      <c r="H2111">
        <v>18.98</v>
      </c>
      <c r="I2111" t="s">
        <v>15</v>
      </c>
      <c r="J2111" t="s">
        <v>15</v>
      </c>
      <c r="K2111">
        <v>3.42</v>
      </c>
      <c r="L2111">
        <v>0</v>
      </c>
    </row>
    <row r="2112" spans="1:12" x14ac:dyDescent="0.3">
      <c r="A2112" t="s">
        <v>2128</v>
      </c>
      <c r="B2112" t="s">
        <v>17</v>
      </c>
      <c r="C2112">
        <v>4999</v>
      </c>
      <c r="D2112">
        <v>79.98</v>
      </c>
      <c r="E2112">
        <v>14.4</v>
      </c>
      <c r="F2112">
        <f>COUNTIFS(mdr_rate_cleaned!$A$2:$A$10,B2112,mdr_rate_cleaned!$B$2:$B$10,"&lt;"&amp;C2112,mdr_rate_cleaned!$F$2:$F$10,"&gt;="&amp;C2112)</f>
        <v>1</v>
      </c>
      <c r="G2112">
        <v>1.6E-2</v>
      </c>
      <c r="H2112">
        <v>79.98</v>
      </c>
      <c r="I2112" t="s">
        <v>15</v>
      </c>
      <c r="J2112" t="s">
        <v>15</v>
      </c>
      <c r="K2112">
        <v>14.4</v>
      </c>
      <c r="L2112">
        <v>0</v>
      </c>
    </row>
    <row r="2113" spans="1:12" x14ac:dyDescent="0.3">
      <c r="A2113" t="s">
        <v>2129</v>
      </c>
      <c r="B2113" t="s">
        <v>13</v>
      </c>
      <c r="C2113">
        <v>5998</v>
      </c>
      <c r="D2113">
        <v>101.97</v>
      </c>
      <c r="E2113">
        <v>18.350000000000001</v>
      </c>
      <c r="F2113">
        <f>COUNTIFS(mdr_rate_cleaned!$A$2:$A$10,B2113,mdr_rate_cleaned!$B$2:$B$10,"&lt;"&amp;C2113,mdr_rate_cleaned!$F$2:$F$10,"&gt;="&amp;C2113)</f>
        <v>1</v>
      </c>
      <c r="G2113">
        <v>1.7000000000000001E-2</v>
      </c>
      <c r="H2113">
        <v>101.97</v>
      </c>
      <c r="I2113" t="s">
        <v>15</v>
      </c>
      <c r="J2113" t="s">
        <v>15</v>
      </c>
      <c r="K2113">
        <v>18.350000000000001</v>
      </c>
      <c r="L2113">
        <v>0</v>
      </c>
    </row>
    <row r="2114" spans="1:12" x14ac:dyDescent="0.3">
      <c r="A2114" t="s">
        <v>2130</v>
      </c>
      <c r="B2114" t="s">
        <v>13</v>
      </c>
      <c r="C2114">
        <v>6298</v>
      </c>
      <c r="D2114">
        <v>107.07</v>
      </c>
      <c r="E2114">
        <v>19.27</v>
      </c>
      <c r="F2114">
        <f>COUNTIFS(mdr_rate_cleaned!$A$2:$A$10,B2114,mdr_rate_cleaned!$B$2:$B$10,"&lt;"&amp;C2114,mdr_rate_cleaned!$F$2:$F$10,"&gt;="&amp;C2114)</f>
        <v>1</v>
      </c>
      <c r="G2114">
        <v>1.7000000000000001E-2</v>
      </c>
      <c r="H2114">
        <v>107.07</v>
      </c>
      <c r="I2114" t="s">
        <v>15</v>
      </c>
      <c r="J2114" t="s">
        <v>15</v>
      </c>
      <c r="K2114">
        <v>19.27</v>
      </c>
      <c r="L2114">
        <v>0</v>
      </c>
    </row>
    <row r="2115" spans="1:12" x14ac:dyDescent="0.3">
      <c r="A2115" t="s">
        <v>2131</v>
      </c>
      <c r="B2115" t="s">
        <v>21</v>
      </c>
      <c r="C2115">
        <v>599</v>
      </c>
      <c r="D2115">
        <v>0</v>
      </c>
      <c r="E2115">
        <v>0</v>
      </c>
      <c r="F2115">
        <f>COUNTIFS(mdr_rate_cleaned!$A$2:$A$10,B2115,mdr_rate_cleaned!$B$2:$B$10,"&lt;"&amp;C2115,mdr_rate_cleaned!$F$2:$F$10,"&gt;="&amp;C2115)</f>
        <v>1</v>
      </c>
      <c r="G2115">
        <v>0</v>
      </c>
      <c r="H2115">
        <v>0</v>
      </c>
      <c r="I2115" t="s">
        <v>15</v>
      </c>
      <c r="J2115" t="s">
        <v>15</v>
      </c>
      <c r="K2115">
        <v>0</v>
      </c>
      <c r="L2115">
        <v>0</v>
      </c>
    </row>
    <row r="2116" spans="1:12" x14ac:dyDescent="0.3">
      <c r="A2116" t="s">
        <v>2132</v>
      </c>
      <c r="B2116" t="s">
        <v>21</v>
      </c>
      <c r="C2116">
        <v>3298</v>
      </c>
      <c r="D2116">
        <v>9.89</v>
      </c>
      <c r="E2116">
        <v>1.78</v>
      </c>
      <c r="F2116">
        <f>COUNTIFS(mdr_rate_cleaned!$A$2:$A$10,B2116,mdr_rate_cleaned!$B$2:$B$10,"&lt;"&amp;C2116,mdr_rate_cleaned!$F$2:$F$10,"&gt;="&amp;C2116)</f>
        <v>1</v>
      </c>
      <c r="G2116">
        <v>3.0000000000000001E-3</v>
      </c>
      <c r="H2116">
        <v>9.89</v>
      </c>
      <c r="I2116" t="s">
        <v>15</v>
      </c>
      <c r="J2116" t="s">
        <v>15</v>
      </c>
      <c r="K2116">
        <v>1.78</v>
      </c>
      <c r="L2116">
        <v>0</v>
      </c>
    </row>
    <row r="2117" spans="1:12" x14ac:dyDescent="0.3">
      <c r="A2117" t="s">
        <v>2133</v>
      </c>
      <c r="B2117" t="s">
        <v>13</v>
      </c>
      <c r="C2117">
        <v>4999</v>
      </c>
      <c r="D2117">
        <v>84.98</v>
      </c>
      <c r="E2117">
        <v>15.3</v>
      </c>
      <c r="F2117">
        <f>COUNTIFS(mdr_rate_cleaned!$A$2:$A$10,B2117,mdr_rate_cleaned!$B$2:$B$10,"&lt;"&amp;C2117,mdr_rate_cleaned!$F$2:$F$10,"&gt;="&amp;C2117)</f>
        <v>1</v>
      </c>
      <c r="G2117">
        <v>1.7000000000000001E-2</v>
      </c>
      <c r="H2117">
        <v>84.98</v>
      </c>
      <c r="I2117" t="s">
        <v>15</v>
      </c>
      <c r="J2117" t="s">
        <v>15</v>
      </c>
      <c r="K2117">
        <v>15.3</v>
      </c>
      <c r="L2117">
        <v>0</v>
      </c>
    </row>
    <row r="2118" spans="1:12" x14ac:dyDescent="0.3">
      <c r="A2118" t="s">
        <v>2134</v>
      </c>
      <c r="B2118" t="s">
        <v>21</v>
      </c>
      <c r="C2118">
        <v>2398</v>
      </c>
      <c r="D2118">
        <v>7.19</v>
      </c>
      <c r="E2118">
        <v>1.29</v>
      </c>
      <c r="F2118">
        <f>COUNTIFS(mdr_rate_cleaned!$A$2:$A$10,B2118,mdr_rate_cleaned!$B$2:$B$10,"&lt;"&amp;C2118,mdr_rate_cleaned!$F$2:$F$10,"&gt;="&amp;C2118)</f>
        <v>1</v>
      </c>
      <c r="G2118">
        <v>3.0000000000000001E-3</v>
      </c>
      <c r="H2118">
        <v>7.19</v>
      </c>
      <c r="I2118" t="s">
        <v>15</v>
      </c>
      <c r="J2118" t="s">
        <v>15</v>
      </c>
      <c r="K2118">
        <v>1.29</v>
      </c>
      <c r="L2118">
        <v>0</v>
      </c>
    </row>
    <row r="2119" spans="1:12" x14ac:dyDescent="0.3">
      <c r="A2119" t="s">
        <v>2135</v>
      </c>
      <c r="B2119" t="s">
        <v>13</v>
      </c>
      <c r="C2119">
        <v>1799</v>
      </c>
      <c r="D2119">
        <v>34.18</v>
      </c>
      <c r="E2119">
        <v>6.15</v>
      </c>
      <c r="F2119">
        <f>COUNTIFS(mdr_rate_cleaned!$A$2:$A$10,B2119,mdr_rate_cleaned!$B$2:$B$10,"&lt;"&amp;C2119,mdr_rate_cleaned!$F$2:$F$10,"&gt;="&amp;C2119)</f>
        <v>1</v>
      </c>
      <c r="G2119">
        <v>1.9E-2</v>
      </c>
      <c r="H2119">
        <v>34.18</v>
      </c>
      <c r="I2119" t="s">
        <v>15</v>
      </c>
      <c r="J2119" t="s">
        <v>15</v>
      </c>
      <c r="K2119">
        <v>6.15</v>
      </c>
      <c r="L2119">
        <v>0</v>
      </c>
    </row>
    <row r="2120" spans="1:12" x14ac:dyDescent="0.3">
      <c r="A2120" t="s">
        <v>2136</v>
      </c>
      <c r="B2120" t="s">
        <v>17</v>
      </c>
      <c r="C2120">
        <v>12998</v>
      </c>
      <c r="D2120">
        <v>207.97</v>
      </c>
      <c r="E2120">
        <v>37.43</v>
      </c>
      <c r="F2120">
        <f>COUNTIFS(mdr_rate_cleaned!$A$2:$A$10,B2120,mdr_rate_cleaned!$B$2:$B$10,"&lt;"&amp;C2120,mdr_rate_cleaned!$F$2:$F$10,"&gt;="&amp;C2120)</f>
        <v>1</v>
      </c>
      <c r="G2120">
        <v>1.6E-2</v>
      </c>
      <c r="H2120">
        <v>207.97</v>
      </c>
      <c r="I2120" t="s">
        <v>15</v>
      </c>
      <c r="J2120" t="s">
        <v>15</v>
      </c>
      <c r="K2120">
        <v>37.43</v>
      </c>
      <c r="L2120">
        <v>0</v>
      </c>
    </row>
    <row r="2121" spans="1:12" x14ac:dyDescent="0.3">
      <c r="A2121" t="s">
        <v>2137</v>
      </c>
      <c r="B2121" t="s">
        <v>21</v>
      </c>
      <c r="C2121">
        <v>2499</v>
      </c>
      <c r="D2121">
        <v>7.5</v>
      </c>
      <c r="E2121">
        <v>1.35</v>
      </c>
      <c r="F2121">
        <f>COUNTIFS(mdr_rate_cleaned!$A$2:$A$10,B2121,mdr_rate_cleaned!$B$2:$B$10,"&lt;"&amp;C2121,mdr_rate_cleaned!$F$2:$F$10,"&gt;="&amp;C2121)</f>
        <v>1</v>
      </c>
      <c r="G2121">
        <v>3.0000000000000001E-3</v>
      </c>
      <c r="H2121">
        <v>7.5</v>
      </c>
      <c r="I2121" t="s">
        <v>15</v>
      </c>
      <c r="J2121" t="s">
        <v>15</v>
      </c>
      <c r="K2121">
        <v>1.35</v>
      </c>
      <c r="L2121">
        <v>0</v>
      </c>
    </row>
    <row r="2122" spans="1:12" x14ac:dyDescent="0.3">
      <c r="A2122" t="s">
        <v>2138</v>
      </c>
      <c r="B2122" t="s">
        <v>13</v>
      </c>
      <c r="C2122">
        <v>1499</v>
      </c>
      <c r="D2122">
        <v>28.48</v>
      </c>
      <c r="E2122">
        <v>5.13</v>
      </c>
      <c r="F2122">
        <f>COUNTIFS(mdr_rate_cleaned!$A$2:$A$10,B2122,mdr_rate_cleaned!$B$2:$B$10,"&lt;"&amp;C2122,mdr_rate_cleaned!$F$2:$F$10,"&gt;="&amp;C2122)</f>
        <v>1</v>
      </c>
      <c r="G2122">
        <v>1.9E-2</v>
      </c>
      <c r="H2122">
        <v>28.48</v>
      </c>
      <c r="I2122" t="s">
        <v>15</v>
      </c>
      <c r="J2122" t="s">
        <v>15</v>
      </c>
      <c r="K2122">
        <v>5.13</v>
      </c>
      <c r="L2122">
        <v>0</v>
      </c>
    </row>
    <row r="2123" spans="1:12" x14ac:dyDescent="0.3">
      <c r="A2123" t="s">
        <v>2139</v>
      </c>
      <c r="B2123" t="s">
        <v>13</v>
      </c>
      <c r="C2123">
        <v>2999</v>
      </c>
      <c r="D2123">
        <v>50.98</v>
      </c>
      <c r="E2123">
        <v>9.18</v>
      </c>
      <c r="F2123">
        <f>COUNTIFS(mdr_rate_cleaned!$A$2:$A$10,B2123,mdr_rate_cleaned!$B$2:$B$10,"&lt;"&amp;C2123,mdr_rate_cleaned!$F$2:$F$10,"&gt;="&amp;C2123)</f>
        <v>1</v>
      </c>
      <c r="G2123">
        <v>1.7000000000000001E-2</v>
      </c>
      <c r="H2123">
        <v>50.98</v>
      </c>
      <c r="I2123" t="s">
        <v>15</v>
      </c>
      <c r="J2123" t="s">
        <v>15</v>
      </c>
      <c r="K2123">
        <v>9.18</v>
      </c>
      <c r="L2123">
        <v>0</v>
      </c>
    </row>
    <row r="2124" spans="1:12" x14ac:dyDescent="0.3">
      <c r="A2124" t="s">
        <v>2140</v>
      </c>
      <c r="B2124" t="s">
        <v>17</v>
      </c>
      <c r="C2124">
        <v>499</v>
      </c>
      <c r="D2124">
        <v>8.98</v>
      </c>
      <c r="E2124">
        <v>1.62</v>
      </c>
      <c r="F2124">
        <f>COUNTIFS(mdr_rate_cleaned!$A$2:$A$10,B2124,mdr_rate_cleaned!$B$2:$B$10,"&lt;"&amp;C2124,mdr_rate_cleaned!$F$2:$F$10,"&gt;="&amp;C2124)</f>
        <v>1</v>
      </c>
      <c r="G2124">
        <v>1.7999999999999999E-2</v>
      </c>
      <c r="H2124">
        <v>8.98</v>
      </c>
      <c r="I2124" t="s">
        <v>15</v>
      </c>
      <c r="J2124" t="s">
        <v>15</v>
      </c>
      <c r="K2124">
        <v>1.62</v>
      </c>
      <c r="L2124">
        <v>0</v>
      </c>
    </row>
    <row r="2125" spans="1:12" x14ac:dyDescent="0.3">
      <c r="A2125" t="s">
        <v>2141</v>
      </c>
      <c r="B2125" t="s">
        <v>21</v>
      </c>
      <c r="C2125">
        <v>848</v>
      </c>
      <c r="D2125">
        <v>0</v>
      </c>
      <c r="E2125">
        <v>0</v>
      </c>
      <c r="F2125">
        <f>COUNTIFS(mdr_rate_cleaned!$A$2:$A$10,B2125,mdr_rate_cleaned!$B$2:$B$10,"&lt;"&amp;C2125,mdr_rate_cleaned!$F$2:$F$10,"&gt;="&amp;C2125)</f>
        <v>1</v>
      </c>
      <c r="G2125">
        <v>0</v>
      </c>
      <c r="H2125">
        <v>0</v>
      </c>
      <c r="I2125" t="s">
        <v>15</v>
      </c>
      <c r="J2125" t="s">
        <v>15</v>
      </c>
      <c r="K2125">
        <v>0</v>
      </c>
      <c r="L2125">
        <v>0</v>
      </c>
    </row>
    <row r="2126" spans="1:12" x14ac:dyDescent="0.3">
      <c r="A2126" t="s">
        <v>2142</v>
      </c>
      <c r="B2126" t="s">
        <v>17</v>
      </c>
      <c r="C2126">
        <v>6998</v>
      </c>
      <c r="D2126">
        <v>111.97</v>
      </c>
      <c r="E2126">
        <v>20.149999999999999</v>
      </c>
      <c r="F2126">
        <f>COUNTIFS(mdr_rate_cleaned!$A$2:$A$10,B2126,mdr_rate_cleaned!$B$2:$B$10,"&lt;"&amp;C2126,mdr_rate_cleaned!$F$2:$F$10,"&gt;="&amp;C2126)</f>
        <v>1</v>
      </c>
      <c r="G2126">
        <v>1.6E-2</v>
      </c>
      <c r="H2126">
        <v>111.97</v>
      </c>
      <c r="I2126" t="s">
        <v>15</v>
      </c>
      <c r="J2126" t="s">
        <v>15</v>
      </c>
      <c r="K2126">
        <v>20.149999999999999</v>
      </c>
      <c r="L2126">
        <v>0</v>
      </c>
    </row>
    <row r="2127" spans="1:12" x14ac:dyDescent="0.3">
      <c r="A2127" t="s">
        <v>2143</v>
      </c>
      <c r="B2127" t="s">
        <v>21</v>
      </c>
      <c r="C2127">
        <v>2498</v>
      </c>
      <c r="D2127">
        <v>7.49</v>
      </c>
      <c r="E2127">
        <v>1.35</v>
      </c>
      <c r="F2127">
        <f>COUNTIFS(mdr_rate_cleaned!$A$2:$A$10,B2127,mdr_rate_cleaned!$B$2:$B$10,"&lt;"&amp;C2127,mdr_rate_cleaned!$F$2:$F$10,"&gt;="&amp;C2127)</f>
        <v>1</v>
      </c>
      <c r="G2127">
        <v>3.0000000000000001E-3</v>
      </c>
      <c r="H2127">
        <v>7.49</v>
      </c>
      <c r="I2127" t="s">
        <v>15</v>
      </c>
      <c r="J2127" t="s">
        <v>15</v>
      </c>
      <c r="K2127">
        <v>1.35</v>
      </c>
      <c r="L2127">
        <v>0</v>
      </c>
    </row>
    <row r="2128" spans="1:12" x14ac:dyDescent="0.3">
      <c r="A2128" t="s">
        <v>2144</v>
      </c>
      <c r="B2128" t="s">
        <v>21</v>
      </c>
      <c r="C2128">
        <v>1299</v>
      </c>
      <c r="D2128">
        <v>0</v>
      </c>
      <c r="E2128">
        <v>0</v>
      </c>
      <c r="F2128">
        <f>COUNTIFS(mdr_rate_cleaned!$A$2:$A$10,B2128,mdr_rate_cleaned!$B$2:$B$10,"&lt;"&amp;C2128,mdr_rate_cleaned!$F$2:$F$10,"&gt;="&amp;C2128)</f>
        <v>1</v>
      </c>
      <c r="G2128">
        <v>0</v>
      </c>
      <c r="H2128">
        <v>0</v>
      </c>
      <c r="I2128" t="s">
        <v>15</v>
      </c>
      <c r="J2128" t="s">
        <v>15</v>
      </c>
      <c r="K2128">
        <v>0</v>
      </c>
      <c r="L2128">
        <v>0</v>
      </c>
    </row>
    <row r="2129" spans="1:12" x14ac:dyDescent="0.3">
      <c r="A2129" t="s">
        <v>2145</v>
      </c>
      <c r="B2129" t="s">
        <v>17</v>
      </c>
      <c r="C2129">
        <v>12497</v>
      </c>
      <c r="D2129">
        <v>199.95</v>
      </c>
      <c r="E2129">
        <v>35.99</v>
      </c>
      <c r="F2129">
        <f>COUNTIFS(mdr_rate_cleaned!$A$2:$A$10,B2129,mdr_rate_cleaned!$B$2:$B$10,"&lt;"&amp;C2129,mdr_rate_cleaned!$F$2:$F$10,"&gt;="&amp;C2129)</f>
        <v>1</v>
      </c>
      <c r="G2129">
        <v>1.6E-2</v>
      </c>
      <c r="H2129">
        <v>199.95</v>
      </c>
      <c r="I2129" t="s">
        <v>15</v>
      </c>
      <c r="J2129" t="s">
        <v>15</v>
      </c>
      <c r="K2129">
        <v>35.99</v>
      </c>
      <c r="L2129">
        <v>0</v>
      </c>
    </row>
    <row r="2130" spans="1:12" x14ac:dyDescent="0.3">
      <c r="A2130" t="s">
        <v>2146</v>
      </c>
      <c r="B2130" t="s">
        <v>21</v>
      </c>
      <c r="C2130">
        <v>5998</v>
      </c>
      <c r="D2130">
        <v>17.989999999999998</v>
      </c>
      <c r="E2130">
        <v>3.24</v>
      </c>
      <c r="F2130">
        <f>COUNTIFS(mdr_rate_cleaned!$A$2:$A$10,B2130,mdr_rate_cleaned!$B$2:$B$10,"&lt;"&amp;C2130,mdr_rate_cleaned!$F$2:$F$10,"&gt;="&amp;C2130)</f>
        <v>1</v>
      </c>
      <c r="G2130">
        <v>3.0000000000000001E-3</v>
      </c>
      <c r="H2130">
        <v>17.989999999999998</v>
      </c>
      <c r="I2130" t="s">
        <v>15</v>
      </c>
      <c r="J2130" t="s">
        <v>15</v>
      </c>
      <c r="K2130">
        <v>3.24</v>
      </c>
      <c r="L2130">
        <v>0</v>
      </c>
    </row>
    <row r="2131" spans="1:12" x14ac:dyDescent="0.3">
      <c r="A2131" t="s">
        <v>2147</v>
      </c>
      <c r="B2131" t="s">
        <v>39</v>
      </c>
      <c r="C2131">
        <v>499</v>
      </c>
      <c r="D2131">
        <v>7.49</v>
      </c>
      <c r="E2131">
        <v>1.35</v>
      </c>
      <c r="F2131">
        <f>COUNTIFS(mdr_rate_cleaned!$A$2:$A$10,B2131,mdr_rate_cleaned!$B$2:$B$10,"&lt;"&amp;C2131,mdr_rate_cleaned!$F$2:$F$10,"&gt;="&amp;C2131)</f>
        <v>1</v>
      </c>
      <c r="G2131">
        <v>1.4999999999999999E-2</v>
      </c>
      <c r="H2131">
        <v>7.49</v>
      </c>
      <c r="I2131" t="s">
        <v>15</v>
      </c>
      <c r="J2131" t="s">
        <v>15</v>
      </c>
      <c r="K2131">
        <v>1.35</v>
      </c>
      <c r="L2131">
        <v>0</v>
      </c>
    </row>
    <row r="2132" spans="1:12" x14ac:dyDescent="0.3">
      <c r="A2132" t="s">
        <v>2148</v>
      </c>
      <c r="B2132" t="s">
        <v>17</v>
      </c>
      <c r="C2132">
        <v>2999</v>
      </c>
      <c r="D2132">
        <v>47.98</v>
      </c>
      <c r="E2132">
        <v>8.64</v>
      </c>
      <c r="F2132">
        <f>COUNTIFS(mdr_rate_cleaned!$A$2:$A$10,B2132,mdr_rate_cleaned!$B$2:$B$10,"&lt;"&amp;C2132,mdr_rate_cleaned!$F$2:$F$10,"&gt;="&amp;C2132)</f>
        <v>1</v>
      </c>
      <c r="G2132">
        <v>1.6E-2</v>
      </c>
      <c r="H2132">
        <v>47.98</v>
      </c>
      <c r="I2132" t="s">
        <v>15</v>
      </c>
      <c r="J2132" t="s">
        <v>15</v>
      </c>
      <c r="K2132">
        <v>8.64</v>
      </c>
      <c r="L2132">
        <v>0</v>
      </c>
    </row>
    <row r="2133" spans="1:12" x14ac:dyDescent="0.3">
      <c r="A2133" t="s">
        <v>2149</v>
      </c>
      <c r="B2133" t="s">
        <v>21</v>
      </c>
      <c r="C2133">
        <v>299</v>
      </c>
      <c r="D2133">
        <v>0.9</v>
      </c>
      <c r="E2133">
        <v>0.16</v>
      </c>
      <c r="F2133">
        <f>COUNTIFS(mdr_rate_cleaned!$A$2:$A$10,B2133,mdr_rate_cleaned!$B$2:$B$10,"&lt;"&amp;C2133,mdr_rate_cleaned!$F$2:$F$10,"&gt;="&amp;C2133)</f>
        <v>1</v>
      </c>
      <c r="G2133">
        <v>0</v>
      </c>
      <c r="H2133">
        <v>0</v>
      </c>
      <c r="I2133" t="s">
        <v>14</v>
      </c>
      <c r="J2133" t="s">
        <v>15</v>
      </c>
      <c r="K2133">
        <v>0</v>
      </c>
      <c r="L2133">
        <v>1.06</v>
      </c>
    </row>
    <row r="2134" spans="1:12" x14ac:dyDescent="0.3">
      <c r="A2134" t="s">
        <v>2150</v>
      </c>
      <c r="B2134" t="s">
        <v>21</v>
      </c>
      <c r="C2134">
        <v>4999</v>
      </c>
      <c r="D2134">
        <v>15</v>
      </c>
      <c r="E2134">
        <v>2.7</v>
      </c>
      <c r="F2134">
        <f>COUNTIFS(mdr_rate_cleaned!$A$2:$A$10,B2134,mdr_rate_cleaned!$B$2:$B$10,"&lt;"&amp;C2134,mdr_rate_cleaned!$F$2:$F$10,"&gt;="&amp;C2134)</f>
        <v>1</v>
      </c>
      <c r="G2134">
        <v>3.0000000000000001E-3</v>
      </c>
      <c r="H2134">
        <v>15</v>
      </c>
      <c r="I2134" t="s">
        <v>15</v>
      </c>
      <c r="J2134" t="s">
        <v>15</v>
      </c>
      <c r="K2134">
        <v>2.7</v>
      </c>
      <c r="L2134">
        <v>0</v>
      </c>
    </row>
    <row r="2135" spans="1:12" x14ac:dyDescent="0.3">
      <c r="A2135" t="s">
        <v>2151</v>
      </c>
      <c r="B2135" t="s">
        <v>21</v>
      </c>
      <c r="C2135">
        <v>349</v>
      </c>
      <c r="D2135">
        <v>0</v>
      </c>
      <c r="E2135">
        <v>0</v>
      </c>
      <c r="F2135">
        <f>COUNTIFS(mdr_rate_cleaned!$A$2:$A$10,B2135,mdr_rate_cleaned!$B$2:$B$10,"&lt;"&amp;C2135,mdr_rate_cleaned!$F$2:$F$10,"&gt;="&amp;C2135)</f>
        <v>1</v>
      </c>
      <c r="G2135">
        <v>0</v>
      </c>
      <c r="H2135">
        <v>0</v>
      </c>
      <c r="I2135" t="s">
        <v>15</v>
      </c>
      <c r="J2135" t="s">
        <v>15</v>
      </c>
      <c r="K2135">
        <v>0</v>
      </c>
      <c r="L2135">
        <v>0</v>
      </c>
    </row>
    <row r="2136" spans="1:12" x14ac:dyDescent="0.3">
      <c r="A2136" t="s">
        <v>2152</v>
      </c>
      <c r="B2136" t="s">
        <v>21</v>
      </c>
      <c r="C2136">
        <v>3499</v>
      </c>
      <c r="D2136">
        <v>10.5</v>
      </c>
      <c r="E2136">
        <v>1.89</v>
      </c>
      <c r="F2136">
        <f>COUNTIFS(mdr_rate_cleaned!$A$2:$A$10,B2136,mdr_rate_cleaned!$B$2:$B$10,"&lt;"&amp;C2136,mdr_rate_cleaned!$F$2:$F$10,"&gt;="&amp;C2136)</f>
        <v>1</v>
      </c>
      <c r="G2136">
        <v>3.0000000000000001E-3</v>
      </c>
      <c r="H2136">
        <v>10.5</v>
      </c>
      <c r="I2136" t="s">
        <v>15</v>
      </c>
      <c r="J2136" t="s">
        <v>15</v>
      </c>
      <c r="K2136">
        <v>1.89</v>
      </c>
      <c r="L2136">
        <v>0</v>
      </c>
    </row>
    <row r="2137" spans="1:12" x14ac:dyDescent="0.3">
      <c r="A2137" t="s">
        <v>2153</v>
      </c>
      <c r="B2137" t="s">
        <v>39</v>
      </c>
      <c r="C2137">
        <v>999</v>
      </c>
      <c r="D2137">
        <v>14.99</v>
      </c>
      <c r="E2137">
        <v>2.7</v>
      </c>
      <c r="F2137">
        <f>COUNTIFS(mdr_rate_cleaned!$A$2:$A$10,B2137,mdr_rate_cleaned!$B$2:$B$10,"&lt;"&amp;C2137,mdr_rate_cleaned!$F$2:$F$10,"&gt;="&amp;C2137)</f>
        <v>1</v>
      </c>
      <c r="G2137">
        <v>1.4999999999999999E-2</v>
      </c>
      <c r="H2137">
        <v>14.99</v>
      </c>
      <c r="I2137" t="s">
        <v>15</v>
      </c>
      <c r="J2137" t="s">
        <v>15</v>
      </c>
      <c r="K2137">
        <v>2.7</v>
      </c>
      <c r="L2137">
        <v>0</v>
      </c>
    </row>
    <row r="2138" spans="1:12" x14ac:dyDescent="0.3">
      <c r="A2138" t="s">
        <v>2154</v>
      </c>
      <c r="B2138" t="s">
        <v>21</v>
      </c>
      <c r="C2138">
        <v>7999</v>
      </c>
      <c r="D2138">
        <v>24</v>
      </c>
      <c r="E2138">
        <v>4.32</v>
      </c>
      <c r="F2138">
        <f>COUNTIFS(mdr_rate_cleaned!$A$2:$A$10,B2138,mdr_rate_cleaned!$B$2:$B$10,"&lt;"&amp;C2138,mdr_rate_cleaned!$F$2:$F$10,"&gt;="&amp;C2138)</f>
        <v>1</v>
      </c>
      <c r="G2138">
        <v>3.0000000000000001E-3</v>
      </c>
      <c r="H2138">
        <v>24</v>
      </c>
      <c r="I2138" t="s">
        <v>15</v>
      </c>
      <c r="J2138" t="s">
        <v>15</v>
      </c>
      <c r="K2138">
        <v>4.32</v>
      </c>
      <c r="L2138">
        <v>0</v>
      </c>
    </row>
    <row r="2139" spans="1:12" x14ac:dyDescent="0.3">
      <c r="A2139" t="s">
        <v>2155</v>
      </c>
      <c r="B2139" t="s">
        <v>21</v>
      </c>
      <c r="C2139">
        <v>5998</v>
      </c>
      <c r="D2139">
        <v>17.989999999999998</v>
      </c>
      <c r="E2139">
        <v>3.24</v>
      </c>
      <c r="F2139">
        <f>COUNTIFS(mdr_rate_cleaned!$A$2:$A$10,B2139,mdr_rate_cleaned!$B$2:$B$10,"&lt;"&amp;C2139,mdr_rate_cleaned!$F$2:$F$10,"&gt;="&amp;C2139)</f>
        <v>1</v>
      </c>
      <c r="G2139">
        <v>3.0000000000000001E-3</v>
      </c>
      <c r="H2139">
        <v>17.989999999999998</v>
      </c>
      <c r="I2139" t="s">
        <v>15</v>
      </c>
      <c r="J2139" t="s">
        <v>15</v>
      </c>
      <c r="K2139">
        <v>3.24</v>
      </c>
      <c r="L2139">
        <v>0</v>
      </c>
    </row>
    <row r="2140" spans="1:12" x14ac:dyDescent="0.3">
      <c r="A2140" t="s">
        <v>2156</v>
      </c>
      <c r="B2140" t="s">
        <v>17</v>
      </c>
      <c r="C2140">
        <v>2098</v>
      </c>
      <c r="D2140">
        <v>33.57</v>
      </c>
      <c r="E2140">
        <v>6.04</v>
      </c>
      <c r="F2140">
        <f>COUNTIFS(mdr_rate_cleaned!$A$2:$A$10,B2140,mdr_rate_cleaned!$B$2:$B$10,"&lt;"&amp;C2140,mdr_rate_cleaned!$F$2:$F$10,"&gt;="&amp;C2140)</f>
        <v>1</v>
      </c>
      <c r="G2140">
        <v>1.6E-2</v>
      </c>
      <c r="H2140">
        <v>33.57</v>
      </c>
      <c r="I2140" t="s">
        <v>15</v>
      </c>
      <c r="J2140" t="s">
        <v>15</v>
      </c>
      <c r="K2140">
        <v>6.04</v>
      </c>
      <c r="L2140">
        <v>0</v>
      </c>
    </row>
    <row r="2141" spans="1:12" x14ac:dyDescent="0.3">
      <c r="A2141" t="s">
        <v>2157</v>
      </c>
      <c r="B2141" t="s">
        <v>17</v>
      </c>
      <c r="C2141">
        <v>3797</v>
      </c>
      <c r="D2141">
        <v>60.75</v>
      </c>
      <c r="E2141">
        <v>10.94</v>
      </c>
      <c r="F2141">
        <f>COUNTIFS(mdr_rate_cleaned!$A$2:$A$10,B2141,mdr_rate_cleaned!$B$2:$B$10,"&lt;"&amp;C2141,mdr_rate_cleaned!$F$2:$F$10,"&gt;="&amp;C2141)</f>
        <v>1</v>
      </c>
      <c r="G2141">
        <v>1.6E-2</v>
      </c>
      <c r="H2141">
        <v>60.75</v>
      </c>
      <c r="I2141" t="s">
        <v>15</v>
      </c>
      <c r="J2141" t="s">
        <v>15</v>
      </c>
      <c r="K2141">
        <v>10.94</v>
      </c>
      <c r="L2141">
        <v>0</v>
      </c>
    </row>
    <row r="2142" spans="1:12" x14ac:dyDescent="0.3">
      <c r="A2142" t="s">
        <v>2158</v>
      </c>
      <c r="B2142" t="s">
        <v>21</v>
      </c>
      <c r="C2142">
        <v>1499</v>
      </c>
      <c r="D2142">
        <v>0</v>
      </c>
      <c r="E2142">
        <v>0</v>
      </c>
      <c r="F2142">
        <f>COUNTIFS(mdr_rate_cleaned!$A$2:$A$10,B2142,mdr_rate_cleaned!$B$2:$B$10,"&lt;"&amp;C2142,mdr_rate_cleaned!$F$2:$F$10,"&gt;="&amp;C2142)</f>
        <v>1</v>
      </c>
      <c r="G2142">
        <v>0</v>
      </c>
      <c r="H2142">
        <v>0</v>
      </c>
      <c r="I2142" t="s">
        <v>15</v>
      </c>
      <c r="J2142" t="s">
        <v>15</v>
      </c>
      <c r="K2142">
        <v>0</v>
      </c>
      <c r="L2142">
        <v>0</v>
      </c>
    </row>
    <row r="2143" spans="1:12" x14ac:dyDescent="0.3">
      <c r="A2143" t="s">
        <v>2159</v>
      </c>
      <c r="B2143" t="s">
        <v>17</v>
      </c>
      <c r="C2143">
        <v>8298</v>
      </c>
      <c r="D2143">
        <v>132.77000000000001</v>
      </c>
      <c r="E2143">
        <v>23.9</v>
      </c>
      <c r="F2143">
        <f>COUNTIFS(mdr_rate_cleaned!$A$2:$A$10,B2143,mdr_rate_cleaned!$B$2:$B$10,"&lt;"&amp;C2143,mdr_rate_cleaned!$F$2:$F$10,"&gt;="&amp;C2143)</f>
        <v>1</v>
      </c>
      <c r="G2143">
        <v>1.6E-2</v>
      </c>
      <c r="H2143">
        <v>132.77000000000001</v>
      </c>
      <c r="I2143" t="s">
        <v>15</v>
      </c>
      <c r="J2143" t="s">
        <v>15</v>
      </c>
      <c r="K2143">
        <v>23.9</v>
      </c>
      <c r="L2143">
        <v>0</v>
      </c>
    </row>
    <row r="2144" spans="1:12" x14ac:dyDescent="0.3">
      <c r="A2144" t="s">
        <v>2160</v>
      </c>
      <c r="B2144" t="s">
        <v>39</v>
      </c>
      <c r="C2144">
        <v>2097</v>
      </c>
      <c r="D2144">
        <v>25.16</v>
      </c>
      <c r="E2144">
        <v>4.53</v>
      </c>
      <c r="F2144">
        <f>COUNTIFS(mdr_rate_cleaned!$A$2:$A$10,B2144,mdr_rate_cleaned!$B$2:$B$10,"&lt;"&amp;C2144,mdr_rate_cleaned!$F$2:$F$10,"&gt;="&amp;C2144)</f>
        <v>1</v>
      </c>
      <c r="G2144">
        <v>1.2E-2</v>
      </c>
      <c r="H2144">
        <v>25.16</v>
      </c>
      <c r="I2144" t="s">
        <v>15</v>
      </c>
      <c r="J2144" t="s">
        <v>15</v>
      </c>
      <c r="K2144">
        <v>4.53</v>
      </c>
      <c r="L2144">
        <v>0</v>
      </c>
    </row>
    <row r="2145" spans="1:12" x14ac:dyDescent="0.3">
      <c r="A2145" t="s">
        <v>2161</v>
      </c>
      <c r="B2145" t="s">
        <v>17</v>
      </c>
      <c r="C2145">
        <v>4999</v>
      </c>
      <c r="D2145">
        <v>79.98</v>
      </c>
      <c r="E2145">
        <v>14.4</v>
      </c>
      <c r="F2145">
        <f>COUNTIFS(mdr_rate_cleaned!$A$2:$A$10,B2145,mdr_rate_cleaned!$B$2:$B$10,"&lt;"&amp;C2145,mdr_rate_cleaned!$F$2:$F$10,"&gt;="&amp;C2145)</f>
        <v>1</v>
      </c>
      <c r="G2145">
        <v>1.6E-2</v>
      </c>
      <c r="H2145">
        <v>79.98</v>
      </c>
      <c r="I2145" t="s">
        <v>15</v>
      </c>
      <c r="J2145" t="s">
        <v>15</v>
      </c>
      <c r="K2145">
        <v>14.4</v>
      </c>
      <c r="L2145">
        <v>0</v>
      </c>
    </row>
    <row r="2146" spans="1:12" x14ac:dyDescent="0.3">
      <c r="A2146" t="s">
        <v>2162</v>
      </c>
      <c r="B2146" t="s">
        <v>17</v>
      </c>
      <c r="C2146">
        <v>1299</v>
      </c>
      <c r="D2146">
        <v>23.38</v>
      </c>
      <c r="E2146">
        <v>4.21</v>
      </c>
      <c r="F2146">
        <f>COUNTIFS(mdr_rate_cleaned!$A$2:$A$10,B2146,mdr_rate_cleaned!$B$2:$B$10,"&lt;"&amp;C2146,mdr_rate_cleaned!$F$2:$F$10,"&gt;="&amp;C2146)</f>
        <v>1</v>
      </c>
      <c r="G2146">
        <v>1.7999999999999999E-2</v>
      </c>
      <c r="H2146">
        <v>23.38</v>
      </c>
      <c r="I2146" t="s">
        <v>15</v>
      </c>
      <c r="J2146" t="s">
        <v>15</v>
      </c>
      <c r="K2146">
        <v>4.21</v>
      </c>
      <c r="L2146">
        <v>0</v>
      </c>
    </row>
    <row r="2147" spans="1:12" x14ac:dyDescent="0.3">
      <c r="A2147" t="s">
        <v>2163</v>
      </c>
      <c r="B2147" t="s">
        <v>21</v>
      </c>
      <c r="C2147">
        <v>2499</v>
      </c>
      <c r="D2147">
        <v>7.5</v>
      </c>
      <c r="E2147">
        <v>1.35</v>
      </c>
      <c r="F2147">
        <f>COUNTIFS(mdr_rate_cleaned!$A$2:$A$10,B2147,mdr_rate_cleaned!$B$2:$B$10,"&lt;"&amp;C2147,mdr_rate_cleaned!$F$2:$F$10,"&gt;="&amp;C2147)</f>
        <v>1</v>
      </c>
      <c r="G2147">
        <v>3.0000000000000001E-3</v>
      </c>
      <c r="H2147">
        <v>7.5</v>
      </c>
      <c r="I2147" t="s">
        <v>15</v>
      </c>
      <c r="J2147" t="s">
        <v>15</v>
      </c>
      <c r="K2147">
        <v>1.35</v>
      </c>
      <c r="L2147">
        <v>0</v>
      </c>
    </row>
    <row r="2148" spans="1:12" x14ac:dyDescent="0.3">
      <c r="A2148" t="s">
        <v>2164</v>
      </c>
      <c r="B2148" t="s">
        <v>17</v>
      </c>
      <c r="C2148">
        <v>3499</v>
      </c>
      <c r="D2148">
        <v>55.98</v>
      </c>
      <c r="E2148">
        <v>10.08</v>
      </c>
      <c r="F2148">
        <f>COUNTIFS(mdr_rate_cleaned!$A$2:$A$10,B2148,mdr_rate_cleaned!$B$2:$B$10,"&lt;"&amp;C2148,mdr_rate_cleaned!$F$2:$F$10,"&gt;="&amp;C2148)</f>
        <v>1</v>
      </c>
      <c r="G2148">
        <v>1.6E-2</v>
      </c>
      <c r="H2148">
        <v>55.98</v>
      </c>
      <c r="I2148" t="s">
        <v>15</v>
      </c>
      <c r="J2148" t="s">
        <v>15</v>
      </c>
      <c r="K2148">
        <v>10.08</v>
      </c>
      <c r="L2148">
        <v>0</v>
      </c>
    </row>
    <row r="2149" spans="1:12" x14ac:dyDescent="0.3">
      <c r="A2149" t="s">
        <v>2165</v>
      </c>
      <c r="B2149" t="s">
        <v>17</v>
      </c>
      <c r="C2149">
        <v>7597</v>
      </c>
      <c r="D2149">
        <v>121.55</v>
      </c>
      <c r="E2149">
        <v>21.88</v>
      </c>
      <c r="F2149">
        <f>COUNTIFS(mdr_rate_cleaned!$A$2:$A$10,B2149,mdr_rate_cleaned!$B$2:$B$10,"&lt;"&amp;C2149,mdr_rate_cleaned!$F$2:$F$10,"&gt;="&amp;C2149)</f>
        <v>1</v>
      </c>
      <c r="G2149">
        <v>1.6E-2</v>
      </c>
      <c r="H2149">
        <v>121.55</v>
      </c>
      <c r="I2149" t="s">
        <v>15</v>
      </c>
      <c r="J2149" t="s">
        <v>15</v>
      </c>
      <c r="K2149">
        <v>21.88</v>
      </c>
      <c r="L2149">
        <v>0</v>
      </c>
    </row>
    <row r="2150" spans="1:12" x14ac:dyDescent="0.3">
      <c r="A2150" t="s">
        <v>2166</v>
      </c>
      <c r="B2150" t="s">
        <v>21</v>
      </c>
      <c r="C2150">
        <v>1098</v>
      </c>
      <c r="D2150">
        <v>0</v>
      </c>
      <c r="E2150">
        <v>0</v>
      </c>
      <c r="F2150">
        <f>COUNTIFS(mdr_rate_cleaned!$A$2:$A$10,B2150,mdr_rate_cleaned!$B$2:$B$10,"&lt;"&amp;C2150,mdr_rate_cleaned!$F$2:$F$10,"&gt;="&amp;C2150)</f>
        <v>1</v>
      </c>
      <c r="G2150">
        <v>0</v>
      </c>
      <c r="H2150">
        <v>0</v>
      </c>
      <c r="I2150" t="s">
        <v>15</v>
      </c>
      <c r="J2150" t="s">
        <v>15</v>
      </c>
      <c r="K2150">
        <v>0</v>
      </c>
      <c r="L2150">
        <v>0</v>
      </c>
    </row>
    <row r="2151" spans="1:12" x14ac:dyDescent="0.3">
      <c r="A2151" t="s">
        <v>2167</v>
      </c>
      <c r="B2151" t="s">
        <v>17</v>
      </c>
      <c r="C2151">
        <v>8998</v>
      </c>
      <c r="D2151">
        <v>143.97</v>
      </c>
      <c r="E2151">
        <v>25.91</v>
      </c>
      <c r="F2151">
        <f>COUNTIFS(mdr_rate_cleaned!$A$2:$A$10,B2151,mdr_rate_cleaned!$B$2:$B$10,"&lt;"&amp;C2151,mdr_rate_cleaned!$F$2:$F$10,"&gt;="&amp;C2151)</f>
        <v>1</v>
      </c>
      <c r="G2151">
        <v>1.6E-2</v>
      </c>
      <c r="H2151">
        <v>143.97</v>
      </c>
      <c r="I2151" t="s">
        <v>15</v>
      </c>
      <c r="J2151" t="s">
        <v>15</v>
      </c>
      <c r="K2151">
        <v>25.91</v>
      </c>
      <c r="L2151">
        <v>0</v>
      </c>
    </row>
    <row r="2152" spans="1:12" x14ac:dyDescent="0.3">
      <c r="A2152" t="s">
        <v>2168</v>
      </c>
      <c r="B2152" t="s">
        <v>39</v>
      </c>
      <c r="C2152">
        <v>4998</v>
      </c>
      <c r="D2152">
        <v>59.98</v>
      </c>
      <c r="E2152">
        <v>10.8</v>
      </c>
      <c r="F2152">
        <f>COUNTIFS(mdr_rate_cleaned!$A$2:$A$10,B2152,mdr_rate_cleaned!$B$2:$B$10,"&lt;"&amp;C2152,mdr_rate_cleaned!$F$2:$F$10,"&gt;="&amp;C2152)</f>
        <v>1</v>
      </c>
      <c r="G2152">
        <v>1.2E-2</v>
      </c>
      <c r="H2152">
        <v>59.98</v>
      </c>
      <c r="I2152" t="s">
        <v>15</v>
      </c>
      <c r="J2152" t="s">
        <v>15</v>
      </c>
      <c r="K2152">
        <v>10.8</v>
      </c>
      <c r="L2152">
        <v>0</v>
      </c>
    </row>
    <row r="2153" spans="1:12" x14ac:dyDescent="0.3">
      <c r="A2153" t="s">
        <v>2169</v>
      </c>
      <c r="B2153" t="s">
        <v>17</v>
      </c>
      <c r="C2153">
        <v>299</v>
      </c>
      <c r="D2153">
        <v>5.38</v>
      </c>
      <c r="E2153">
        <v>0.97</v>
      </c>
      <c r="F2153">
        <f>COUNTIFS(mdr_rate_cleaned!$A$2:$A$10,B2153,mdr_rate_cleaned!$B$2:$B$10,"&lt;"&amp;C2153,mdr_rate_cleaned!$F$2:$F$10,"&gt;="&amp;C2153)</f>
        <v>1</v>
      </c>
      <c r="G2153">
        <v>1.7999999999999999E-2</v>
      </c>
      <c r="H2153">
        <v>5.38</v>
      </c>
      <c r="I2153" t="s">
        <v>15</v>
      </c>
      <c r="J2153" t="s">
        <v>15</v>
      </c>
      <c r="K2153">
        <v>0.97</v>
      </c>
      <c r="L2153">
        <v>0</v>
      </c>
    </row>
    <row r="2154" spans="1:12" x14ac:dyDescent="0.3">
      <c r="A2154" t="s">
        <v>2170</v>
      </c>
      <c r="B2154" t="s">
        <v>17</v>
      </c>
      <c r="C2154">
        <v>8298</v>
      </c>
      <c r="D2154">
        <v>132.77000000000001</v>
      </c>
      <c r="E2154">
        <v>23.9</v>
      </c>
      <c r="F2154">
        <f>COUNTIFS(mdr_rate_cleaned!$A$2:$A$10,B2154,mdr_rate_cleaned!$B$2:$B$10,"&lt;"&amp;C2154,mdr_rate_cleaned!$F$2:$F$10,"&gt;="&amp;C2154)</f>
        <v>1</v>
      </c>
      <c r="G2154">
        <v>1.6E-2</v>
      </c>
      <c r="H2154">
        <v>132.77000000000001</v>
      </c>
      <c r="I2154" t="s">
        <v>15</v>
      </c>
      <c r="J2154" t="s">
        <v>15</v>
      </c>
      <c r="K2154">
        <v>23.9</v>
      </c>
      <c r="L2154">
        <v>0</v>
      </c>
    </row>
    <row r="2155" spans="1:12" x14ac:dyDescent="0.3">
      <c r="A2155" t="s">
        <v>2171</v>
      </c>
      <c r="B2155" t="s">
        <v>21</v>
      </c>
      <c r="C2155">
        <v>2499</v>
      </c>
      <c r="D2155">
        <v>7.5</v>
      </c>
      <c r="E2155">
        <v>1.35</v>
      </c>
      <c r="F2155">
        <f>COUNTIFS(mdr_rate_cleaned!$A$2:$A$10,B2155,mdr_rate_cleaned!$B$2:$B$10,"&lt;"&amp;C2155,mdr_rate_cleaned!$F$2:$F$10,"&gt;="&amp;C2155)</f>
        <v>1</v>
      </c>
      <c r="G2155">
        <v>3.0000000000000001E-3</v>
      </c>
      <c r="H2155">
        <v>7.5</v>
      </c>
      <c r="I2155" t="s">
        <v>15</v>
      </c>
      <c r="J2155" t="s">
        <v>15</v>
      </c>
      <c r="K2155">
        <v>1.35</v>
      </c>
      <c r="L2155">
        <v>0</v>
      </c>
    </row>
    <row r="2156" spans="1:12" x14ac:dyDescent="0.3">
      <c r="A2156" t="s">
        <v>2172</v>
      </c>
      <c r="B2156" t="s">
        <v>21</v>
      </c>
      <c r="C2156">
        <v>898</v>
      </c>
      <c r="D2156">
        <v>0</v>
      </c>
      <c r="E2156">
        <v>0</v>
      </c>
      <c r="F2156">
        <f>COUNTIFS(mdr_rate_cleaned!$A$2:$A$10,B2156,mdr_rate_cleaned!$B$2:$B$10,"&lt;"&amp;C2156,mdr_rate_cleaned!$F$2:$F$10,"&gt;="&amp;C2156)</f>
        <v>1</v>
      </c>
      <c r="G2156">
        <v>0</v>
      </c>
      <c r="H2156">
        <v>0</v>
      </c>
      <c r="I2156" t="s">
        <v>15</v>
      </c>
      <c r="J2156" t="s">
        <v>15</v>
      </c>
      <c r="K2156">
        <v>0</v>
      </c>
      <c r="L2156">
        <v>0</v>
      </c>
    </row>
    <row r="2157" spans="1:12" x14ac:dyDescent="0.3">
      <c r="A2157" t="s">
        <v>2173</v>
      </c>
      <c r="B2157" t="s">
        <v>21</v>
      </c>
      <c r="C2157">
        <v>2297</v>
      </c>
      <c r="D2157">
        <v>6.89</v>
      </c>
      <c r="E2157">
        <v>1.24</v>
      </c>
      <c r="F2157">
        <f>COUNTIFS(mdr_rate_cleaned!$A$2:$A$10,B2157,mdr_rate_cleaned!$B$2:$B$10,"&lt;"&amp;C2157,mdr_rate_cleaned!$F$2:$F$10,"&gt;="&amp;C2157)</f>
        <v>1</v>
      </c>
      <c r="G2157">
        <v>3.0000000000000001E-3</v>
      </c>
      <c r="H2157">
        <v>6.89</v>
      </c>
      <c r="I2157" t="s">
        <v>15</v>
      </c>
      <c r="J2157" t="s">
        <v>15</v>
      </c>
      <c r="K2157">
        <v>1.24</v>
      </c>
      <c r="L2157">
        <v>0</v>
      </c>
    </row>
    <row r="2158" spans="1:12" x14ac:dyDescent="0.3">
      <c r="A2158" t="s">
        <v>2174</v>
      </c>
      <c r="B2158" t="s">
        <v>17</v>
      </c>
      <c r="C2158">
        <v>1598</v>
      </c>
      <c r="D2158">
        <v>28.76</v>
      </c>
      <c r="E2158">
        <v>5.18</v>
      </c>
      <c r="F2158">
        <f>COUNTIFS(mdr_rate_cleaned!$A$2:$A$10,B2158,mdr_rate_cleaned!$B$2:$B$10,"&lt;"&amp;C2158,mdr_rate_cleaned!$F$2:$F$10,"&gt;="&amp;C2158)</f>
        <v>1</v>
      </c>
      <c r="G2158">
        <v>1.7999999999999999E-2</v>
      </c>
      <c r="H2158">
        <v>28.76</v>
      </c>
      <c r="I2158" t="s">
        <v>15</v>
      </c>
      <c r="J2158" t="s">
        <v>15</v>
      </c>
      <c r="K2158">
        <v>5.18</v>
      </c>
      <c r="L2158">
        <v>0</v>
      </c>
    </row>
    <row r="2159" spans="1:12" x14ac:dyDescent="0.3">
      <c r="A2159" t="s">
        <v>2175</v>
      </c>
      <c r="B2159" t="s">
        <v>17</v>
      </c>
      <c r="C2159">
        <v>2098</v>
      </c>
      <c r="D2159">
        <v>33.57</v>
      </c>
      <c r="E2159">
        <v>6.04</v>
      </c>
      <c r="F2159">
        <f>COUNTIFS(mdr_rate_cleaned!$A$2:$A$10,B2159,mdr_rate_cleaned!$B$2:$B$10,"&lt;"&amp;C2159,mdr_rate_cleaned!$F$2:$F$10,"&gt;="&amp;C2159)</f>
        <v>1</v>
      </c>
      <c r="G2159">
        <v>1.6E-2</v>
      </c>
      <c r="H2159">
        <v>33.57</v>
      </c>
      <c r="I2159" t="s">
        <v>15</v>
      </c>
      <c r="J2159" t="s">
        <v>15</v>
      </c>
      <c r="K2159">
        <v>6.04</v>
      </c>
      <c r="L2159">
        <v>0</v>
      </c>
    </row>
    <row r="2160" spans="1:12" x14ac:dyDescent="0.3">
      <c r="A2160" t="s">
        <v>2176</v>
      </c>
      <c r="B2160" t="s">
        <v>21</v>
      </c>
      <c r="C2160">
        <v>5297</v>
      </c>
      <c r="D2160">
        <v>15.89</v>
      </c>
      <c r="E2160">
        <v>2.86</v>
      </c>
      <c r="F2160">
        <f>COUNTIFS(mdr_rate_cleaned!$A$2:$A$10,B2160,mdr_rate_cleaned!$B$2:$B$10,"&lt;"&amp;C2160,mdr_rate_cleaned!$F$2:$F$10,"&gt;="&amp;C2160)</f>
        <v>1</v>
      </c>
      <c r="G2160">
        <v>3.0000000000000001E-3</v>
      </c>
      <c r="H2160">
        <v>15.89</v>
      </c>
      <c r="I2160" t="s">
        <v>15</v>
      </c>
      <c r="J2160" t="s">
        <v>15</v>
      </c>
      <c r="K2160">
        <v>2.86</v>
      </c>
      <c r="L2160">
        <v>0</v>
      </c>
    </row>
    <row r="2161" spans="1:12" x14ac:dyDescent="0.3">
      <c r="A2161" t="s">
        <v>2177</v>
      </c>
      <c r="B2161" t="s">
        <v>39</v>
      </c>
      <c r="C2161">
        <v>1499</v>
      </c>
      <c r="D2161">
        <v>22.49</v>
      </c>
      <c r="E2161">
        <v>4.05</v>
      </c>
      <c r="F2161">
        <f>COUNTIFS(mdr_rate_cleaned!$A$2:$A$10,B2161,mdr_rate_cleaned!$B$2:$B$10,"&lt;"&amp;C2161,mdr_rate_cleaned!$F$2:$F$10,"&gt;="&amp;C2161)</f>
        <v>1</v>
      </c>
      <c r="G2161">
        <v>1.4999999999999999E-2</v>
      </c>
      <c r="H2161">
        <v>22.49</v>
      </c>
      <c r="I2161" t="s">
        <v>15</v>
      </c>
      <c r="J2161" t="s">
        <v>15</v>
      </c>
      <c r="K2161">
        <v>4.05</v>
      </c>
      <c r="L2161">
        <v>0</v>
      </c>
    </row>
    <row r="2162" spans="1:12" x14ac:dyDescent="0.3">
      <c r="A2162" t="s">
        <v>2178</v>
      </c>
      <c r="B2162" t="s">
        <v>17</v>
      </c>
      <c r="C2162">
        <v>10147</v>
      </c>
      <c r="D2162">
        <v>162.35</v>
      </c>
      <c r="E2162">
        <v>29.22</v>
      </c>
      <c r="F2162">
        <f>COUNTIFS(mdr_rate_cleaned!$A$2:$A$10,B2162,mdr_rate_cleaned!$B$2:$B$10,"&lt;"&amp;C2162,mdr_rate_cleaned!$F$2:$F$10,"&gt;="&amp;C2162)</f>
        <v>1</v>
      </c>
      <c r="G2162">
        <v>1.6E-2</v>
      </c>
      <c r="H2162">
        <v>162.35</v>
      </c>
      <c r="I2162" t="s">
        <v>15</v>
      </c>
      <c r="J2162" t="s">
        <v>15</v>
      </c>
      <c r="K2162">
        <v>29.22</v>
      </c>
      <c r="L2162">
        <v>0</v>
      </c>
    </row>
    <row r="2163" spans="1:12" x14ac:dyDescent="0.3">
      <c r="A2163" t="s">
        <v>2179</v>
      </c>
      <c r="B2163" t="s">
        <v>21</v>
      </c>
      <c r="C2163">
        <v>2499</v>
      </c>
      <c r="D2163">
        <v>7.5</v>
      </c>
      <c r="E2163">
        <v>1.35</v>
      </c>
      <c r="F2163">
        <f>COUNTIFS(mdr_rate_cleaned!$A$2:$A$10,B2163,mdr_rate_cleaned!$B$2:$B$10,"&lt;"&amp;C2163,mdr_rate_cleaned!$F$2:$F$10,"&gt;="&amp;C2163)</f>
        <v>1</v>
      </c>
      <c r="G2163">
        <v>3.0000000000000001E-3</v>
      </c>
      <c r="H2163">
        <v>7.5</v>
      </c>
      <c r="I2163" t="s">
        <v>15</v>
      </c>
      <c r="J2163" t="s">
        <v>15</v>
      </c>
      <c r="K2163">
        <v>1.35</v>
      </c>
      <c r="L2163">
        <v>0</v>
      </c>
    </row>
    <row r="2164" spans="1:12" x14ac:dyDescent="0.3">
      <c r="A2164" t="s">
        <v>2180</v>
      </c>
      <c r="B2164" t="s">
        <v>17</v>
      </c>
      <c r="C2164">
        <v>1098</v>
      </c>
      <c r="D2164">
        <v>19.760000000000002</v>
      </c>
      <c r="E2164">
        <v>3.56</v>
      </c>
      <c r="F2164">
        <f>COUNTIFS(mdr_rate_cleaned!$A$2:$A$10,B2164,mdr_rate_cleaned!$B$2:$B$10,"&lt;"&amp;C2164,mdr_rate_cleaned!$F$2:$F$10,"&gt;="&amp;C2164)</f>
        <v>1</v>
      </c>
      <c r="G2164">
        <v>1.7999999999999999E-2</v>
      </c>
      <c r="H2164">
        <v>19.760000000000002</v>
      </c>
      <c r="I2164" t="s">
        <v>15</v>
      </c>
      <c r="J2164" t="s">
        <v>15</v>
      </c>
      <c r="K2164">
        <v>3.56</v>
      </c>
      <c r="L2164">
        <v>0</v>
      </c>
    </row>
    <row r="2165" spans="1:12" x14ac:dyDescent="0.3">
      <c r="A2165" t="s">
        <v>2181</v>
      </c>
      <c r="B2165" t="s">
        <v>13</v>
      </c>
      <c r="C2165">
        <v>4298</v>
      </c>
      <c r="D2165">
        <v>73.069999999999993</v>
      </c>
      <c r="E2165">
        <v>13.15</v>
      </c>
      <c r="F2165">
        <f>COUNTIFS(mdr_rate_cleaned!$A$2:$A$10,B2165,mdr_rate_cleaned!$B$2:$B$10,"&lt;"&amp;C2165,mdr_rate_cleaned!$F$2:$F$10,"&gt;="&amp;C2165)</f>
        <v>1</v>
      </c>
      <c r="G2165">
        <v>1.7000000000000001E-2</v>
      </c>
      <c r="H2165">
        <v>73.069999999999993</v>
      </c>
      <c r="I2165" t="s">
        <v>15</v>
      </c>
      <c r="J2165" t="s">
        <v>15</v>
      </c>
      <c r="K2165">
        <v>13.15</v>
      </c>
      <c r="L2165">
        <v>0</v>
      </c>
    </row>
    <row r="2166" spans="1:12" x14ac:dyDescent="0.3">
      <c r="A2166" t="s">
        <v>2182</v>
      </c>
      <c r="B2166" t="s">
        <v>17</v>
      </c>
      <c r="C2166">
        <v>3499</v>
      </c>
      <c r="D2166">
        <v>55.98</v>
      </c>
      <c r="E2166">
        <v>10.08</v>
      </c>
      <c r="F2166">
        <f>COUNTIFS(mdr_rate_cleaned!$A$2:$A$10,B2166,mdr_rate_cleaned!$B$2:$B$10,"&lt;"&amp;C2166,mdr_rate_cleaned!$F$2:$F$10,"&gt;="&amp;C2166)</f>
        <v>1</v>
      </c>
      <c r="G2166">
        <v>1.6E-2</v>
      </c>
      <c r="H2166">
        <v>55.98</v>
      </c>
      <c r="I2166" t="s">
        <v>15</v>
      </c>
      <c r="J2166" t="s">
        <v>15</v>
      </c>
      <c r="K2166">
        <v>10.08</v>
      </c>
      <c r="L2166">
        <v>0</v>
      </c>
    </row>
    <row r="2167" spans="1:12" x14ac:dyDescent="0.3">
      <c r="A2167" t="s">
        <v>2183</v>
      </c>
      <c r="B2167" t="s">
        <v>17</v>
      </c>
      <c r="C2167">
        <v>11497</v>
      </c>
      <c r="D2167">
        <v>183.95</v>
      </c>
      <c r="E2167">
        <v>33.11</v>
      </c>
      <c r="F2167">
        <f>COUNTIFS(mdr_rate_cleaned!$A$2:$A$10,B2167,mdr_rate_cleaned!$B$2:$B$10,"&lt;"&amp;C2167,mdr_rate_cleaned!$F$2:$F$10,"&gt;="&amp;C2167)</f>
        <v>1</v>
      </c>
      <c r="G2167">
        <v>1.6E-2</v>
      </c>
      <c r="H2167">
        <v>183.95</v>
      </c>
      <c r="I2167" t="s">
        <v>15</v>
      </c>
      <c r="J2167" t="s">
        <v>15</v>
      </c>
      <c r="K2167">
        <v>33.11</v>
      </c>
      <c r="L2167">
        <v>0</v>
      </c>
    </row>
    <row r="2168" spans="1:12" x14ac:dyDescent="0.3">
      <c r="A2168" t="s">
        <v>2184</v>
      </c>
      <c r="B2168" t="s">
        <v>17</v>
      </c>
      <c r="C2168">
        <v>3298</v>
      </c>
      <c r="D2168">
        <v>52.77</v>
      </c>
      <c r="E2168">
        <v>9.5</v>
      </c>
      <c r="F2168">
        <f>COUNTIFS(mdr_rate_cleaned!$A$2:$A$10,B2168,mdr_rate_cleaned!$B$2:$B$10,"&lt;"&amp;C2168,mdr_rate_cleaned!$F$2:$F$10,"&gt;="&amp;C2168)</f>
        <v>1</v>
      </c>
      <c r="G2168">
        <v>1.6E-2</v>
      </c>
      <c r="H2168">
        <v>52.77</v>
      </c>
      <c r="I2168" t="s">
        <v>15</v>
      </c>
      <c r="J2168" t="s">
        <v>15</v>
      </c>
      <c r="K2168">
        <v>9.5</v>
      </c>
      <c r="L2168">
        <v>0</v>
      </c>
    </row>
    <row r="2169" spans="1:12" x14ac:dyDescent="0.3">
      <c r="A2169" t="s">
        <v>2185</v>
      </c>
      <c r="B2169" t="s">
        <v>21</v>
      </c>
      <c r="C2169">
        <v>499</v>
      </c>
      <c r="D2169">
        <v>0</v>
      </c>
      <c r="E2169">
        <v>0</v>
      </c>
      <c r="F2169">
        <f>COUNTIFS(mdr_rate_cleaned!$A$2:$A$10,B2169,mdr_rate_cleaned!$B$2:$B$10,"&lt;"&amp;C2169,mdr_rate_cleaned!$F$2:$F$10,"&gt;="&amp;C2169)</f>
        <v>1</v>
      </c>
      <c r="G2169">
        <v>0</v>
      </c>
      <c r="H2169">
        <v>0</v>
      </c>
      <c r="I2169" t="s">
        <v>15</v>
      </c>
      <c r="J2169" t="s">
        <v>15</v>
      </c>
      <c r="K2169">
        <v>0</v>
      </c>
      <c r="L2169">
        <v>0</v>
      </c>
    </row>
    <row r="2170" spans="1:12" x14ac:dyDescent="0.3">
      <c r="A2170" t="s">
        <v>2186</v>
      </c>
      <c r="B2170" t="s">
        <v>21</v>
      </c>
      <c r="C2170">
        <v>499</v>
      </c>
      <c r="D2170">
        <v>0</v>
      </c>
      <c r="E2170">
        <v>0</v>
      </c>
      <c r="F2170">
        <f>COUNTIFS(mdr_rate_cleaned!$A$2:$A$10,B2170,mdr_rate_cleaned!$B$2:$B$10,"&lt;"&amp;C2170,mdr_rate_cleaned!$F$2:$F$10,"&gt;="&amp;C2170)</f>
        <v>1</v>
      </c>
      <c r="G2170">
        <v>0</v>
      </c>
      <c r="H2170">
        <v>0</v>
      </c>
      <c r="I2170" t="s">
        <v>15</v>
      </c>
      <c r="J2170" t="s">
        <v>15</v>
      </c>
      <c r="K2170">
        <v>0</v>
      </c>
      <c r="L2170">
        <v>0</v>
      </c>
    </row>
    <row r="2171" spans="1:12" x14ac:dyDescent="0.3">
      <c r="A2171" t="s">
        <v>2187</v>
      </c>
      <c r="B2171" t="s">
        <v>21</v>
      </c>
      <c r="C2171">
        <v>6147</v>
      </c>
      <c r="D2171">
        <v>18.440000000000001</v>
      </c>
      <c r="E2171">
        <v>3.32</v>
      </c>
      <c r="F2171">
        <f>COUNTIFS(mdr_rate_cleaned!$A$2:$A$10,B2171,mdr_rate_cleaned!$B$2:$B$10,"&lt;"&amp;C2171,mdr_rate_cleaned!$F$2:$F$10,"&gt;="&amp;C2171)</f>
        <v>1</v>
      </c>
      <c r="G2171">
        <v>3.0000000000000001E-3</v>
      </c>
      <c r="H2171">
        <v>18.440000000000001</v>
      </c>
      <c r="I2171" t="s">
        <v>15</v>
      </c>
      <c r="J2171" t="s">
        <v>15</v>
      </c>
      <c r="K2171">
        <v>3.32</v>
      </c>
      <c r="L2171">
        <v>0</v>
      </c>
    </row>
    <row r="2172" spans="1:12" x14ac:dyDescent="0.3">
      <c r="A2172" t="s">
        <v>2188</v>
      </c>
      <c r="B2172" t="s">
        <v>21</v>
      </c>
      <c r="C2172">
        <v>11498</v>
      </c>
      <c r="D2172">
        <v>34.49</v>
      </c>
      <c r="E2172">
        <v>6.21</v>
      </c>
      <c r="F2172">
        <f>COUNTIFS(mdr_rate_cleaned!$A$2:$A$10,B2172,mdr_rate_cleaned!$B$2:$B$10,"&lt;"&amp;C2172,mdr_rate_cleaned!$F$2:$F$10,"&gt;="&amp;C2172)</f>
        <v>1</v>
      </c>
      <c r="G2172">
        <v>3.0000000000000001E-3</v>
      </c>
      <c r="H2172">
        <v>34.49</v>
      </c>
      <c r="I2172" t="s">
        <v>15</v>
      </c>
      <c r="J2172" t="s">
        <v>15</v>
      </c>
      <c r="K2172">
        <v>6.21</v>
      </c>
      <c r="L2172">
        <v>0</v>
      </c>
    </row>
    <row r="2173" spans="1:12" x14ac:dyDescent="0.3">
      <c r="A2173" t="s">
        <v>2189</v>
      </c>
      <c r="B2173" t="s">
        <v>21</v>
      </c>
      <c r="C2173">
        <v>799</v>
      </c>
      <c r="D2173">
        <v>0</v>
      </c>
      <c r="E2173">
        <v>0</v>
      </c>
      <c r="F2173">
        <f>COUNTIFS(mdr_rate_cleaned!$A$2:$A$10,B2173,mdr_rate_cleaned!$B$2:$B$10,"&lt;"&amp;C2173,mdr_rate_cleaned!$F$2:$F$10,"&gt;="&amp;C2173)</f>
        <v>1</v>
      </c>
      <c r="G2173">
        <v>0</v>
      </c>
      <c r="H2173">
        <v>0</v>
      </c>
      <c r="I2173" t="s">
        <v>15</v>
      </c>
      <c r="J2173" t="s">
        <v>15</v>
      </c>
      <c r="K2173">
        <v>0</v>
      </c>
      <c r="L2173">
        <v>0</v>
      </c>
    </row>
    <row r="2174" spans="1:12" x14ac:dyDescent="0.3">
      <c r="A2174" t="s">
        <v>2190</v>
      </c>
      <c r="B2174" t="s">
        <v>21</v>
      </c>
      <c r="C2174">
        <v>299</v>
      </c>
      <c r="D2174">
        <v>0</v>
      </c>
      <c r="E2174">
        <v>0</v>
      </c>
      <c r="F2174">
        <f>COUNTIFS(mdr_rate_cleaned!$A$2:$A$10,B2174,mdr_rate_cleaned!$B$2:$B$10,"&lt;"&amp;C2174,mdr_rate_cleaned!$F$2:$F$10,"&gt;="&amp;C2174)</f>
        <v>1</v>
      </c>
      <c r="G2174">
        <v>0</v>
      </c>
      <c r="H2174">
        <v>0</v>
      </c>
      <c r="I2174" t="s">
        <v>15</v>
      </c>
      <c r="J2174" t="s">
        <v>15</v>
      </c>
      <c r="K2174">
        <v>0</v>
      </c>
      <c r="L2174">
        <v>0</v>
      </c>
    </row>
    <row r="2175" spans="1:12" x14ac:dyDescent="0.3">
      <c r="A2175" t="s">
        <v>2191</v>
      </c>
      <c r="B2175" t="s">
        <v>21</v>
      </c>
      <c r="C2175">
        <v>3499</v>
      </c>
      <c r="D2175">
        <v>10.5</v>
      </c>
      <c r="E2175">
        <v>1.89</v>
      </c>
      <c r="F2175">
        <f>COUNTIFS(mdr_rate_cleaned!$A$2:$A$10,B2175,mdr_rate_cleaned!$B$2:$B$10,"&lt;"&amp;C2175,mdr_rate_cleaned!$F$2:$F$10,"&gt;="&amp;C2175)</f>
        <v>1</v>
      </c>
      <c r="G2175">
        <v>3.0000000000000001E-3</v>
      </c>
      <c r="H2175">
        <v>10.5</v>
      </c>
      <c r="I2175" t="s">
        <v>15</v>
      </c>
      <c r="J2175" t="s">
        <v>15</v>
      </c>
      <c r="K2175">
        <v>1.89</v>
      </c>
      <c r="L2175">
        <v>0</v>
      </c>
    </row>
    <row r="2176" spans="1:12" x14ac:dyDescent="0.3">
      <c r="A2176" t="s">
        <v>2192</v>
      </c>
      <c r="B2176" t="s">
        <v>21</v>
      </c>
      <c r="C2176">
        <v>1299</v>
      </c>
      <c r="D2176">
        <v>0</v>
      </c>
      <c r="E2176">
        <v>0</v>
      </c>
      <c r="F2176">
        <f>COUNTIFS(mdr_rate_cleaned!$A$2:$A$10,B2176,mdr_rate_cleaned!$B$2:$B$10,"&lt;"&amp;C2176,mdr_rate_cleaned!$F$2:$F$10,"&gt;="&amp;C2176)</f>
        <v>1</v>
      </c>
      <c r="G2176">
        <v>0</v>
      </c>
      <c r="H2176">
        <v>0</v>
      </c>
      <c r="I2176" t="s">
        <v>15</v>
      </c>
      <c r="J2176" t="s">
        <v>15</v>
      </c>
      <c r="K2176">
        <v>0</v>
      </c>
      <c r="L2176">
        <v>0</v>
      </c>
    </row>
    <row r="2177" spans="1:12" x14ac:dyDescent="0.3">
      <c r="A2177" t="s">
        <v>2193</v>
      </c>
      <c r="B2177" t="s">
        <v>13</v>
      </c>
      <c r="C2177">
        <v>1798</v>
      </c>
      <c r="D2177">
        <v>34.159999999999997</v>
      </c>
      <c r="E2177">
        <v>6.15</v>
      </c>
      <c r="F2177">
        <f>COUNTIFS(mdr_rate_cleaned!$A$2:$A$10,B2177,mdr_rate_cleaned!$B$2:$B$10,"&lt;"&amp;C2177,mdr_rate_cleaned!$F$2:$F$10,"&gt;="&amp;C2177)</f>
        <v>1</v>
      </c>
      <c r="G2177">
        <v>1.9E-2</v>
      </c>
      <c r="H2177">
        <v>34.159999999999997</v>
      </c>
      <c r="I2177" t="s">
        <v>15</v>
      </c>
      <c r="J2177" t="s">
        <v>15</v>
      </c>
      <c r="K2177">
        <v>6.15</v>
      </c>
      <c r="L2177">
        <v>0</v>
      </c>
    </row>
    <row r="2178" spans="1:12" x14ac:dyDescent="0.3">
      <c r="A2178" t="s">
        <v>2194</v>
      </c>
      <c r="B2178" t="s">
        <v>39</v>
      </c>
      <c r="C2178">
        <v>1799</v>
      </c>
      <c r="D2178">
        <v>26.99</v>
      </c>
      <c r="E2178">
        <v>4.8600000000000003</v>
      </c>
      <c r="F2178">
        <f>COUNTIFS(mdr_rate_cleaned!$A$2:$A$10,B2178,mdr_rate_cleaned!$B$2:$B$10,"&lt;"&amp;C2178,mdr_rate_cleaned!$F$2:$F$10,"&gt;="&amp;C2178)</f>
        <v>1</v>
      </c>
      <c r="G2178">
        <v>1.4999999999999999E-2</v>
      </c>
      <c r="H2178">
        <v>26.99</v>
      </c>
      <c r="I2178" t="s">
        <v>15</v>
      </c>
      <c r="J2178" t="s">
        <v>15</v>
      </c>
      <c r="K2178">
        <v>4.8600000000000003</v>
      </c>
      <c r="L2178">
        <v>0</v>
      </c>
    </row>
    <row r="2179" spans="1:12" x14ac:dyDescent="0.3">
      <c r="A2179" t="s">
        <v>2195</v>
      </c>
      <c r="B2179" t="s">
        <v>17</v>
      </c>
      <c r="C2179">
        <v>2499</v>
      </c>
      <c r="D2179">
        <v>39.979999999999997</v>
      </c>
      <c r="E2179">
        <v>7.2</v>
      </c>
      <c r="F2179">
        <f>COUNTIFS(mdr_rate_cleaned!$A$2:$A$10,B2179,mdr_rate_cleaned!$B$2:$B$10,"&lt;"&amp;C2179,mdr_rate_cleaned!$F$2:$F$10,"&gt;="&amp;C2179)</f>
        <v>1</v>
      </c>
      <c r="G2179">
        <v>1.6E-2</v>
      </c>
      <c r="H2179">
        <v>39.979999999999997</v>
      </c>
      <c r="I2179" t="s">
        <v>15</v>
      </c>
      <c r="J2179" t="s">
        <v>15</v>
      </c>
      <c r="K2179">
        <v>7.2</v>
      </c>
      <c r="L2179">
        <v>0</v>
      </c>
    </row>
    <row r="2180" spans="1:12" x14ac:dyDescent="0.3">
      <c r="A2180" t="s">
        <v>2196</v>
      </c>
      <c r="B2180" t="s">
        <v>13</v>
      </c>
      <c r="C2180">
        <v>2499</v>
      </c>
      <c r="D2180">
        <v>42.48</v>
      </c>
      <c r="E2180">
        <v>7.65</v>
      </c>
      <c r="F2180">
        <f>COUNTIFS(mdr_rate_cleaned!$A$2:$A$10,B2180,mdr_rate_cleaned!$B$2:$B$10,"&lt;"&amp;C2180,mdr_rate_cleaned!$F$2:$F$10,"&gt;="&amp;C2180)</f>
        <v>1</v>
      </c>
      <c r="G2180">
        <v>1.7000000000000001E-2</v>
      </c>
      <c r="H2180">
        <v>42.48</v>
      </c>
      <c r="I2180" t="s">
        <v>15</v>
      </c>
      <c r="J2180" t="s">
        <v>15</v>
      </c>
      <c r="K2180">
        <v>7.65</v>
      </c>
      <c r="L2180">
        <v>0</v>
      </c>
    </row>
    <row r="2181" spans="1:12" x14ac:dyDescent="0.3">
      <c r="A2181" t="s">
        <v>2197</v>
      </c>
      <c r="B2181" t="s">
        <v>21</v>
      </c>
      <c r="C2181">
        <v>4999</v>
      </c>
      <c r="D2181">
        <v>15</v>
      </c>
      <c r="E2181">
        <v>2.7</v>
      </c>
      <c r="F2181">
        <f>COUNTIFS(mdr_rate_cleaned!$A$2:$A$10,B2181,mdr_rate_cleaned!$B$2:$B$10,"&lt;"&amp;C2181,mdr_rate_cleaned!$F$2:$F$10,"&gt;="&amp;C2181)</f>
        <v>1</v>
      </c>
      <c r="G2181">
        <v>3.0000000000000001E-3</v>
      </c>
      <c r="H2181">
        <v>15</v>
      </c>
      <c r="I2181" t="s">
        <v>15</v>
      </c>
      <c r="J2181" t="s">
        <v>15</v>
      </c>
      <c r="K2181">
        <v>2.7</v>
      </c>
      <c r="L2181">
        <v>0</v>
      </c>
    </row>
    <row r="2182" spans="1:12" x14ac:dyDescent="0.3">
      <c r="A2182" t="s">
        <v>2198</v>
      </c>
      <c r="B2182" t="s">
        <v>21</v>
      </c>
      <c r="C2182">
        <v>7999</v>
      </c>
      <c r="D2182">
        <v>24</v>
      </c>
      <c r="E2182">
        <v>4.32</v>
      </c>
      <c r="F2182">
        <f>COUNTIFS(mdr_rate_cleaned!$A$2:$A$10,B2182,mdr_rate_cleaned!$B$2:$B$10,"&lt;"&amp;C2182,mdr_rate_cleaned!$F$2:$F$10,"&gt;="&amp;C2182)</f>
        <v>1</v>
      </c>
      <c r="G2182">
        <v>3.0000000000000001E-3</v>
      </c>
      <c r="H2182">
        <v>24</v>
      </c>
      <c r="I2182" t="s">
        <v>15</v>
      </c>
      <c r="J2182" t="s">
        <v>15</v>
      </c>
      <c r="K2182">
        <v>4.32</v>
      </c>
      <c r="L2182">
        <v>0</v>
      </c>
    </row>
    <row r="2183" spans="1:12" x14ac:dyDescent="0.3">
      <c r="A2183" t="s">
        <v>2199</v>
      </c>
      <c r="B2183" t="s">
        <v>21</v>
      </c>
      <c r="C2183">
        <v>4397</v>
      </c>
      <c r="D2183">
        <v>13.19</v>
      </c>
      <c r="E2183">
        <v>2.37</v>
      </c>
      <c r="F2183">
        <f>COUNTIFS(mdr_rate_cleaned!$A$2:$A$10,B2183,mdr_rate_cleaned!$B$2:$B$10,"&lt;"&amp;C2183,mdr_rate_cleaned!$F$2:$F$10,"&gt;="&amp;C2183)</f>
        <v>1</v>
      </c>
      <c r="G2183">
        <v>3.0000000000000001E-3</v>
      </c>
      <c r="H2183">
        <v>13.19</v>
      </c>
      <c r="I2183" t="s">
        <v>15</v>
      </c>
      <c r="J2183" t="s">
        <v>15</v>
      </c>
      <c r="K2183">
        <v>2.37</v>
      </c>
      <c r="L2183">
        <v>0</v>
      </c>
    </row>
    <row r="2184" spans="1:12" x14ac:dyDescent="0.3">
      <c r="A2184" t="s">
        <v>2200</v>
      </c>
      <c r="B2184" t="s">
        <v>21</v>
      </c>
      <c r="C2184">
        <v>4297</v>
      </c>
      <c r="D2184">
        <v>12.89</v>
      </c>
      <c r="E2184">
        <v>2.3199999999999998</v>
      </c>
      <c r="F2184">
        <f>COUNTIFS(mdr_rate_cleaned!$A$2:$A$10,B2184,mdr_rate_cleaned!$B$2:$B$10,"&lt;"&amp;C2184,mdr_rate_cleaned!$F$2:$F$10,"&gt;="&amp;C2184)</f>
        <v>1</v>
      </c>
      <c r="G2184">
        <v>3.0000000000000001E-3</v>
      </c>
      <c r="H2184">
        <v>12.89</v>
      </c>
      <c r="I2184" t="s">
        <v>15</v>
      </c>
      <c r="J2184" t="s">
        <v>15</v>
      </c>
      <c r="K2184">
        <v>2.3199999999999998</v>
      </c>
      <c r="L2184">
        <v>0</v>
      </c>
    </row>
    <row r="2185" spans="1:12" x14ac:dyDescent="0.3">
      <c r="A2185" t="s">
        <v>2201</v>
      </c>
      <c r="B2185" t="s">
        <v>13</v>
      </c>
      <c r="C2185">
        <v>7999</v>
      </c>
      <c r="D2185">
        <v>135.97999999999999</v>
      </c>
      <c r="E2185">
        <v>24.48</v>
      </c>
      <c r="F2185">
        <f>COUNTIFS(mdr_rate_cleaned!$A$2:$A$10,B2185,mdr_rate_cleaned!$B$2:$B$10,"&lt;"&amp;C2185,mdr_rate_cleaned!$F$2:$F$10,"&gt;="&amp;C2185)</f>
        <v>1</v>
      </c>
      <c r="G2185">
        <v>1.7000000000000001E-2</v>
      </c>
      <c r="H2185">
        <v>135.97999999999999</v>
      </c>
      <c r="I2185" t="s">
        <v>15</v>
      </c>
      <c r="J2185" t="s">
        <v>15</v>
      </c>
      <c r="K2185">
        <v>24.48</v>
      </c>
      <c r="L2185">
        <v>0</v>
      </c>
    </row>
    <row r="2186" spans="1:12" x14ac:dyDescent="0.3">
      <c r="A2186" t="s">
        <v>2202</v>
      </c>
      <c r="B2186" t="s">
        <v>17</v>
      </c>
      <c r="C2186">
        <v>7297</v>
      </c>
      <c r="D2186">
        <v>116.75</v>
      </c>
      <c r="E2186">
        <v>21.02</v>
      </c>
      <c r="F2186">
        <f>COUNTIFS(mdr_rate_cleaned!$A$2:$A$10,B2186,mdr_rate_cleaned!$B$2:$B$10,"&lt;"&amp;C2186,mdr_rate_cleaned!$F$2:$F$10,"&gt;="&amp;C2186)</f>
        <v>1</v>
      </c>
      <c r="G2186">
        <v>1.6E-2</v>
      </c>
      <c r="H2186">
        <v>116.75</v>
      </c>
      <c r="I2186" t="s">
        <v>15</v>
      </c>
      <c r="J2186" t="s">
        <v>15</v>
      </c>
      <c r="K2186">
        <v>21.02</v>
      </c>
      <c r="L2186">
        <v>0</v>
      </c>
    </row>
    <row r="2187" spans="1:12" x14ac:dyDescent="0.3">
      <c r="A2187" t="s">
        <v>2203</v>
      </c>
      <c r="B2187" t="s">
        <v>21</v>
      </c>
      <c r="C2187">
        <v>12998</v>
      </c>
      <c r="D2187">
        <v>38.99</v>
      </c>
      <c r="E2187">
        <v>7.02</v>
      </c>
      <c r="F2187">
        <f>COUNTIFS(mdr_rate_cleaned!$A$2:$A$10,B2187,mdr_rate_cleaned!$B$2:$B$10,"&lt;"&amp;C2187,mdr_rate_cleaned!$F$2:$F$10,"&gt;="&amp;C2187)</f>
        <v>1</v>
      </c>
      <c r="G2187">
        <v>3.0000000000000001E-3</v>
      </c>
      <c r="H2187">
        <v>38.99</v>
      </c>
      <c r="I2187" t="s">
        <v>15</v>
      </c>
      <c r="J2187" t="s">
        <v>15</v>
      </c>
      <c r="K2187">
        <v>7.02</v>
      </c>
      <c r="L2187">
        <v>0</v>
      </c>
    </row>
    <row r="2188" spans="1:12" x14ac:dyDescent="0.3">
      <c r="A2188" t="s">
        <v>2204</v>
      </c>
      <c r="B2188" t="s">
        <v>21</v>
      </c>
      <c r="C2188">
        <v>7999</v>
      </c>
      <c r="D2188">
        <v>24</v>
      </c>
      <c r="E2188">
        <v>4.32</v>
      </c>
      <c r="F2188">
        <f>COUNTIFS(mdr_rate_cleaned!$A$2:$A$10,B2188,mdr_rate_cleaned!$B$2:$B$10,"&lt;"&amp;C2188,mdr_rate_cleaned!$F$2:$F$10,"&gt;="&amp;C2188)</f>
        <v>1</v>
      </c>
      <c r="G2188">
        <v>3.0000000000000001E-3</v>
      </c>
      <c r="H2188">
        <v>24</v>
      </c>
      <c r="I2188" t="s">
        <v>15</v>
      </c>
      <c r="J2188" t="s">
        <v>15</v>
      </c>
      <c r="K2188">
        <v>4.32</v>
      </c>
      <c r="L2188">
        <v>0</v>
      </c>
    </row>
    <row r="2189" spans="1:12" x14ac:dyDescent="0.3">
      <c r="A2189" t="s">
        <v>2205</v>
      </c>
      <c r="B2189" t="s">
        <v>17</v>
      </c>
      <c r="C2189">
        <v>499</v>
      </c>
      <c r="D2189">
        <v>8.98</v>
      </c>
      <c r="E2189">
        <v>1.62</v>
      </c>
      <c r="F2189">
        <f>COUNTIFS(mdr_rate_cleaned!$A$2:$A$10,B2189,mdr_rate_cleaned!$B$2:$B$10,"&lt;"&amp;C2189,mdr_rate_cleaned!$F$2:$F$10,"&gt;="&amp;C2189)</f>
        <v>1</v>
      </c>
      <c r="G2189">
        <v>1.7999999999999999E-2</v>
      </c>
      <c r="H2189">
        <v>8.98</v>
      </c>
      <c r="I2189" t="s">
        <v>15</v>
      </c>
      <c r="J2189" t="s">
        <v>15</v>
      </c>
      <c r="K2189">
        <v>1.62</v>
      </c>
      <c r="L2189">
        <v>0</v>
      </c>
    </row>
    <row r="2190" spans="1:12" x14ac:dyDescent="0.3">
      <c r="A2190" t="s">
        <v>2206</v>
      </c>
      <c r="B2190" t="s">
        <v>21</v>
      </c>
      <c r="C2190">
        <v>5298</v>
      </c>
      <c r="D2190">
        <v>15.89</v>
      </c>
      <c r="E2190">
        <v>2.86</v>
      </c>
      <c r="F2190">
        <f>COUNTIFS(mdr_rate_cleaned!$A$2:$A$10,B2190,mdr_rate_cleaned!$B$2:$B$10,"&lt;"&amp;C2190,mdr_rate_cleaned!$F$2:$F$10,"&gt;="&amp;C2190)</f>
        <v>1</v>
      </c>
      <c r="G2190">
        <v>3.0000000000000001E-3</v>
      </c>
      <c r="H2190">
        <v>15.89</v>
      </c>
      <c r="I2190" t="s">
        <v>15</v>
      </c>
      <c r="J2190" t="s">
        <v>15</v>
      </c>
      <c r="K2190">
        <v>2.86</v>
      </c>
      <c r="L2190">
        <v>0</v>
      </c>
    </row>
    <row r="2191" spans="1:12" x14ac:dyDescent="0.3">
      <c r="A2191" t="s">
        <v>2207</v>
      </c>
      <c r="B2191" t="s">
        <v>39</v>
      </c>
      <c r="C2191">
        <v>499</v>
      </c>
      <c r="D2191">
        <v>7.49</v>
      </c>
      <c r="E2191">
        <v>1.35</v>
      </c>
      <c r="F2191">
        <f>COUNTIFS(mdr_rate_cleaned!$A$2:$A$10,B2191,mdr_rate_cleaned!$B$2:$B$10,"&lt;"&amp;C2191,mdr_rate_cleaned!$F$2:$F$10,"&gt;="&amp;C2191)</f>
        <v>1</v>
      </c>
      <c r="G2191">
        <v>1.4999999999999999E-2</v>
      </c>
      <c r="H2191">
        <v>7.49</v>
      </c>
      <c r="I2191" t="s">
        <v>15</v>
      </c>
      <c r="J2191" t="s">
        <v>15</v>
      </c>
      <c r="K2191">
        <v>1.35</v>
      </c>
      <c r="L2191">
        <v>0</v>
      </c>
    </row>
    <row r="2192" spans="1:12" x14ac:dyDescent="0.3">
      <c r="A2192" t="s">
        <v>2208</v>
      </c>
      <c r="B2192" t="s">
        <v>13</v>
      </c>
      <c r="C2192">
        <v>848</v>
      </c>
      <c r="D2192">
        <v>16.11</v>
      </c>
      <c r="E2192">
        <v>2.9</v>
      </c>
      <c r="F2192">
        <f>COUNTIFS(mdr_rate_cleaned!$A$2:$A$10,B2192,mdr_rate_cleaned!$B$2:$B$10,"&lt;"&amp;C2192,mdr_rate_cleaned!$F$2:$F$10,"&gt;="&amp;C2192)</f>
        <v>1</v>
      </c>
      <c r="G2192">
        <v>1.9E-2</v>
      </c>
      <c r="H2192">
        <v>16.11</v>
      </c>
      <c r="I2192" t="s">
        <v>15</v>
      </c>
      <c r="J2192" t="s">
        <v>15</v>
      </c>
      <c r="K2192">
        <v>2.9</v>
      </c>
      <c r="L2192">
        <v>0</v>
      </c>
    </row>
    <row r="2193" spans="1:12" x14ac:dyDescent="0.3">
      <c r="A2193" t="s">
        <v>2209</v>
      </c>
      <c r="B2193" t="s">
        <v>21</v>
      </c>
      <c r="C2193">
        <v>799</v>
      </c>
      <c r="D2193">
        <v>0</v>
      </c>
      <c r="E2193">
        <v>0</v>
      </c>
      <c r="F2193">
        <f>COUNTIFS(mdr_rate_cleaned!$A$2:$A$10,B2193,mdr_rate_cleaned!$B$2:$B$10,"&lt;"&amp;C2193,mdr_rate_cleaned!$F$2:$F$10,"&gt;="&amp;C2193)</f>
        <v>1</v>
      </c>
      <c r="G2193">
        <v>0</v>
      </c>
      <c r="H2193">
        <v>0</v>
      </c>
      <c r="I2193" t="s">
        <v>15</v>
      </c>
      <c r="J2193" t="s">
        <v>15</v>
      </c>
      <c r="K2193">
        <v>0</v>
      </c>
      <c r="L2193">
        <v>0</v>
      </c>
    </row>
    <row r="2194" spans="1:12" x14ac:dyDescent="0.3">
      <c r="A2194" t="s">
        <v>2210</v>
      </c>
      <c r="B2194" t="s">
        <v>21</v>
      </c>
      <c r="C2194">
        <v>11498</v>
      </c>
      <c r="D2194">
        <v>34.49</v>
      </c>
      <c r="E2194">
        <v>6.21</v>
      </c>
      <c r="F2194">
        <f>COUNTIFS(mdr_rate_cleaned!$A$2:$A$10,B2194,mdr_rate_cleaned!$B$2:$B$10,"&lt;"&amp;C2194,mdr_rate_cleaned!$F$2:$F$10,"&gt;="&amp;C2194)</f>
        <v>1</v>
      </c>
      <c r="G2194">
        <v>3.0000000000000001E-3</v>
      </c>
      <c r="H2194">
        <v>34.49</v>
      </c>
      <c r="I2194" t="s">
        <v>15</v>
      </c>
      <c r="J2194" t="s">
        <v>15</v>
      </c>
      <c r="K2194">
        <v>6.21</v>
      </c>
      <c r="L2194">
        <v>0</v>
      </c>
    </row>
    <row r="2195" spans="1:12" x14ac:dyDescent="0.3">
      <c r="A2195" t="s">
        <v>2211</v>
      </c>
      <c r="B2195" t="s">
        <v>17</v>
      </c>
      <c r="C2195">
        <v>599</v>
      </c>
      <c r="D2195">
        <v>10.78</v>
      </c>
      <c r="E2195">
        <v>1.94</v>
      </c>
      <c r="F2195">
        <f>COUNTIFS(mdr_rate_cleaned!$A$2:$A$10,B2195,mdr_rate_cleaned!$B$2:$B$10,"&lt;"&amp;C2195,mdr_rate_cleaned!$F$2:$F$10,"&gt;="&amp;C2195)</f>
        <v>1</v>
      </c>
      <c r="G2195">
        <v>1.7999999999999999E-2</v>
      </c>
      <c r="H2195">
        <v>10.78</v>
      </c>
      <c r="I2195" t="s">
        <v>15</v>
      </c>
      <c r="J2195" t="s">
        <v>15</v>
      </c>
      <c r="K2195">
        <v>1.94</v>
      </c>
      <c r="L2195">
        <v>0</v>
      </c>
    </row>
    <row r="2196" spans="1:12" x14ac:dyDescent="0.3">
      <c r="A2196" t="s">
        <v>2212</v>
      </c>
      <c r="B2196" t="s">
        <v>17</v>
      </c>
      <c r="C2196">
        <v>999</v>
      </c>
      <c r="D2196">
        <v>17.98</v>
      </c>
      <c r="E2196">
        <v>3.24</v>
      </c>
      <c r="F2196">
        <f>COUNTIFS(mdr_rate_cleaned!$A$2:$A$10,B2196,mdr_rate_cleaned!$B$2:$B$10,"&lt;"&amp;C2196,mdr_rate_cleaned!$F$2:$F$10,"&gt;="&amp;C2196)</f>
        <v>1</v>
      </c>
      <c r="G2196">
        <v>1.7999999999999999E-2</v>
      </c>
      <c r="H2196">
        <v>17.98</v>
      </c>
      <c r="I2196" t="s">
        <v>15</v>
      </c>
      <c r="J2196" t="s">
        <v>15</v>
      </c>
      <c r="K2196">
        <v>3.24</v>
      </c>
      <c r="L2196">
        <v>0</v>
      </c>
    </row>
    <row r="2197" spans="1:12" x14ac:dyDescent="0.3">
      <c r="A2197" t="s">
        <v>2213</v>
      </c>
      <c r="B2197" t="s">
        <v>13</v>
      </c>
      <c r="C2197">
        <v>349</v>
      </c>
      <c r="D2197">
        <v>6.63</v>
      </c>
      <c r="E2197">
        <v>1.19</v>
      </c>
      <c r="F2197">
        <f>COUNTIFS(mdr_rate_cleaned!$A$2:$A$10,B2197,mdr_rate_cleaned!$B$2:$B$10,"&lt;"&amp;C2197,mdr_rate_cleaned!$F$2:$F$10,"&gt;="&amp;C2197)</f>
        <v>1</v>
      </c>
      <c r="G2197">
        <v>1.9E-2</v>
      </c>
      <c r="H2197">
        <v>6.63</v>
      </c>
      <c r="I2197" t="s">
        <v>15</v>
      </c>
      <c r="J2197" t="s">
        <v>15</v>
      </c>
      <c r="K2197">
        <v>1.19</v>
      </c>
      <c r="L2197">
        <v>0</v>
      </c>
    </row>
    <row r="2198" spans="1:12" x14ac:dyDescent="0.3">
      <c r="A2198" t="s">
        <v>2214</v>
      </c>
      <c r="B2198" t="s">
        <v>21</v>
      </c>
      <c r="C2198">
        <v>2999</v>
      </c>
      <c r="D2198">
        <v>9</v>
      </c>
      <c r="E2198">
        <v>1.62</v>
      </c>
      <c r="F2198">
        <f>COUNTIFS(mdr_rate_cleaned!$A$2:$A$10,B2198,mdr_rate_cleaned!$B$2:$B$10,"&lt;"&amp;C2198,mdr_rate_cleaned!$F$2:$F$10,"&gt;="&amp;C2198)</f>
        <v>1</v>
      </c>
      <c r="G2198">
        <v>3.0000000000000001E-3</v>
      </c>
      <c r="H2198">
        <v>9</v>
      </c>
      <c r="I2198" t="s">
        <v>15</v>
      </c>
      <c r="J2198" t="s">
        <v>15</v>
      </c>
      <c r="K2198">
        <v>1.62</v>
      </c>
      <c r="L2198">
        <v>0</v>
      </c>
    </row>
    <row r="2199" spans="1:12" x14ac:dyDescent="0.3">
      <c r="A2199" t="s">
        <v>2215</v>
      </c>
      <c r="B2199" t="s">
        <v>21</v>
      </c>
      <c r="C2199">
        <v>999</v>
      </c>
      <c r="D2199">
        <v>0</v>
      </c>
      <c r="E2199">
        <v>0</v>
      </c>
      <c r="F2199">
        <f>COUNTIFS(mdr_rate_cleaned!$A$2:$A$10,B2199,mdr_rate_cleaned!$B$2:$B$10,"&lt;"&amp;C2199,mdr_rate_cleaned!$F$2:$F$10,"&gt;="&amp;C2199)</f>
        <v>1</v>
      </c>
      <c r="G2199">
        <v>0</v>
      </c>
      <c r="H2199">
        <v>0</v>
      </c>
      <c r="I2199" t="s">
        <v>15</v>
      </c>
      <c r="J2199" t="s">
        <v>15</v>
      </c>
      <c r="K2199">
        <v>0</v>
      </c>
      <c r="L2199">
        <v>0</v>
      </c>
    </row>
    <row r="2200" spans="1:12" x14ac:dyDescent="0.3">
      <c r="A2200" t="s">
        <v>2216</v>
      </c>
      <c r="B2200" t="s">
        <v>21</v>
      </c>
      <c r="C2200">
        <v>3097</v>
      </c>
      <c r="D2200">
        <v>9.2899999999999991</v>
      </c>
      <c r="E2200">
        <v>1.67</v>
      </c>
      <c r="F2200">
        <f>COUNTIFS(mdr_rate_cleaned!$A$2:$A$10,B2200,mdr_rate_cleaned!$B$2:$B$10,"&lt;"&amp;C2200,mdr_rate_cleaned!$F$2:$F$10,"&gt;="&amp;C2200)</f>
        <v>1</v>
      </c>
      <c r="G2200">
        <v>3.0000000000000001E-3</v>
      </c>
      <c r="H2200">
        <v>9.2899999999999991</v>
      </c>
      <c r="I2200" t="s">
        <v>15</v>
      </c>
      <c r="J2200" t="s">
        <v>15</v>
      </c>
      <c r="K2200">
        <v>1.67</v>
      </c>
      <c r="L2200">
        <v>0</v>
      </c>
    </row>
    <row r="2201" spans="1:12" x14ac:dyDescent="0.3">
      <c r="A2201" t="s">
        <v>2217</v>
      </c>
      <c r="B2201" t="s">
        <v>21</v>
      </c>
      <c r="C2201">
        <v>7999</v>
      </c>
      <c r="D2201">
        <v>24</v>
      </c>
      <c r="E2201">
        <v>4.32</v>
      </c>
      <c r="F2201">
        <f>COUNTIFS(mdr_rate_cleaned!$A$2:$A$10,B2201,mdr_rate_cleaned!$B$2:$B$10,"&lt;"&amp;C2201,mdr_rate_cleaned!$F$2:$F$10,"&gt;="&amp;C2201)</f>
        <v>1</v>
      </c>
      <c r="G2201">
        <v>3.0000000000000001E-3</v>
      </c>
      <c r="H2201">
        <v>24</v>
      </c>
      <c r="I2201" t="s">
        <v>15</v>
      </c>
      <c r="J2201" t="s">
        <v>15</v>
      </c>
      <c r="K2201">
        <v>4.32</v>
      </c>
      <c r="L2201">
        <v>0</v>
      </c>
    </row>
    <row r="2202" spans="1:12" x14ac:dyDescent="0.3">
      <c r="A2202" t="s">
        <v>2218</v>
      </c>
      <c r="B2202" t="s">
        <v>21</v>
      </c>
      <c r="C2202">
        <v>15997</v>
      </c>
      <c r="D2202">
        <v>47.99</v>
      </c>
      <c r="E2202">
        <v>8.64</v>
      </c>
      <c r="F2202">
        <f>COUNTIFS(mdr_rate_cleaned!$A$2:$A$10,B2202,mdr_rate_cleaned!$B$2:$B$10,"&lt;"&amp;C2202,mdr_rate_cleaned!$F$2:$F$10,"&gt;="&amp;C2202)</f>
        <v>1</v>
      </c>
      <c r="G2202">
        <v>3.0000000000000001E-3</v>
      </c>
      <c r="H2202">
        <v>47.99</v>
      </c>
      <c r="I2202" t="s">
        <v>15</v>
      </c>
      <c r="J2202" t="s">
        <v>15</v>
      </c>
      <c r="K2202">
        <v>8.64</v>
      </c>
      <c r="L2202">
        <v>0</v>
      </c>
    </row>
    <row r="2203" spans="1:12" x14ac:dyDescent="0.3">
      <c r="A2203" t="s">
        <v>2219</v>
      </c>
      <c r="B2203" t="s">
        <v>17</v>
      </c>
      <c r="C2203">
        <v>8797</v>
      </c>
      <c r="D2203">
        <v>140.75</v>
      </c>
      <c r="E2203">
        <v>25.34</v>
      </c>
      <c r="F2203">
        <f>COUNTIFS(mdr_rate_cleaned!$A$2:$A$10,B2203,mdr_rate_cleaned!$B$2:$B$10,"&lt;"&amp;C2203,mdr_rate_cleaned!$F$2:$F$10,"&gt;="&amp;C2203)</f>
        <v>1</v>
      </c>
      <c r="G2203">
        <v>1.6E-2</v>
      </c>
      <c r="H2203">
        <v>140.75</v>
      </c>
      <c r="I2203" t="s">
        <v>15</v>
      </c>
      <c r="J2203" t="s">
        <v>15</v>
      </c>
      <c r="K2203">
        <v>25.34</v>
      </c>
      <c r="L2203">
        <v>0</v>
      </c>
    </row>
    <row r="2204" spans="1:12" x14ac:dyDescent="0.3">
      <c r="A2204" t="s">
        <v>2220</v>
      </c>
      <c r="B2204" t="s">
        <v>21</v>
      </c>
      <c r="C2204">
        <v>2498</v>
      </c>
      <c r="D2204">
        <v>7.49</v>
      </c>
      <c r="E2204">
        <v>1.35</v>
      </c>
      <c r="F2204">
        <f>COUNTIFS(mdr_rate_cleaned!$A$2:$A$10,B2204,mdr_rate_cleaned!$B$2:$B$10,"&lt;"&amp;C2204,mdr_rate_cleaned!$F$2:$F$10,"&gt;="&amp;C2204)</f>
        <v>1</v>
      </c>
      <c r="G2204">
        <v>3.0000000000000001E-3</v>
      </c>
      <c r="H2204">
        <v>7.49</v>
      </c>
      <c r="I2204" t="s">
        <v>15</v>
      </c>
      <c r="J2204" t="s">
        <v>15</v>
      </c>
      <c r="K2204">
        <v>1.35</v>
      </c>
      <c r="L2204">
        <v>0</v>
      </c>
    </row>
    <row r="2205" spans="1:12" x14ac:dyDescent="0.3">
      <c r="A2205" t="s">
        <v>2221</v>
      </c>
      <c r="B2205" t="s">
        <v>17</v>
      </c>
      <c r="C2205">
        <v>2298</v>
      </c>
      <c r="D2205">
        <v>36.770000000000003</v>
      </c>
      <c r="E2205">
        <v>6.62</v>
      </c>
      <c r="F2205">
        <f>COUNTIFS(mdr_rate_cleaned!$A$2:$A$10,B2205,mdr_rate_cleaned!$B$2:$B$10,"&lt;"&amp;C2205,mdr_rate_cleaned!$F$2:$F$10,"&gt;="&amp;C2205)</f>
        <v>1</v>
      </c>
      <c r="G2205">
        <v>1.6E-2</v>
      </c>
      <c r="H2205">
        <v>36.770000000000003</v>
      </c>
      <c r="I2205" t="s">
        <v>15</v>
      </c>
      <c r="J2205" t="s">
        <v>15</v>
      </c>
      <c r="K2205">
        <v>6.62</v>
      </c>
      <c r="L2205">
        <v>0</v>
      </c>
    </row>
    <row r="2206" spans="1:12" x14ac:dyDescent="0.3">
      <c r="A2206" t="s">
        <v>2222</v>
      </c>
      <c r="B2206" t="s">
        <v>21</v>
      </c>
      <c r="C2206">
        <v>4798</v>
      </c>
      <c r="D2206">
        <v>14.39</v>
      </c>
      <c r="E2206">
        <v>2.59</v>
      </c>
      <c r="F2206">
        <f>COUNTIFS(mdr_rate_cleaned!$A$2:$A$10,B2206,mdr_rate_cleaned!$B$2:$B$10,"&lt;"&amp;C2206,mdr_rate_cleaned!$F$2:$F$10,"&gt;="&amp;C2206)</f>
        <v>1</v>
      </c>
      <c r="G2206">
        <v>3.0000000000000001E-3</v>
      </c>
      <c r="H2206">
        <v>14.39</v>
      </c>
      <c r="I2206" t="s">
        <v>15</v>
      </c>
      <c r="J2206" t="s">
        <v>15</v>
      </c>
      <c r="K2206">
        <v>2.59</v>
      </c>
      <c r="L2206">
        <v>0</v>
      </c>
    </row>
    <row r="2207" spans="1:12" x14ac:dyDescent="0.3">
      <c r="A2207" t="s">
        <v>2223</v>
      </c>
      <c r="B2207" t="s">
        <v>21</v>
      </c>
      <c r="C2207">
        <v>3098</v>
      </c>
      <c r="D2207">
        <v>9.2899999999999991</v>
      </c>
      <c r="E2207">
        <v>1.67</v>
      </c>
      <c r="F2207">
        <f>COUNTIFS(mdr_rate_cleaned!$A$2:$A$10,B2207,mdr_rate_cleaned!$B$2:$B$10,"&lt;"&amp;C2207,mdr_rate_cleaned!$F$2:$F$10,"&gt;="&amp;C2207)</f>
        <v>1</v>
      </c>
      <c r="G2207">
        <v>3.0000000000000001E-3</v>
      </c>
      <c r="H2207">
        <v>9.2899999999999991</v>
      </c>
      <c r="I2207" t="s">
        <v>15</v>
      </c>
      <c r="J2207" t="s">
        <v>15</v>
      </c>
      <c r="K2207">
        <v>1.67</v>
      </c>
      <c r="L2207">
        <v>0</v>
      </c>
    </row>
    <row r="2208" spans="1:12" x14ac:dyDescent="0.3">
      <c r="A2208" t="s">
        <v>2224</v>
      </c>
      <c r="B2208" t="s">
        <v>21</v>
      </c>
      <c r="C2208">
        <v>599</v>
      </c>
      <c r="D2208">
        <v>1.8</v>
      </c>
      <c r="E2208">
        <v>0.32</v>
      </c>
      <c r="F2208">
        <f>COUNTIFS(mdr_rate_cleaned!$A$2:$A$10,B2208,mdr_rate_cleaned!$B$2:$B$10,"&lt;"&amp;C2208,mdr_rate_cleaned!$F$2:$F$10,"&gt;="&amp;C2208)</f>
        <v>1</v>
      </c>
      <c r="G2208">
        <v>0</v>
      </c>
      <c r="H2208">
        <v>0</v>
      </c>
      <c r="I2208" t="s">
        <v>14</v>
      </c>
      <c r="J2208" t="s">
        <v>15</v>
      </c>
      <c r="K2208">
        <v>0</v>
      </c>
      <c r="L2208">
        <v>2.12</v>
      </c>
    </row>
    <row r="2209" spans="1:12" x14ac:dyDescent="0.3">
      <c r="A2209" t="s">
        <v>2225</v>
      </c>
      <c r="B2209" t="s">
        <v>21</v>
      </c>
      <c r="C2209">
        <v>1299</v>
      </c>
      <c r="D2209">
        <v>0</v>
      </c>
      <c r="E2209">
        <v>0</v>
      </c>
      <c r="F2209">
        <f>COUNTIFS(mdr_rate_cleaned!$A$2:$A$10,B2209,mdr_rate_cleaned!$B$2:$B$10,"&lt;"&amp;C2209,mdr_rate_cleaned!$F$2:$F$10,"&gt;="&amp;C2209)</f>
        <v>1</v>
      </c>
      <c r="G2209">
        <v>0</v>
      </c>
      <c r="H2209">
        <v>0</v>
      </c>
      <c r="I2209" t="s">
        <v>15</v>
      </c>
      <c r="J2209" t="s">
        <v>15</v>
      </c>
      <c r="K2209">
        <v>0</v>
      </c>
      <c r="L2209">
        <v>0</v>
      </c>
    </row>
    <row r="2210" spans="1:12" x14ac:dyDescent="0.3">
      <c r="A2210" t="s">
        <v>2226</v>
      </c>
      <c r="B2210" t="s">
        <v>17</v>
      </c>
      <c r="C2210">
        <v>2499</v>
      </c>
      <c r="D2210">
        <v>39.979999999999997</v>
      </c>
      <c r="E2210">
        <v>7.2</v>
      </c>
      <c r="F2210">
        <f>COUNTIFS(mdr_rate_cleaned!$A$2:$A$10,B2210,mdr_rate_cleaned!$B$2:$B$10,"&lt;"&amp;C2210,mdr_rate_cleaned!$F$2:$F$10,"&gt;="&amp;C2210)</f>
        <v>1</v>
      </c>
      <c r="G2210">
        <v>1.6E-2</v>
      </c>
      <c r="H2210">
        <v>39.979999999999997</v>
      </c>
      <c r="I2210" t="s">
        <v>15</v>
      </c>
      <c r="J2210" t="s">
        <v>15</v>
      </c>
      <c r="K2210">
        <v>7.2</v>
      </c>
      <c r="L2210">
        <v>0</v>
      </c>
    </row>
    <row r="2211" spans="1:12" x14ac:dyDescent="0.3">
      <c r="A2211" t="s">
        <v>2227</v>
      </c>
      <c r="B2211" t="s">
        <v>21</v>
      </c>
      <c r="C2211">
        <v>3647</v>
      </c>
      <c r="D2211">
        <v>10.94</v>
      </c>
      <c r="E2211">
        <v>1.97</v>
      </c>
      <c r="F2211">
        <f>COUNTIFS(mdr_rate_cleaned!$A$2:$A$10,B2211,mdr_rate_cleaned!$B$2:$B$10,"&lt;"&amp;C2211,mdr_rate_cleaned!$F$2:$F$10,"&gt;="&amp;C2211)</f>
        <v>1</v>
      </c>
      <c r="G2211">
        <v>3.0000000000000001E-3</v>
      </c>
      <c r="H2211">
        <v>10.94</v>
      </c>
      <c r="I2211" t="s">
        <v>15</v>
      </c>
      <c r="J2211" t="s">
        <v>15</v>
      </c>
      <c r="K2211">
        <v>1.97</v>
      </c>
      <c r="L2211">
        <v>0</v>
      </c>
    </row>
    <row r="2212" spans="1:12" x14ac:dyDescent="0.3">
      <c r="A2212" t="s">
        <v>2228</v>
      </c>
      <c r="B2212" t="s">
        <v>17</v>
      </c>
      <c r="C2212">
        <v>1799</v>
      </c>
      <c r="D2212">
        <v>32.380000000000003</v>
      </c>
      <c r="E2212">
        <v>5.83</v>
      </c>
      <c r="F2212">
        <f>COUNTIFS(mdr_rate_cleaned!$A$2:$A$10,B2212,mdr_rate_cleaned!$B$2:$B$10,"&lt;"&amp;C2212,mdr_rate_cleaned!$F$2:$F$10,"&gt;="&amp;C2212)</f>
        <v>1</v>
      </c>
      <c r="G2212">
        <v>1.7999999999999999E-2</v>
      </c>
      <c r="H2212">
        <v>32.380000000000003</v>
      </c>
      <c r="I2212" t="s">
        <v>15</v>
      </c>
      <c r="J2212" t="s">
        <v>15</v>
      </c>
      <c r="K2212">
        <v>5.83</v>
      </c>
      <c r="L2212">
        <v>0</v>
      </c>
    </row>
    <row r="2213" spans="1:12" x14ac:dyDescent="0.3">
      <c r="A2213" t="s">
        <v>2229</v>
      </c>
      <c r="B2213" t="s">
        <v>21</v>
      </c>
      <c r="C2213">
        <v>4298</v>
      </c>
      <c r="D2213">
        <v>12.89</v>
      </c>
      <c r="E2213">
        <v>2.3199999999999998</v>
      </c>
      <c r="F2213">
        <f>COUNTIFS(mdr_rate_cleaned!$A$2:$A$10,B2213,mdr_rate_cleaned!$B$2:$B$10,"&lt;"&amp;C2213,mdr_rate_cleaned!$F$2:$F$10,"&gt;="&amp;C2213)</f>
        <v>1</v>
      </c>
      <c r="G2213">
        <v>3.0000000000000001E-3</v>
      </c>
      <c r="H2213">
        <v>12.89</v>
      </c>
      <c r="I2213" t="s">
        <v>15</v>
      </c>
      <c r="J2213" t="s">
        <v>15</v>
      </c>
      <c r="K2213">
        <v>2.3199999999999998</v>
      </c>
      <c r="L2213">
        <v>0</v>
      </c>
    </row>
    <row r="2214" spans="1:12" x14ac:dyDescent="0.3">
      <c r="A2214" t="s">
        <v>2230</v>
      </c>
      <c r="B2214" t="s">
        <v>17</v>
      </c>
      <c r="C2214">
        <v>2148</v>
      </c>
      <c r="D2214">
        <v>34.369999999999997</v>
      </c>
      <c r="E2214">
        <v>6.19</v>
      </c>
      <c r="F2214">
        <f>COUNTIFS(mdr_rate_cleaned!$A$2:$A$10,B2214,mdr_rate_cleaned!$B$2:$B$10,"&lt;"&amp;C2214,mdr_rate_cleaned!$F$2:$F$10,"&gt;="&amp;C2214)</f>
        <v>1</v>
      </c>
      <c r="G2214">
        <v>1.6E-2</v>
      </c>
      <c r="H2214">
        <v>34.369999999999997</v>
      </c>
      <c r="I2214" t="s">
        <v>15</v>
      </c>
      <c r="J2214" t="s">
        <v>15</v>
      </c>
      <c r="K2214">
        <v>6.19</v>
      </c>
      <c r="L2214">
        <v>0</v>
      </c>
    </row>
    <row r="2215" spans="1:12" x14ac:dyDescent="0.3">
      <c r="A2215" t="s">
        <v>2231</v>
      </c>
      <c r="B2215" t="s">
        <v>21</v>
      </c>
      <c r="C2215">
        <v>7999</v>
      </c>
      <c r="D2215">
        <v>24</v>
      </c>
      <c r="E2215">
        <v>4.32</v>
      </c>
      <c r="F2215">
        <f>COUNTIFS(mdr_rate_cleaned!$A$2:$A$10,B2215,mdr_rate_cleaned!$B$2:$B$10,"&lt;"&amp;C2215,mdr_rate_cleaned!$F$2:$F$10,"&gt;="&amp;C2215)</f>
        <v>1</v>
      </c>
      <c r="G2215">
        <v>3.0000000000000001E-3</v>
      </c>
      <c r="H2215">
        <v>24</v>
      </c>
      <c r="I2215" t="s">
        <v>15</v>
      </c>
      <c r="J2215" t="s">
        <v>15</v>
      </c>
      <c r="K2215">
        <v>4.32</v>
      </c>
      <c r="L2215">
        <v>0</v>
      </c>
    </row>
    <row r="2216" spans="1:12" x14ac:dyDescent="0.3">
      <c r="A2216" t="s">
        <v>2232</v>
      </c>
      <c r="B2216" t="s">
        <v>21</v>
      </c>
      <c r="C2216">
        <v>3499</v>
      </c>
      <c r="D2216">
        <v>10.5</v>
      </c>
      <c r="E2216">
        <v>1.89</v>
      </c>
      <c r="F2216">
        <f>COUNTIFS(mdr_rate_cleaned!$A$2:$A$10,B2216,mdr_rate_cleaned!$B$2:$B$10,"&lt;"&amp;C2216,mdr_rate_cleaned!$F$2:$F$10,"&gt;="&amp;C2216)</f>
        <v>1</v>
      </c>
      <c r="G2216">
        <v>3.0000000000000001E-3</v>
      </c>
      <c r="H2216">
        <v>10.5</v>
      </c>
      <c r="I2216" t="s">
        <v>15</v>
      </c>
      <c r="J2216" t="s">
        <v>15</v>
      </c>
      <c r="K2216">
        <v>1.89</v>
      </c>
      <c r="L2216">
        <v>0</v>
      </c>
    </row>
    <row r="2217" spans="1:12" x14ac:dyDescent="0.3">
      <c r="A2217" t="s">
        <v>2233</v>
      </c>
      <c r="B2217" t="s">
        <v>21</v>
      </c>
      <c r="C2217">
        <v>4798</v>
      </c>
      <c r="D2217">
        <v>14.39</v>
      </c>
      <c r="E2217">
        <v>2.59</v>
      </c>
      <c r="F2217">
        <f>COUNTIFS(mdr_rate_cleaned!$A$2:$A$10,B2217,mdr_rate_cleaned!$B$2:$B$10,"&lt;"&amp;C2217,mdr_rate_cleaned!$F$2:$F$10,"&gt;="&amp;C2217)</f>
        <v>1</v>
      </c>
      <c r="G2217">
        <v>3.0000000000000001E-3</v>
      </c>
      <c r="H2217">
        <v>14.39</v>
      </c>
      <c r="I2217" t="s">
        <v>15</v>
      </c>
      <c r="J2217" t="s">
        <v>15</v>
      </c>
      <c r="K2217">
        <v>2.59</v>
      </c>
      <c r="L2217">
        <v>0</v>
      </c>
    </row>
    <row r="2218" spans="1:12" x14ac:dyDescent="0.3">
      <c r="A2218" t="s">
        <v>2234</v>
      </c>
      <c r="B2218" t="s">
        <v>21</v>
      </c>
      <c r="C2218">
        <v>7998</v>
      </c>
      <c r="D2218">
        <v>23.99</v>
      </c>
      <c r="E2218">
        <v>4.32</v>
      </c>
      <c r="F2218">
        <f>COUNTIFS(mdr_rate_cleaned!$A$2:$A$10,B2218,mdr_rate_cleaned!$B$2:$B$10,"&lt;"&amp;C2218,mdr_rate_cleaned!$F$2:$F$10,"&gt;="&amp;C2218)</f>
        <v>1</v>
      </c>
      <c r="G2218">
        <v>3.0000000000000001E-3</v>
      </c>
      <c r="H2218">
        <v>23.99</v>
      </c>
      <c r="I2218" t="s">
        <v>15</v>
      </c>
      <c r="J2218" t="s">
        <v>15</v>
      </c>
      <c r="K2218">
        <v>4.32</v>
      </c>
      <c r="L2218">
        <v>0</v>
      </c>
    </row>
    <row r="2219" spans="1:12" x14ac:dyDescent="0.3">
      <c r="A2219" t="s">
        <v>2235</v>
      </c>
      <c r="B2219" t="s">
        <v>21</v>
      </c>
      <c r="C2219">
        <v>2498</v>
      </c>
      <c r="D2219">
        <v>7.49</v>
      </c>
      <c r="E2219">
        <v>1.35</v>
      </c>
      <c r="F2219">
        <f>COUNTIFS(mdr_rate_cleaned!$A$2:$A$10,B2219,mdr_rate_cleaned!$B$2:$B$10,"&lt;"&amp;C2219,mdr_rate_cleaned!$F$2:$F$10,"&gt;="&amp;C2219)</f>
        <v>1</v>
      </c>
      <c r="G2219">
        <v>3.0000000000000001E-3</v>
      </c>
      <c r="H2219">
        <v>7.49</v>
      </c>
      <c r="I2219" t="s">
        <v>15</v>
      </c>
      <c r="J2219" t="s">
        <v>15</v>
      </c>
      <c r="K2219">
        <v>1.35</v>
      </c>
      <c r="L2219">
        <v>0</v>
      </c>
    </row>
    <row r="2220" spans="1:12" x14ac:dyDescent="0.3">
      <c r="A2220" t="s">
        <v>2236</v>
      </c>
      <c r="B2220" t="s">
        <v>21</v>
      </c>
      <c r="C2220">
        <v>7999</v>
      </c>
      <c r="D2220">
        <v>24</v>
      </c>
      <c r="E2220">
        <v>4.32</v>
      </c>
      <c r="F2220">
        <f>COUNTIFS(mdr_rate_cleaned!$A$2:$A$10,B2220,mdr_rate_cleaned!$B$2:$B$10,"&lt;"&amp;C2220,mdr_rate_cleaned!$F$2:$F$10,"&gt;="&amp;C2220)</f>
        <v>1</v>
      </c>
      <c r="G2220">
        <v>3.0000000000000001E-3</v>
      </c>
      <c r="H2220">
        <v>24</v>
      </c>
      <c r="I2220" t="s">
        <v>15</v>
      </c>
      <c r="J2220" t="s">
        <v>15</v>
      </c>
      <c r="K2220">
        <v>4.32</v>
      </c>
      <c r="L2220">
        <v>0</v>
      </c>
    </row>
    <row r="2221" spans="1:12" x14ac:dyDescent="0.3">
      <c r="A2221" t="s">
        <v>2237</v>
      </c>
      <c r="B2221" t="s">
        <v>21</v>
      </c>
      <c r="C2221">
        <v>6297</v>
      </c>
      <c r="D2221">
        <v>18.89</v>
      </c>
      <c r="E2221">
        <v>3.4</v>
      </c>
      <c r="F2221">
        <f>COUNTIFS(mdr_rate_cleaned!$A$2:$A$10,B2221,mdr_rate_cleaned!$B$2:$B$10,"&lt;"&amp;C2221,mdr_rate_cleaned!$F$2:$F$10,"&gt;="&amp;C2221)</f>
        <v>1</v>
      </c>
      <c r="G2221">
        <v>3.0000000000000001E-3</v>
      </c>
      <c r="H2221">
        <v>18.89</v>
      </c>
      <c r="I2221" t="s">
        <v>15</v>
      </c>
      <c r="J2221" t="s">
        <v>15</v>
      </c>
      <c r="K2221">
        <v>3.4</v>
      </c>
      <c r="L2221">
        <v>0</v>
      </c>
    </row>
    <row r="2222" spans="1:12" x14ac:dyDescent="0.3">
      <c r="A2222" t="s">
        <v>2238</v>
      </c>
      <c r="B2222" t="s">
        <v>21</v>
      </c>
      <c r="C2222">
        <v>2999</v>
      </c>
      <c r="D2222">
        <v>9</v>
      </c>
      <c r="E2222">
        <v>1.62</v>
      </c>
      <c r="F2222">
        <f>COUNTIFS(mdr_rate_cleaned!$A$2:$A$10,B2222,mdr_rate_cleaned!$B$2:$B$10,"&lt;"&amp;C2222,mdr_rate_cleaned!$F$2:$F$10,"&gt;="&amp;C2222)</f>
        <v>1</v>
      </c>
      <c r="G2222">
        <v>3.0000000000000001E-3</v>
      </c>
      <c r="H2222">
        <v>9</v>
      </c>
      <c r="I2222" t="s">
        <v>15</v>
      </c>
      <c r="J2222" t="s">
        <v>15</v>
      </c>
      <c r="K2222">
        <v>1.62</v>
      </c>
      <c r="L2222">
        <v>0</v>
      </c>
    </row>
    <row r="2223" spans="1:12" x14ac:dyDescent="0.3">
      <c r="A2223" t="s">
        <v>2239</v>
      </c>
      <c r="B2223" t="s">
        <v>21</v>
      </c>
      <c r="C2223">
        <v>2850</v>
      </c>
      <c r="D2223">
        <v>8.5500000000000007</v>
      </c>
      <c r="E2223">
        <v>1.54</v>
      </c>
      <c r="F2223">
        <f>COUNTIFS(mdr_rate_cleaned!$A$2:$A$10,B2223,mdr_rate_cleaned!$B$2:$B$10,"&lt;"&amp;C2223,mdr_rate_cleaned!$F$2:$F$10,"&gt;="&amp;C2223)</f>
        <v>1</v>
      </c>
      <c r="G2223">
        <v>3.0000000000000001E-3</v>
      </c>
      <c r="H2223">
        <v>8.5500000000000007</v>
      </c>
      <c r="I2223" t="s">
        <v>15</v>
      </c>
      <c r="J2223" t="s">
        <v>15</v>
      </c>
      <c r="K2223">
        <v>1.54</v>
      </c>
      <c r="L2223">
        <v>0</v>
      </c>
    </row>
    <row r="2224" spans="1:12" x14ac:dyDescent="0.3">
      <c r="A2224" t="s">
        <v>2240</v>
      </c>
      <c r="B2224" t="s">
        <v>21</v>
      </c>
      <c r="C2224">
        <v>4998</v>
      </c>
      <c r="D2224">
        <v>14.99</v>
      </c>
      <c r="E2224">
        <v>2.7</v>
      </c>
      <c r="F2224">
        <f>COUNTIFS(mdr_rate_cleaned!$A$2:$A$10,B2224,mdr_rate_cleaned!$B$2:$B$10,"&lt;"&amp;C2224,mdr_rate_cleaned!$F$2:$F$10,"&gt;="&amp;C2224)</f>
        <v>1</v>
      </c>
      <c r="G2224">
        <v>3.0000000000000001E-3</v>
      </c>
      <c r="H2224">
        <v>14.99</v>
      </c>
      <c r="I2224" t="s">
        <v>15</v>
      </c>
      <c r="J2224" t="s">
        <v>15</v>
      </c>
      <c r="K2224">
        <v>2.7</v>
      </c>
      <c r="L2224">
        <v>0</v>
      </c>
    </row>
    <row r="2225" spans="1:12" x14ac:dyDescent="0.3">
      <c r="A2225" t="s">
        <v>2241</v>
      </c>
      <c r="B2225" t="s">
        <v>21</v>
      </c>
      <c r="C2225">
        <v>3499</v>
      </c>
      <c r="D2225">
        <v>10.5</v>
      </c>
      <c r="E2225">
        <v>1.89</v>
      </c>
      <c r="F2225">
        <f>COUNTIFS(mdr_rate_cleaned!$A$2:$A$10,B2225,mdr_rate_cleaned!$B$2:$B$10,"&lt;"&amp;C2225,mdr_rate_cleaned!$F$2:$F$10,"&gt;="&amp;C2225)</f>
        <v>1</v>
      </c>
      <c r="G2225">
        <v>3.0000000000000001E-3</v>
      </c>
      <c r="H2225">
        <v>10.5</v>
      </c>
      <c r="I2225" t="s">
        <v>15</v>
      </c>
      <c r="J2225" t="s">
        <v>15</v>
      </c>
      <c r="K2225">
        <v>1.89</v>
      </c>
      <c r="L2225">
        <v>0</v>
      </c>
    </row>
    <row r="2226" spans="1:12" x14ac:dyDescent="0.3">
      <c r="A2226" t="s">
        <v>2242</v>
      </c>
      <c r="B2226" t="s">
        <v>21</v>
      </c>
      <c r="C2226">
        <v>4798</v>
      </c>
      <c r="D2226">
        <v>14.39</v>
      </c>
      <c r="E2226">
        <v>2.59</v>
      </c>
      <c r="F2226">
        <f>COUNTIFS(mdr_rate_cleaned!$A$2:$A$10,B2226,mdr_rate_cleaned!$B$2:$B$10,"&lt;"&amp;C2226,mdr_rate_cleaned!$F$2:$F$10,"&gt;="&amp;C2226)</f>
        <v>1</v>
      </c>
      <c r="G2226">
        <v>3.0000000000000001E-3</v>
      </c>
      <c r="H2226">
        <v>14.39</v>
      </c>
      <c r="I2226" t="s">
        <v>15</v>
      </c>
      <c r="J2226" t="s">
        <v>15</v>
      </c>
      <c r="K2226">
        <v>2.59</v>
      </c>
      <c r="L2226">
        <v>0</v>
      </c>
    </row>
    <row r="2227" spans="1:12" x14ac:dyDescent="0.3">
      <c r="A2227" t="s">
        <v>2243</v>
      </c>
      <c r="B2227" t="s">
        <v>21</v>
      </c>
      <c r="C2227">
        <v>1299</v>
      </c>
      <c r="D2227">
        <v>0</v>
      </c>
      <c r="E2227">
        <v>0</v>
      </c>
      <c r="F2227">
        <f>COUNTIFS(mdr_rate_cleaned!$A$2:$A$10,B2227,mdr_rate_cleaned!$B$2:$B$10,"&lt;"&amp;C2227,mdr_rate_cleaned!$F$2:$F$10,"&gt;="&amp;C2227)</f>
        <v>1</v>
      </c>
      <c r="G2227">
        <v>0</v>
      </c>
      <c r="H2227">
        <v>0</v>
      </c>
      <c r="I2227" t="s">
        <v>15</v>
      </c>
      <c r="J2227" t="s">
        <v>15</v>
      </c>
      <c r="K2227">
        <v>0</v>
      </c>
      <c r="L2227">
        <v>0</v>
      </c>
    </row>
    <row r="2228" spans="1:12" x14ac:dyDescent="0.3">
      <c r="A2228" t="s">
        <v>2244</v>
      </c>
      <c r="B2228" t="s">
        <v>21</v>
      </c>
      <c r="C2228">
        <v>349</v>
      </c>
      <c r="D2228">
        <v>0</v>
      </c>
      <c r="E2228">
        <v>0</v>
      </c>
      <c r="F2228">
        <f>COUNTIFS(mdr_rate_cleaned!$A$2:$A$10,B2228,mdr_rate_cleaned!$B$2:$B$10,"&lt;"&amp;C2228,mdr_rate_cleaned!$F$2:$F$10,"&gt;="&amp;C2228)</f>
        <v>1</v>
      </c>
      <c r="G2228">
        <v>0</v>
      </c>
      <c r="H2228">
        <v>0</v>
      </c>
      <c r="I2228" t="s">
        <v>15</v>
      </c>
      <c r="J2228" t="s">
        <v>15</v>
      </c>
      <c r="K2228">
        <v>0</v>
      </c>
      <c r="L2228">
        <v>0</v>
      </c>
    </row>
    <row r="2229" spans="1:12" x14ac:dyDescent="0.3">
      <c r="A2229" t="s">
        <v>2245</v>
      </c>
      <c r="B2229" t="s">
        <v>17</v>
      </c>
      <c r="C2229">
        <v>9097</v>
      </c>
      <c r="D2229">
        <v>145.55000000000001</v>
      </c>
      <c r="E2229">
        <v>26.2</v>
      </c>
      <c r="F2229">
        <f>COUNTIFS(mdr_rate_cleaned!$A$2:$A$10,B2229,mdr_rate_cleaned!$B$2:$B$10,"&lt;"&amp;C2229,mdr_rate_cleaned!$F$2:$F$10,"&gt;="&amp;C2229)</f>
        <v>1</v>
      </c>
      <c r="G2229">
        <v>1.6E-2</v>
      </c>
      <c r="H2229">
        <v>145.55000000000001</v>
      </c>
      <c r="I2229" t="s">
        <v>15</v>
      </c>
      <c r="J2229" t="s">
        <v>15</v>
      </c>
      <c r="K2229">
        <v>26.2</v>
      </c>
      <c r="L2229">
        <v>0</v>
      </c>
    </row>
    <row r="2230" spans="1:12" x14ac:dyDescent="0.3">
      <c r="A2230" t="s">
        <v>2246</v>
      </c>
      <c r="B2230" t="s">
        <v>21</v>
      </c>
      <c r="C2230">
        <v>7497</v>
      </c>
      <c r="D2230">
        <v>22.49</v>
      </c>
      <c r="E2230">
        <v>4.05</v>
      </c>
      <c r="F2230">
        <f>COUNTIFS(mdr_rate_cleaned!$A$2:$A$10,B2230,mdr_rate_cleaned!$B$2:$B$10,"&lt;"&amp;C2230,mdr_rate_cleaned!$F$2:$F$10,"&gt;="&amp;C2230)</f>
        <v>1</v>
      </c>
      <c r="G2230">
        <v>3.0000000000000001E-3</v>
      </c>
      <c r="H2230">
        <v>22.49</v>
      </c>
      <c r="I2230" t="s">
        <v>15</v>
      </c>
      <c r="J2230" t="s">
        <v>15</v>
      </c>
      <c r="K2230">
        <v>4.05</v>
      </c>
      <c r="L2230">
        <v>0</v>
      </c>
    </row>
    <row r="2231" spans="1:12" x14ac:dyDescent="0.3">
      <c r="A2231" t="s">
        <v>2247</v>
      </c>
      <c r="B2231" t="s">
        <v>21</v>
      </c>
      <c r="C2231">
        <v>799</v>
      </c>
      <c r="D2231">
        <v>0</v>
      </c>
      <c r="E2231">
        <v>0</v>
      </c>
      <c r="F2231">
        <f>COUNTIFS(mdr_rate_cleaned!$A$2:$A$10,B2231,mdr_rate_cleaned!$B$2:$B$10,"&lt;"&amp;C2231,mdr_rate_cleaned!$F$2:$F$10,"&gt;="&amp;C2231)</f>
        <v>1</v>
      </c>
      <c r="G2231">
        <v>0</v>
      </c>
      <c r="H2231">
        <v>0</v>
      </c>
      <c r="I2231" t="s">
        <v>15</v>
      </c>
      <c r="J2231" t="s">
        <v>15</v>
      </c>
      <c r="K2231">
        <v>0</v>
      </c>
      <c r="L2231">
        <v>0</v>
      </c>
    </row>
    <row r="2232" spans="1:12" x14ac:dyDescent="0.3">
      <c r="A2232" t="s">
        <v>2248</v>
      </c>
      <c r="B2232" t="s">
        <v>17</v>
      </c>
      <c r="C2232">
        <v>7999</v>
      </c>
      <c r="D2232">
        <v>127.98</v>
      </c>
      <c r="E2232">
        <v>23.04</v>
      </c>
      <c r="F2232">
        <f>COUNTIFS(mdr_rate_cleaned!$A$2:$A$10,B2232,mdr_rate_cleaned!$B$2:$B$10,"&lt;"&amp;C2232,mdr_rate_cleaned!$F$2:$F$10,"&gt;="&amp;C2232)</f>
        <v>1</v>
      </c>
      <c r="G2232">
        <v>1.6E-2</v>
      </c>
      <c r="H2232">
        <v>127.98</v>
      </c>
      <c r="I2232" t="s">
        <v>15</v>
      </c>
      <c r="J2232" t="s">
        <v>15</v>
      </c>
      <c r="K2232">
        <v>23.04</v>
      </c>
      <c r="L2232">
        <v>0</v>
      </c>
    </row>
    <row r="2233" spans="1:12" x14ac:dyDescent="0.3">
      <c r="A2233" t="s">
        <v>2249</v>
      </c>
      <c r="B2233" t="s">
        <v>21</v>
      </c>
      <c r="C2233">
        <v>12998</v>
      </c>
      <c r="D2233">
        <v>38.99</v>
      </c>
      <c r="E2233">
        <v>7.02</v>
      </c>
      <c r="F2233">
        <f>COUNTIFS(mdr_rate_cleaned!$A$2:$A$10,B2233,mdr_rate_cleaned!$B$2:$B$10,"&lt;"&amp;C2233,mdr_rate_cleaned!$F$2:$F$10,"&gt;="&amp;C2233)</f>
        <v>1</v>
      </c>
      <c r="G2233">
        <v>3.0000000000000001E-3</v>
      </c>
      <c r="H2233">
        <v>38.99</v>
      </c>
      <c r="I2233" t="s">
        <v>15</v>
      </c>
      <c r="J2233" t="s">
        <v>15</v>
      </c>
      <c r="K2233">
        <v>7.02</v>
      </c>
      <c r="L2233">
        <v>0</v>
      </c>
    </row>
    <row r="2234" spans="1:12" x14ac:dyDescent="0.3">
      <c r="A2234" t="s">
        <v>2250</v>
      </c>
      <c r="B2234" t="s">
        <v>13</v>
      </c>
      <c r="C2234">
        <v>8897</v>
      </c>
      <c r="D2234">
        <v>151.25</v>
      </c>
      <c r="E2234">
        <v>27.23</v>
      </c>
      <c r="F2234">
        <f>COUNTIFS(mdr_rate_cleaned!$A$2:$A$10,B2234,mdr_rate_cleaned!$B$2:$B$10,"&lt;"&amp;C2234,mdr_rate_cleaned!$F$2:$F$10,"&gt;="&amp;C2234)</f>
        <v>1</v>
      </c>
      <c r="G2234">
        <v>1.7000000000000001E-2</v>
      </c>
      <c r="H2234">
        <v>151.25</v>
      </c>
      <c r="I2234" t="s">
        <v>15</v>
      </c>
      <c r="J2234" t="s">
        <v>15</v>
      </c>
      <c r="K2234">
        <v>27.23</v>
      </c>
      <c r="L2234">
        <v>0</v>
      </c>
    </row>
    <row r="2235" spans="1:12" x14ac:dyDescent="0.3">
      <c r="A2235" t="s">
        <v>2251</v>
      </c>
      <c r="B2235" t="s">
        <v>21</v>
      </c>
      <c r="C2235">
        <v>2597</v>
      </c>
      <c r="D2235">
        <v>7.79</v>
      </c>
      <c r="E2235">
        <v>1.4</v>
      </c>
      <c r="F2235">
        <f>COUNTIFS(mdr_rate_cleaned!$A$2:$A$10,B2235,mdr_rate_cleaned!$B$2:$B$10,"&lt;"&amp;C2235,mdr_rate_cleaned!$F$2:$F$10,"&gt;="&amp;C2235)</f>
        <v>1</v>
      </c>
      <c r="G2235">
        <v>3.0000000000000001E-3</v>
      </c>
      <c r="H2235">
        <v>7.79</v>
      </c>
      <c r="I2235" t="s">
        <v>15</v>
      </c>
      <c r="J2235" t="s">
        <v>15</v>
      </c>
      <c r="K2235">
        <v>1.4</v>
      </c>
      <c r="L2235">
        <v>0</v>
      </c>
    </row>
    <row r="2236" spans="1:12" x14ac:dyDescent="0.3">
      <c r="A2236" t="s">
        <v>2252</v>
      </c>
      <c r="B2236" t="s">
        <v>21</v>
      </c>
      <c r="C2236">
        <v>9997</v>
      </c>
      <c r="D2236">
        <v>29.99</v>
      </c>
      <c r="E2236">
        <v>5.4</v>
      </c>
      <c r="F2236">
        <f>COUNTIFS(mdr_rate_cleaned!$A$2:$A$10,B2236,mdr_rate_cleaned!$B$2:$B$10,"&lt;"&amp;C2236,mdr_rate_cleaned!$F$2:$F$10,"&gt;="&amp;C2236)</f>
        <v>1</v>
      </c>
      <c r="G2236">
        <v>3.0000000000000001E-3</v>
      </c>
      <c r="H2236">
        <v>29.99</v>
      </c>
      <c r="I2236" t="s">
        <v>15</v>
      </c>
      <c r="J2236" t="s">
        <v>15</v>
      </c>
      <c r="K2236">
        <v>5.4</v>
      </c>
      <c r="L2236">
        <v>0</v>
      </c>
    </row>
    <row r="2237" spans="1:12" x14ac:dyDescent="0.3">
      <c r="A2237" t="s">
        <v>2253</v>
      </c>
      <c r="B2237" t="s">
        <v>21</v>
      </c>
      <c r="C2237">
        <v>7999</v>
      </c>
      <c r="D2237">
        <v>24</v>
      </c>
      <c r="E2237">
        <v>4.32</v>
      </c>
      <c r="F2237">
        <f>COUNTIFS(mdr_rate_cleaned!$A$2:$A$10,B2237,mdr_rate_cleaned!$B$2:$B$10,"&lt;"&amp;C2237,mdr_rate_cleaned!$F$2:$F$10,"&gt;="&amp;C2237)</f>
        <v>1</v>
      </c>
      <c r="G2237">
        <v>3.0000000000000001E-3</v>
      </c>
      <c r="H2237">
        <v>24</v>
      </c>
      <c r="I2237" t="s">
        <v>15</v>
      </c>
      <c r="J2237" t="s">
        <v>15</v>
      </c>
      <c r="K2237">
        <v>4.32</v>
      </c>
      <c r="L2237">
        <v>0</v>
      </c>
    </row>
    <row r="2238" spans="1:12" x14ac:dyDescent="0.3">
      <c r="A2238" t="s">
        <v>2254</v>
      </c>
      <c r="B2238" t="s">
        <v>21</v>
      </c>
      <c r="C2238">
        <v>4298</v>
      </c>
      <c r="D2238">
        <v>12.89</v>
      </c>
      <c r="E2238">
        <v>2.3199999999999998</v>
      </c>
      <c r="F2238">
        <f>COUNTIFS(mdr_rate_cleaned!$A$2:$A$10,B2238,mdr_rate_cleaned!$B$2:$B$10,"&lt;"&amp;C2238,mdr_rate_cleaned!$F$2:$F$10,"&gt;="&amp;C2238)</f>
        <v>1</v>
      </c>
      <c r="G2238">
        <v>3.0000000000000001E-3</v>
      </c>
      <c r="H2238">
        <v>12.89</v>
      </c>
      <c r="I2238" t="s">
        <v>15</v>
      </c>
      <c r="J2238" t="s">
        <v>15</v>
      </c>
      <c r="K2238">
        <v>2.3199999999999998</v>
      </c>
      <c r="L2238">
        <v>0</v>
      </c>
    </row>
    <row r="2239" spans="1:12" x14ac:dyDescent="0.3">
      <c r="A2239" t="s">
        <v>2255</v>
      </c>
      <c r="B2239" t="s">
        <v>21</v>
      </c>
      <c r="C2239">
        <v>349</v>
      </c>
      <c r="D2239">
        <v>0</v>
      </c>
      <c r="E2239">
        <v>0</v>
      </c>
      <c r="F2239">
        <f>COUNTIFS(mdr_rate_cleaned!$A$2:$A$10,B2239,mdr_rate_cleaned!$B$2:$B$10,"&lt;"&amp;C2239,mdr_rate_cleaned!$F$2:$F$10,"&gt;="&amp;C2239)</f>
        <v>1</v>
      </c>
      <c r="G2239">
        <v>0</v>
      </c>
      <c r="H2239">
        <v>0</v>
      </c>
      <c r="I2239" t="s">
        <v>15</v>
      </c>
      <c r="J2239" t="s">
        <v>15</v>
      </c>
      <c r="K2239">
        <v>0</v>
      </c>
      <c r="L2239">
        <v>0</v>
      </c>
    </row>
    <row r="2240" spans="1:12" x14ac:dyDescent="0.3">
      <c r="A2240" t="s">
        <v>2256</v>
      </c>
      <c r="B2240" t="s">
        <v>17</v>
      </c>
      <c r="C2240">
        <v>3397</v>
      </c>
      <c r="D2240">
        <v>54.35</v>
      </c>
      <c r="E2240">
        <v>9.7799999999999994</v>
      </c>
      <c r="F2240">
        <f>COUNTIFS(mdr_rate_cleaned!$A$2:$A$10,B2240,mdr_rate_cleaned!$B$2:$B$10,"&lt;"&amp;C2240,mdr_rate_cleaned!$F$2:$F$10,"&gt;="&amp;C2240)</f>
        <v>1</v>
      </c>
      <c r="G2240">
        <v>1.6E-2</v>
      </c>
      <c r="H2240">
        <v>54.35</v>
      </c>
      <c r="I2240" t="s">
        <v>15</v>
      </c>
      <c r="J2240" t="s">
        <v>15</v>
      </c>
      <c r="K2240">
        <v>9.7799999999999994</v>
      </c>
      <c r="L2240">
        <v>0</v>
      </c>
    </row>
    <row r="2241" spans="1:12" x14ac:dyDescent="0.3">
      <c r="A2241" t="s">
        <v>2257</v>
      </c>
      <c r="B2241" t="s">
        <v>21</v>
      </c>
      <c r="C2241">
        <v>2499</v>
      </c>
      <c r="D2241">
        <v>7.5</v>
      </c>
      <c r="E2241">
        <v>1.35</v>
      </c>
      <c r="F2241">
        <f>COUNTIFS(mdr_rate_cleaned!$A$2:$A$10,B2241,mdr_rate_cleaned!$B$2:$B$10,"&lt;"&amp;C2241,mdr_rate_cleaned!$F$2:$F$10,"&gt;="&amp;C2241)</f>
        <v>1</v>
      </c>
      <c r="G2241">
        <v>3.0000000000000001E-3</v>
      </c>
      <c r="H2241">
        <v>7.5</v>
      </c>
      <c r="I2241" t="s">
        <v>15</v>
      </c>
      <c r="J2241" t="s">
        <v>15</v>
      </c>
      <c r="K2241">
        <v>1.35</v>
      </c>
      <c r="L2241">
        <v>0</v>
      </c>
    </row>
    <row r="2242" spans="1:12" x14ac:dyDescent="0.3">
      <c r="A2242" t="s">
        <v>2258</v>
      </c>
      <c r="B2242" t="s">
        <v>21</v>
      </c>
      <c r="C2242">
        <v>2598</v>
      </c>
      <c r="D2242">
        <v>7.79</v>
      </c>
      <c r="E2242">
        <v>1.4</v>
      </c>
      <c r="F2242">
        <f>COUNTIFS(mdr_rate_cleaned!$A$2:$A$10,B2242,mdr_rate_cleaned!$B$2:$B$10,"&lt;"&amp;C2242,mdr_rate_cleaned!$F$2:$F$10,"&gt;="&amp;C2242)</f>
        <v>1</v>
      </c>
      <c r="G2242">
        <v>3.0000000000000001E-3</v>
      </c>
      <c r="H2242">
        <v>7.79</v>
      </c>
      <c r="I2242" t="s">
        <v>15</v>
      </c>
      <c r="J2242" t="s">
        <v>15</v>
      </c>
      <c r="K2242">
        <v>1.4</v>
      </c>
      <c r="L2242">
        <v>0</v>
      </c>
    </row>
    <row r="2243" spans="1:12" x14ac:dyDescent="0.3">
      <c r="A2243" t="s">
        <v>2259</v>
      </c>
      <c r="B2243" t="s">
        <v>39</v>
      </c>
      <c r="C2243">
        <v>2499</v>
      </c>
      <c r="D2243">
        <v>29.99</v>
      </c>
      <c r="E2243">
        <v>5.4</v>
      </c>
      <c r="F2243">
        <f>COUNTIFS(mdr_rate_cleaned!$A$2:$A$10,B2243,mdr_rate_cleaned!$B$2:$B$10,"&lt;"&amp;C2243,mdr_rate_cleaned!$F$2:$F$10,"&gt;="&amp;C2243)</f>
        <v>1</v>
      </c>
      <c r="G2243">
        <v>1.2E-2</v>
      </c>
      <c r="H2243">
        <v>29.99</v>
      </c>
      <c r="I2243" t="s">
        <v>15</v>
      </c>
      <c r="J2243" t="s">
        <v>15</v>
      </c>
      <c r="K2243">
        <v>5.4</v>
      </c>
      <c r="L2243">
        <v>0</v>
      </c>
    </row>
    <row r="2244" spans="1:12" x14ac:dyDescent="0.3">
      <c r="A2244" t="s">
        <v>2260</v>
      </c>
      <c r="B2244" t="s">
        <v>21</v>
      </c>
      <c r="C2244">
        <v>2797</v>
      </c>
      <c r="D2244">
        <v>8.39</v>
      </c>
      <c r="E2244">
        <v>1.51</v>
      </c>
      <c r="F2244">
        <f>COUNTIFS(mdr_rate_cleaned!$A$2:$A$10,B2244,mdr_rate_cleaned!$B$2:$B$10,"&lt;"&amp;C2244,mdr_rate_cleaned!$F$2:$F$10,"&gt;="&amp;C2244)</f>
        <v>1</v>
      </c>
      <c r="G2244">
        <v>3.0000000000000001E-3</v>
      </c>
      <c r="H2244">
        <v>8.39</v>
      </c>
      <c r="I2244" t="s">
        <v>15</v>
      </c>
      <c r="J2244" t="s">
        <v>15</v>
      </c>
      <c r="K2244">
        <v>1.51</v>
      </c>
      <c r="L2244">
        <v>0</v>
      </c>
    </row>
    <row r="2245" spans="1:12" x14ac:dyDescent="0.3">
      <c r="A2245" t="s">
        <v>2261</v>
      </c>
      <c r="B2245" t="s">
        <v>21</v>
      </c>
      <c r="C2245">
        <v>3298</v>
      </c>
      <c r="D2245">
        <v>9.89</v>
      </c>
      <c r="E2245">
        <v>1.78</v>
      </c>
      <c r="F2245">
        <f>COUNTIFS(mdr_rate_cleaned!$A$2:$A$10,B2245,mdr_rate_cleaned!$B$2:$B$10,"&lt;"&amp;C2245,mdr_rate_cleaned!$F$2:$F$10,"&gt;="&amp;C2245)</f>
        <v>1</v>
      </c>
      <c r="G2245">
        <v>3.0000000000000001E-3</v>
      </c>
      <c r="H2245">
        <v>9.89</v>
      </c>
      <c r="I2245" t="s">
        <v>15</v>
      </c>
      <c r="J2245" t="s">
        <v>15</v>
      </c>
      <c r="K2245">
        <v>1.78</v>
      </c>
      <c r="L2245">
        <v>0</v>
      </c>
    </row>
    <row r="2246" spans="1:12" x14ac:dyDescent="0.3">
      <c r="A2246" t="s">
        <v>2262</v>
      </c>
      <c r="B2246" t="s">
        <v>21</v>
      </c>
      <c r="C2246">
        <v>2499</v>
      </c>
      <c r="D2246">
        <v>7.5</v>
      </c>
      <c r="E2246">
        <v>1.35</v>
      </c>
      <c r="F2246">
        <f>COUNTIFS(mdr_rate_cleaned!$A$2:$A$10,B2246,mdr_rate_cleaned!$B$2:$B$10,"&lt;"&amp;C2246,mdr_rate_cleaned!$F$2:$F$10,"&gt;="&amp;C2246)</f>
        <v>1</v>
      </c>
      <c r="G2246">
        <v>3.0000000000000001E-3</v>
      </c>
      <c r="H2246">
        <v>7.5</v>
      </c>
      <c r="I2246" t="s">
        <v>15</v>
      </c>
      <c r="J2246" t="s">
        <v>15</v>
      </c>
      <c r="K2246">
        <v>1.35</v>
      </c>
      <c r="L2246">
        <v>0</v>
      </c>
    </row>
    <row r="2247" spans="1:12" x14ac:dyDescent="0.3">
      <c r="A2247" t="s">
        <v>2263</v>
      </c>
      <c r="B2247" t="s">
        <v>17</v>
      </c>
      <c r="C2247">
        <v>1598</v>
      </c>
      <c r="D2247">
        <v>28.76</v>
      </c>
      <c r="E2247">
        <v>5.18</v>
      </c>
      <c r="F2247">
        <f>COUNTIFS(mdr_rate_cleaned!$A$2:$A$10,B2247,mdr_rate_cleaned!$B$2:$B$10,"&lt;"&amp;C2247,mdr_rate_cleaned!$F$2:$F$10,"&gt;="&amp;C2247)</f>
        <v>1</v>
      </c>
      <c r="G2247">
        <v>1.7999999999999999E-2</v>
      </c>
      <c r="H2247">
        <v>28.76</v>
      </c>
      <c r="I2247" t="s">
        <v>15</v>
      </c>
      <c r="J2247" t="s">
        <v>15</v>
      </c>
      <c r="K2247">
        <v>5.18</v>
      </c>
      <c r="L2247">
        <v>0</v>
      </c>
    </row>
    <row r="2248" spans="1:12" x14ac:dyDescent="0.3">
      <c r="A2248" t="s">
        <v>2264</v>
      </c>
      <c r="B2248" t="s">
        <v>21</v>
      </c>
      <c r="C2248">
        <v>3348</v>
      </c>
      <c r="D2248">
        <v>10.039999999999999</v>
      </c>
      <c r="E2248">
        <v>1.81</v>
      </c>
      <c r="F2248">
        <f>COUNTIFS(mdr_rate_cleaned!$A$2:$A$10,B2248,mdr_rate_cleaned!$B$2:$B$10,"&lt;"&amp;C2248,mdr_rate_cleaned!$F$2:$F$10,"&gt;="&amp;C2248)</f>
        <v>1</v>
      </c>
      <c r="G2248">
        <v>3.0000000000000001E-3</v>
      </c>
      <c r="H2248">
        <v>10.039999999999999</v>
      </c>
      <c r="I2248" t="s">
        <v>15</v>
      </c>
      <c r="J2248" t="s">
        <v>15</v>
      </c>
      <c r="K2248">
        <v>1.81</v>
      </c>
      <c r="L2248">
        <v>0</v>
      </c>
    </row>
    <row r="2249" spans="1:12" x14ac:dyDescent="0.3">
      <c r="A2249" t="s">
        <v>2265</v>
      </c>
      <c r="B2249" t="s">
        <v>13</v>
      </c>
      <c r="C2249">
        <v>3499</v>
      </c>
      <c r="D2249">
        <v>59.48</v>
      </c>
      <c r="E2249">
        <v>10.71</v>
      </c>
      <c r="F2249">
        <f>COUNTIFS(mdr_rate_cleaned!$A$2:$A$10,B2249,mdr_rate_cleaned!$B$2:$B$10,"&lt;"&amp;C2249,mdr_rate_cleaned!$F$2:$F$10,"&gt;="&amp;C2249)</f>
        <v>1</v>
      </c>
      <c r="G2249">
        <v>1.7000000000000001E-2</v>
      </c>
      <c r="H2249">
        <v>59.48</v>
      </c>
      <c r="I2249" t="s">
        <v>15</v>
      </c>
      <c r="J2249" t="s">
        <v>15</v>
      </c>
      <c r="K2249">
        <v>10.71</v>
      </c>
      <c r="L2249">
        <v>0</v>
      </c>
    </row>
    <row r="2250" spans="1:12" x14ac:dyDescent="0.3">
      <c r="A2250" t="s">
        <v>2266</v>
      </c>
      <c r="B2250" t="s">
        <v>21</v>
      </c>
      <c r="C2250">
        <v>848</v>
      </c>
      <c r="D2250">
        <v>0</v>
      </c>
      <c r="E2250">
        <v>0</v>
      </c>
      <c r="F2250">
        <f>COUNTIFS(mdr_rate_cleaned!$A$2:$A$10,B2250,mdr_rate_cleaned!$B$2:$B$10,"&lt;"&amp;C2250,mdr_rate_cleaned!$F$2:$F$10,"&gt;="&amp;C2250)</f>
        <v>1</v>
      </c>
      <c r="G2250">
        <v>0</v>
      </c>
      <c r="H2250">
        <v>0</v>
      </c>
      <c r="I2250" t="s">
        <v>15</v>
      </c>
      <c r="J2250" t="s">
        <v>15</v>
      </c>
      <c r="K2250">
        <v>0</v>
      </c>
      <c r="L2250">
        <v>0</v>
      </c>
    </row>
    <row r="2251" spans="1:12" x14ac:dyDescent="0.3">
      <c r="A2251" t="s">
        <v>2267</v>
      </c>
      <c r="B2251" t="s">
        <v>21</v>
      </c>
      <c r="C2251">
        <v>11797</v>
      </c>
      <c r="D2251">
        <v>35.39</v>
      </c>
      <c r="E2251">
        <v>6.37</v>
      </c>
      <c r="F2251">
        <f>COUNTIFS(mdr_rate_cleaned!$A$2:$A$10,B2251,mdr_rate_cleaned!$B$2:$B$10,"&lt;"&amp;C2251,mdr_rate_cleaned!$F$2:$F$10,"&gt;="&amp;C2251)</f>
        <v>1</v>
      </c>
      <c r="G2251">
        <v>3.0000000000000001E-3</v>
      </c>
      <c r="H2251">
        <v>35.39</v>
      </c>
      <c r="I2251" t="s">
        <v>15</v>
      </c>
      <c r="J2251" t="s">
        <v>15</v>
      </c>
      <c r="K2251">
        <v>6.37</v>
      </c>
      <c r="L2251">
        <v>0</v>
      </c>
    </row>
    <row r="2252" spans="1:12" x14ac:dyDescent="0.3">
      <c r="A2252" t="s">
        <v>2268</v>
      </c>
      <c r="B2252" t="s">
        <v>17</v>
      </c>
      <c r="C2252">
        <v>1499</v>
      </c>
      <c r="D2252">
        <v>26.98</v>
      </c>
      <c r="E2252">
        <v>4.8600000000000003</v>
      </c>
      <c r="F2252">
        <f>COUNTIFS(mdr_rate_cleaned!$A$2:$A$10,B2252,mdr_rate_cleaned!$B$2:$B$10,"&lt;"&amp;C2252,mdr_rate_cleaned!$F$2:$F$10,"&gt;="&amp;C2252)</f>
        <v>1</v>
      </c>
      <c r="G2252">
        <v>1.7999999999999999E-2</v>
      </c>
      <c r="H2252">
        <v>26.98</v>
      </c>
      <c r="I2252" t="s">
        <v>15</v>
      </c>
      <c r="J2252" t="s">
        <v>15</v>
      </c>
      <c r="K2252">
        <v>4.8600000000000003</v>
      </c>
      <c r="L2252">
        <v>0</v>
      </c>
    </row>
    <row r="2253" spans="1:12" x14ac:dyDescent="0.3">
      <c r="A2253" t="s">
        <v>2269</v>
      </c>
      <c r="B2253" t="s">
        <v>17</v>
      </c>
      <c r="C2253">
        <v>3499</v>
      </c>
      <c r="D2253">
        <v>55.98</v>
      </c>
      <c r="E2253">
        <v>10.08</v>
      </c>
      <c r="F2253">
        <f>COUNTIFS(mdr_rate_cleaned!$A$2:$A$10,B2253,mdr_rate_cleaned!$B$2:$B$10,"&lt;"&amp;C2253,mdr_rate_cleaned!$F$2:$F$10,"&gt;="&amp;C2253)</f>
        <v>1</v>
      </c>
      <c r="G2253">
        <v>1.6E-2</v>
      </c>
      <c r="H2253">
        <v>55.98</v>
      </c>
      <c r="I2253" t="s">
        <v>15</v>
      </c>
      <c r="J2253" t="s">
        <v>15</v>
      </c>
      <c r="K2253">
        <v>10.08</v>
      </c>
      <c r="L2253">
        <v>0</v>
      </c>
    </row>
    <row r="2254" spans="1:12" x14ac:dyDescent="0.3">
      <c r="A2254" t="s">
        <v>2270</v>
      </c>
      <c r="B2254" t="s">
        <v>17</v>
      </c>
      <c r="C2254">
        <v>1348</v>
      </c>
      <c r="D2254">
        <v>24.26</v>
      </c>
      <c r="E2254">
        <v>4.37</v>
      </c>
      <c r="F2254">
        <f>COUNTIFS(mdr_rate_cleaned!$A$2:$A$10,B2254,mdr_rate_cleaned!$B$2:$B$10,"&lt;"&amp;C2254,mdr_rate_cleaned!$F$2:$F$10,"&gt;="&amp;C2254)</f>
        <v>1</v>
      </c>
      <c r="G2254">
        <v>1.7999999999999999E-2</v>
      </c>
      <c r="H2254">
        <v>24.26</v>
      </c>
      <c r="I2254" t="s">
        <v>15</v>
      </c>
      <c r="J2254" t="s">
        <v>15</v>
      </c>
      <c r="K2254">
        <v>4.37</v>
      </c>
      <c r="L2254">
        <v>0</v>
      </c>
    </row>
    <row r="2255" spans="1:12" x14ac:dyDescent="0.3">
      <c r="A2255" t="s">
        <v>2271</v>
      </c>
      <c r="B2255" t="s">
        <v>17</v>
      </c>
      <c r="C2255">
        <v>3848</v>
      </c>
      <c r="D2255">
        <v>61.57</v>
      </c>
      <c r="E2255">
        <v>11.08</v>
      </c>
      <c r="F2255">
        <f>COUNTIFS(mdr_rate_cleaned!$A$2:$A$10,B2255,mdr_rate_cleaned!$B$2:$B$10,"&lt;"&amp;C2255,mdr_rate_cleaned!$F$2:$F$10,"&gt;="&amp;C2255)</f>
        <v>1</v>
      </c>
      <c r="G2255">
        <v>1.6E-2</v>
      </c>
      <c r="H2255">
        <v>61.57</v>
      </c>
      <c r="I2255" t="s">
        <v>15</v>
      </c>
      <c r="J2255" t="s">
        <v>15</v>
      </c>
      <c r="K2255">
        <v>11.08</v>
      </c>
      <c r="L2255">
        <v>0</v>
      </c>
    </row>
    <row r="2256" spans="1:12" x14ac:dyDescent="0.3">
      <c r="A2256" t="s">
        <v>2272</v>
      </c>
      <c r="B2256" t="s">
        <v>21</v>
      </c>
      <c r="C2256">
        <v>1098</v>
      </c>
      <c r="D2256">
        <v>0</v>
      </c>
      <c r="E2256">
        <v>0</v>
      </c>
      <c r="F2256">
        <f>COUNTIFS(mdr_rate_cleaned!$A$2:$A$10,B2256,mdr_rate_cleaned!$B$2:$B$10,"&lt;"&amp;C2256,mdr_rate_cleaned!$F$2:$F$10,"&gt;="&amp;C2256)</f>
        <v>1</v>
      </c>
      <c r="G2256">
        <v>0</v>
      </c>
      <c r="H2256">
        <v>0</v>
      </c>
      <c r="I2256" t="s">
        <v>15</v>
      </c>
      <c r="J2256" t="s">
        <v>15</v>
      </c>
      <c r="K2256">
        <v>0</v>
      </c>
      <c r="L2256">
        <v>0</v>
      </c>
    </row>
    <row r="2257" spans="1:12" x14ac:dyDescent="0.3">
      <c r="A2257" t="s">
        <v>2273</v>
      </c>
      <c r="B2257" t="s">
        <v>21</v>
      </c>
      <c r="C2257">
        <v>1098</v>
      </c>
      <c r="D2257">
        <v>0</v>
      </c>
      <c r="E2257">
        <v>0</v>
      </c>
      <c r="F2257">
        <f>COUNTIFS(mdr_rate_cleaned!$A$2:$A$10,B2257,mdr_rate_cleaned!$B$2:$B$10,"&lt;"&amp;C2257,mdr_rate_cleaned!$F$2:$F$10,"&gt;="&amp;C2257)</f>
        <v>1</v>
      </c>
      <c r="G2257">
        <v>0</v>
      </c>
      <c r="H2257">
        <v>0</v>
      </c>
      <c r="I2257" t="s">
        <v>15</v>
      </c>
      <c r="J2257" t="s">
        <v>15</v>
      </c>
      <c r="K2257">
        <v>0</v>
      </c>
      <c r="L2257">
        <v>0</v>
      </c>
    </row>
    <row r="2258" spans="1:12" x14ac:dyDescent="0.3">
      <c r="A2258" t="s">
        <v>2274</v>
      </c>
      <c r="B2258" t="s">
        <v>21</v>
      </c>
      <c r="C2258">
        <v>1499</v>
      </c>
      <c r="D2258">
        <v>0</v>
      </c>
      <c r="E2258">
        <v>0</v>
      </c>
      <c r="F2258">
        <f>COUNTIFS(mdr_rate_cleaned!$A$2:$A$10,B2258,mdr_rate_cleaned!$B$2:$B$10,"&lt;"&amp;C2258,mdr_rate_cleaned!$F$2:$F$10,"&gt;="&amp;C2258)</f>
        <v>1</v>
      </c>
      <c r="G2258">
        <v>0</v>
      </c>
      <c r="H2258">
        <v>0</v>
      </c>
      <c r="I2258" t="s">
        <v>15</v>
      </c>
      <c r="J2258" t="s">
        <v>15</v>
      </c>
      <c r="K2258">
        <v>0</v>
      </c>
      <c r="L2258">
        <v>0</v>
      </c>
    </row>
    <row r="2259" spans="1:12" x14ac:dyDescent="0.3">
      <c r="A2259" t="s">
        <v>2275</v>
      </c>
      <c r="B2259" t="s">
        <v>21</v>
      </c>
      <c r="C2259">
        <v>799</v>
      </c>
      <c r="D2259">
        <v>0</v>
      </c>
      <c r="E2259">
        <v>0</v>
      </c>
      <c r="F2259">
        <f>COUNTIFS(mdr_rate_cleaned!$A$2:$A$10,B2259,mdr_rate_cleaned!$B$2:$B$10,"&lt;"&amp;C2259,mdr_rate_cleaned!$F$2:$F$10,"&gt;="&amp;C2259)</f>
        <v>1</v>
      </c>
      <c r="G2259">
        <v>0</v>
      </c>
      <c r="H2259">
        <v>0</v>
      </c>
      <c r="I2259" t="s">
        <v>15</v>
      </c>
      <c r="J2259" t="s">
        <v>15</v>
      </c>
      <c r="K2259">
        <v>0</v>
      </c>
      <c r="L2259">
        <v>0</v>
      </c>
    </row>
    <row r="2260" spans="1:12" x14ac:dyDescent="0.3">
      <c r="A2260" t="s">
        <v>2276</v>
      </c>
      <c r="B2260" t="s">
        <v>21</v>
      </c>
      <c r="C2260">
        <v>1998</v>
      </c>
      <c r="D2260">
        <v>0</v>
      </c>
      <c r="E2260">
        <v>0</v>
      </c>
      <c r="F2260">
        <f>COUNTIFS(mdr_rate_cleaned!$A$2:$A$10,B2260,mdr_rate_cleaned!$B$2:$B$10,"&lt;"&amp;C2260,mdr_rate_cleaned!$F$2:$F$10,"&gt;="&amp;C2260)</f>
        <v>1</v>
      </c>
      <c r="G2260">
        <v>0</v>
      </c>
      <c r="H2260">
        <v>0</v>
      </c>
      <c r="I2260" t="s">
        <v>15</v>
      </c>
      <c r="J2260" t="s">
        <v>15</v>
      </c>
      <c r="K2260">
        <v>0</v>
      </c>
      <c r="L2260">
        <v>0</v>
      </c>
    </row>
    <row r="2261" spans="1:12" x14ac:dyDescent="0.3">
      <c r="A2261" t="s">
        <v>2277</v>
      </c>
      <c r="B2261" t="s">
        <v>21</v>
      </c>
      <c r="C2261">
        <v>9798</v>
      </c>
      <c r="D2261">
        <v>29.39</v>
      </c>
      <c r="E2261">
        <v>5.29</v>
      </c>
      <c r="F2261">
        <f>COUNTIFS(mdr_rate_cleaned!$A$2:$A$10,B2261,mdr_rate_cleaned!$B$2:$B$10,"&lt;"&amp;C2261,mdr_rate_cleaned!$F$2:$F$10,"&gt;="&amp;C2261)</f>
        <v>1</v>
      </c>
      <c r="G2261">
        <v>3.0000000000000001E-3</v>
      </c>
      <c r="H2261">
        <v>29.39</v>
      </c>
      <c r="I2261" t="s">
        <v>15</v>
      </c>
      <c r="J2261" t="s">
        <v>15</v>
      </c>
      <c r="K2261">
        <v>5.29</v>
      </c>
      <c r="L2261">
        <v>0</v>
      </c>
    </row>
    <row r="2262" spans="1:12" x14ac:dyDescent="0.3">
      <c r="A2262" t="s">
        <v>2278</v>
      </c>
      <c r="B2262" t="s">
        <v>21</v>
      </c>
      <c r="C2262">
        <v>2999</v>
      </c>
      <c r="D2262">
        <v>9</v>
      </c>
      <c r="E2262">
        <v>1.62</v>
      </c>
      <c r="F2262">
        <f>COUNTIFS(mdr_rate_cleaned!$A$2:$A$10,B2262,mdr_rate_cleaned!$B$2:$B$10,"&lt;"&amp;C2262,mdr_rate_cleaned!$F$2:$F$10,"&gt;="&amp;C2262)</f>
        <v>1</v>
      </c>
      <c r="G2262">
        <v>3.0000000000000001E-3</v>
      </c>
      <c r="H2262">
        <v>9</v>
      </c>
      <c r="I2262" t="s">
        <v>15</v>
      </c>
      <c r="J2262" t="s">
        <v>15</v>
      </c>
      <c r="K2262">
        <v>1.62</v>
      </c>
      <c r="L2262">
        <v>0</v>
      </c>
    </row>
    <row r="2263" spans="1:12" x14ac:dyDescent="0.3">
      <c r="A2263" t="s">
        <v>2279</v>
      </c>
      <c r="B2263" t="s">
        <v>39</v>
      </c>
      <c r="C2263">
        <v>299</v>
      </c>
      <c r="D2263">
        <v>4.49</v>
      </c>
      <c r="E2263">
        <v>0.81</v>
      </c>
      <c r="F2263">
        <f>COUNTIFS(mdr_rate_cleaned!$A$2:$A$10,B2263,mdr_rate_cleaned!$B$2:$B$10,"&lt;"&amp;C2263,mdr_rate_cleaned!$F$2:$F$10,"&gt;="&amp;C2263)</f>
        <v>1</v>
      </c>
      <c r="G2263">
        <v>1.4999999999999999E-2</v>
      </c>
      <c r="H2263">
        <v>4.49</v>
      </c>
      <c r="I2263" t="s">
        <v>15</v>
      </c>
      <c r="J2263" t="s">
        <v>15</v>
      </c>
      <c r="K2263">
        <v>0.81</v>
      </c>
      <c r="L2263">
        <v>0</v>
      </c>
    </row>
    <row r="2264" spans="1:12" x14ac:dyDescent="0.3">
      <c r="A2264" t="s">
        <v>2280</v>
      </c>
      <c r="B2264" t="s">
        <v>17</v>
      </c>
      <c r="C2264">
        <v>2098</v>
      </c>
      <c r="D2264">
        <v>33.57</v>
      </c>
      <c r="E2264">
        <v>6.04</v>
      </c>
      <c r="F2264">
        <f>COUNTIFS(mdr_rate_cleaned!$A$2:$A$10,B2264,mdr_rate_cleaned!$B$2:$B$10,"&lt;"&amp;C2264,mdr_rate_cleaned!$F$2:$F$10,"&gt;="&amp;C2264)</f>
        <v>1</v>
      </c>
      <c r="G2264">
        <v>1.6E-2</v>
      </c>
      <c r="H2264">
        <v>33.57</v>
      </c>
      <c r="I2264" t="s">
        <v>15</v>
      </c>
      <c r="J2264" t="s">
        <v>15</v>
      </c>
      <c r="K2264">
        <v>6.04</v>
      </c>
      <c r="L2264">
        <v>0</v>
      </c>
    </row>
    <row r="2265" spans="1:12" x14ac:dyDescent="0.3">
      <c r="A2265" t="s">
        <v>2281</v>
      </c>
      <c r="B2265" t="s">
        <v>13</v>
      </c>
      <c r="C2265">
        <v>499</v>
      </c>
      <c r="D2265">
        <v>9.48</v>
      </c>
      <c r="E2265">
        <v>1.71</v>
      </c>
      <c r="F2265">
        <f>COUNTIFS(mdr_rate_cleaned!$A$2:$A$10,B2265,mdr_rate_cleaned!$B$2:$B$10,"&lt;"&amp;C2265,mdr_rate_cleaned!$F$2:$F$10,"&gt;="&amp;C2265)</f>
        <v>1</v>
      </c>
      <c r="G2265">
        <v>1.9E-2</v>
      </c>
      <c r="H2265">
        <v>9.48</v>
      </c>
      <c r="I2265" t="s">
        <v>15</v>
      </c>
      <c r="J2265" t="s">
        <v>15</v>
      </c>
      <c r="K2265">
        <v>1.71</v>
      </c>
      <c r="L2265">
        <v>0</v>
      </c>
    </row>
    <row r="2266" spans="1:12" x14ac:dyDescent="0.3">
      <c r="A2266" t="s">
        <v>2282</v>
      </c>
      <c r="B2266" t="s">
        <v>21</v>
      </c>
      <c r="C2266">
        <v>1098</v>
      </c>
      <c r="D2266">
        <v>0</v>
      </c>
      <c r="E2266">
        <v>0</v>
      </c>
      <c r="F2266">
        <f>COUNTIFS(mdr_rate_cleaned!$A$2:$A$10,B2266,mdr_rate_cleaned!$B$2:$B$10,"&lt;"&amp;C2266,mdr_rate_cleaned!$F$2:$F$10,"&gt;="&amp;C2266)</f>
        <v>1</v>
      </c>
      <c r="G2266">
        <v>0</v>
      </c>
      <c r="H2266">
        <v>0</v>
      </c>
      <c r="I2266" t="s">
        <v>15</v>
      </c>
      <c r="J2266" t="s">
        <v>15</v>
      </c>
      <c r="K2266">
        <v>0</v>
      </c>
      <c r="L2266">
        <v>0</v>
      </c>
    </row>
    <row r="2267" spans="1:12" x14ac:dyDescent="0.3">
      <c r="A2267" t="s">
        <v>2283</v>
      </c>
      <c r="B2267" t="s">
        <v>21</v>
      </c>
      <c r="C2267">
        <v>1799</v>
      </c>
      <c r="D2267">
        <v>0</v>
      </c>
      <c r="E2267">
        <v>0</v>
      </c>
      <c r="F2267">
        <f>COUNTIFS(mdr_rate_cleaned!$A$2:$A$10,B2267,mdr_rate_cleaned!$B$2:$B$10,"&lt;"&amp;C2267,mdr_rate_cleaned!$F$2:$F$10,"&gt;="&amp;C2267)</f>
        <v>1</v>
      </c>
      <c r="G2267">
        <v>0</v>
      </c>
      <c r="H2267">
        <v>0</v>
      </c>
      <c r="I2267" t="s">
        <v>15</v>
      </c>
      <c r="J2267" t="s">
        <v>15</v>
      </c>
      <c r="K2267">
        <v>0</v>
      </c>
      <c r="L2267">
        <v>0</v>
      </c>
    </row>
    <row r="2268" spans="1:12" x14ac:dyDescent="0.3">
      <c r="A2268" t="s">
        <v>2284</v>
      </c>
      <c r="B2268" t="s">
        <v>17</v>
      </c>
      <c r="C2268">
        <v>1299</v>
      </c>
      <c r="D2268">
        <v>23.38</v>
      </c>
      <c r="E2268">
        <v>4.21</v>
      </c>
      <c r="F2268">
        <f>COUNTIFS(mdr_rate_cleaned!$A$2:$A$10,B2268,mdr_rate_cleaned!$B$2:$B$10,"&lt;"&amp;C2268,mdr_rate_cleaned!$F$2:$F$10,"&gt;="&amp;C2268)</f>
        <v>1</v>
      </c>
      <c r="G2268">
        <v>1.7999999999999999E-2</v>
      </c>
      <c r="H2268">
        <v>23.38</v>
      </c>
      <c r="I2268" t="s">
        <v>15</v>
      </c>
      <c r="J2268" t="s">
        <v>15</v>
      </c>
      <c r="K2268">
        <v>4.21</v>
      </c>
      <c r="L2268">
        <v>0</v>
      </c>
    </row>
    <row r="2269" spans="1:12" x14ac:dyDescent="0.3">
      <c r="A2269" t="s">
        <v>2285</v>
      </c>
      <c r="B2269" t="s">
        <v>21</v>
      </c>
      <c r="C2269">
        <v>1299</v>
      </c>
      <c r="D2269">
        <v>0</v>
      </c>
      <c r="E2269">
        <v>0</v>
      </c>
      <c r="F2269">
        <f>COUNTIFS(mdr_rate_cleaned!$A$2:$A$10,B2269,mdr_rate_cleaned!$B$2:$B$10,"&lt;"&amp;C2269,mdr_rate_cleaned!$F$2:$F$10,"&gt;="&amp;C2269)</f>
        <v>1</v>
      </c>
      <c r="G2269">
        <v>0</v>
      </c>
      <c r="H2269">
        <v>0</v>
      </c>
      <c r="I2269" t="s">
        <v>15</v>
      </c>
      <c r="J2269" t="s">
        <v>15</v>
      </c>
      <c r="K2269">
        <v>0</v>
      </c>
      <c r="L2269">
        <v>0</v>
      </c>
    </row>
    <row r="2270" spans="1:12" x14ac:dyDescent="0.3">
      <c r="A2270" t="s">
        <v>2286</v>
      </c>
      <c r="B2270" t="s">
        <v>13</v>
      </c>
      <c r="C2270">
        <v>599</v>
      </c>
      <c r="D2270">
        <v>11.38</v>
      </c>
      <c r="E2270">
        <v>2.0499999999999998</v>
      </c>
      <c r="F2270">
        <f>COUNTIFS(mdr_rate_cleaned!$A$2:$A$10,B2270,mdr_rate_cleaned!$B$2:$B$10,"&lt;"&amp;C2270,mdr_rate_cleaned!$F$2:$F$10,"&gt;="&amp;C2270)</f>
        <v>1</v>
      </c>
      <c r="G2270">
        <v>1.9E-2</v>
      </c>
      <c r="H2270">
        <v>11.38</v>
      </c>
      <c r="I2270" t="s">
        <v>15</v>
      </c>
      <c r="J2270" t="s">
        <v>15</v>
      </c>
      <c r="K2270">
        <v>2.0499999999999998</v>
      </c>
      <c r="L2270">
        <v>0</v>
      </c>
    </row>
    <row r="2271" spans="1:12" x14ac:dyDescent="0.3">
      <c r="A2271" t="s">
        <v>2287</v>
      </c>
      <c r="B2271" t="s">
        <v>21</v>
      </c>
      <c r="C2271">
        <v>299</v>
      </c>
      <c r="D2271">
        <v>0</v>
      </c>
      <c r="E2271">
        <v>0</v>
      </c>
      <c r="F2271">
        <f>COUNTIFS(mdr_rate_cleaned!$A$2:$A$10,B2271,mdr_rate_cleaned!$B$2:$B$10,"&lt;"&amp;C2271,mdr_rate_cleaned!$F$2:$F$10,"&gt;="&amp;C2271)</f>
        <v>1</v>
      </c>
      <c r="G2271">
        <v>0</v>
      </c>
      <c r="H2271">
        <v>0</v>
      </c>
      <c r="I2271" t="s">
        <v>15</v>
      </c>
      <c r="J2271" t="s">
        <v>15</v>
      </c>
      <c r="K2271">
        <v>0</v>
      </c>
      <c r="L2271">
        <v>0</v>
      </c>
    </row>
    <row r="2272" spans="1:12" x14ac:dyDescent="0.3">
      <c r="A2272" t="s">
        <v>2288</v>
      </c>
      <c r="B2272" t="s">
        <v>21</v>
      </c>
      <c r="C2272">
        <v>999</v>
      </c>
      <c r="D2272">
        <v>0</v>
      </c>
      <c r="E2272">
        <v>0</v>
      </c>
      <c r="F2272">
        <f>COUNTIFS(mdr_rate_cleaned!$A$2:$A$10,B2272,mdr_rate_cleaned!$B$2:$B$10,"&lt;"&amp;C2272,mdr_rate_cleaned!$F$2:$F$10,"&gt;="&amp;C2272)</f>
        <v>1</v>
      </c>
      <c r="G2272">
        <v>0</v>
      </c>
      <c r="H2272">
        <v>0</v>
      </c>
      <c r="I2272" t="s">
        <v>15</v>
      </c>
      <c r="J2272" t="s">
        <v>15</v>
      </c>
      <c r="K2272">
        <v>0</v>
      </c>
      <c r="L2272">
        <v>0</v>
      </c>
    </row>
    <row r="2273" spans="1:12" x14ac:dyDescent="0.3">
      <c r="A2273" t="s">
        <v>2289</v>
      </c>
      <c r="B2273" t="s">
        <v>21</v>
      </c>
      <c r="C2273">
        <v>499</v>
      </c>
      <c r="D2273">
        <v>0</v>
      </c>
      <c r="E2273">
        <v>0</v>
      </c>
      <c r="F2273">
        <f>COUNTIFS(mdr_rate_cleaned!$A$2:$A$10,B2273,mdr_rate_cleaned!$B$2:$B$10,"&lt;"&amp;C2273,mdr_rate_cleaned!$F$2:$F$10,"&gt;="&amp;C2273)</f>
        <v>1</v>
      </c>
      <c r="G2273">
        <v>0</v>
      </c>
      <c r="H2273">
        <v>0</v>
      </c>
      <c r="I2273" t="s">
        <v>15</v>
      </c>
      <c r="J2273" t="s">
        <v>15</v>
      </c>
      <c r="K2273">
        <v>0</v>
      </c>
      <c r="L2273">
        <v>0</v>
      </c>
    </row>
    <row r="2274" spans="1:12" x14ac:dyDescent="0.3">
      <c r="A2274" t="s">
        <v>2290</v>
      </c>
      <c r="B2274" t="s">
        <v>39</v>
      </c>
      <c r="C2274">
        <v>1798</v>
      </c>
      <c r="D2274">
        <v>26.97</v>
      </c>
      <c r="E2274">
        <v>4.8499999999999996</v>
      </c>
      <c r="F2274">
        <f>COUNTIFS(mdr_rate_cleaned!$A$2:$A$10,B2274,mdr_rate_cleaned!$B$2:$B$10,"&lt;"&amp;C2274,mdr_rate_cleaned!$F$2:$F$10,"&gt;="&amp;C2274)</f>
        <v>1</v>
      </c>
      <c r="G2274">
        <v>1.4999999999999999E-2</v>
      </c>
      <c r="H2274">
        <v>26.97</v>
      </c>
      <c r="I2274" t="s">
        <v>15</v>
      </c>
      <c r="J2274" t="s">
        <v>15</v>
      </c>
      <c r="K2274">
        <v>4.8499999999999996</v>
      </c>
      <c r="L2274">
        <v>0</v>
      </c>
    </row>
    <row r="2275" spans="1:12" x14ac:dyDescent="0.3">
      <c r="A2275" t="s">
        <v>2291</v>
      </c>
      <c r="B2275" t="s">
        <v>21</v>
      </c>
      <c r="C2275">
        <v>1299</v>
      </c>
      <c r="D2275">
        <v>0</v>
      </c>
      <c r="E2275">
        <v>0</v>
      </c>
      <c r="F2275">
        <f>COUNTIFS(mdr_rate_cleaned!$A$2:$A$10,B2275,mdr_rate_cleaned!$B$2:$B$10,"&lt;"&amp;C2275,mdr_rate_cleaned!$F$2:$F$10,"&gt;="&amp;C2275)</f>
        <v>1</v>
      </c>
      <c r="G2275">
        <v>0</v>
      </c>
      <c r="H2275">
        <v>0</v>
      </c>
      <c r="I2275" t="s">
        <v>15</v>
      </c>
      <c r="J2275" t="s">
        <v>15</v>
      </c>
      <c r="K2275">
        <v>0</v>
      </c>
      <c r="L2275">
        <v>0</v>
      </c>
    </row>
    <row r="2276" spans="1:12" x14ac:dyDescent="0.3">
      <c r="A2276" t="s">
        <v>2292</v>
      </c>
      <c r="B2276" t="s">
        <v>39</v>
      </c>
      <c r="C2276">
        <v>1799</v>
      </c>
      <c r="D2276">
        <v>26.99</v>
      </c>
      <c r="E2276">
        <v>4.8600000000000003</v>
      </c>
      <c r="F2276">
        <f>COUNTIFS(mdr_rate_cleaned!$A$2:$A$10,B2276,mdr_rate_cleaned!$B$2:$B$10,"&lt;"&amp;C2276,mdr_rate_cleaned!$F$2:$F$10,"&gt;="&amp;C2276)</f>
        <v>1</v>
      </c>
      <c r="G2276">
        <v>1.4999999999999999E-2</v>
      </c>
      <c r="H2276">
        <v>26.99</v>
      </c>
      <c r="I2276" t="s">
        <v>15</v>
      </c>
      <c r="J2276" t="s">
        <v>15</v>
      </c>
      <c r="K2276">
        <v>4.8600000000000003</v>
      </c>
      <c r="L2276">
        <v>0</v>
      </c>
    </row>
    <row r="2277" spans="1:12" x14ac:dyDescent="0.3">
      <c r="A2277" t="s">
        <v>2293</v>
      </c>
      <c r="B2277" t="s">
        <v>21</v>
      </c>
      <c r="C2277">
        <v>1299</v>
      </c>
      <c r="D2277">
        <v>0</v>
      </c>
      <c r="E2277">
        <v>0</v>
      </c>
      <c r="F2277">
        <f>COUNTIFS(mdr_rate_cleaned!$A$2:$A$10,B2277,mdr_rate_cleaned!$B$2:$B$10,"&lt;"&amp;C2277,mdr_rate_cleaned!$F$2:$F$10,"&gt;="&amp;C2277)</f>
        <v>1</v>
      </c>
      <c r="G2277">
        <v>0</v>
      </c>
      <c r="H2277">
        <v>0</v>
      </c>
      <c r="I2277" t="s">
        <v>15</v>
      </c>
      <c r="J2277" t="s">
        <v>15</v>
      </c>
      <c r="K2277">
        <v>0</v>
      </c>
      <c r="L2277">
        <v>0</v>
      </c>
    </row>
    <row r="2278" spans="1:12" x14ac:dyDescent="0.3">
      <c r="A2278" t="s">
        <v>2294</v>
      </c>
      <c r="B2278" t="s">
        <v>21</v>
      </c>
      <c r="C2278">
        <v>3499</v>
      </c>
      <c r="D2278">
        <v>10.5</v>
      </c>
      <c r="E2278">
        <v>1.89</v>
      </c>
      <c r="F2278">
        <f>COUNTIFS(mdr_rate_cleaned!$A$2:$A$10,B2278,mdr_rate_cleaned!$B$2:$B$10,"&lt;"&amp;C2278,mdr_rate_cleaned!$F$2:$F$10,"&gt;="&amp;C2278)</f>
        <v>1</v>
      </c>
      <c r="G2278">
        <v>3.0000000000000001E-3</v>
      </c>
      <c r="H2278">
        <v>10.5</v>
      </c>
      <c r="I2278" t="s">
        <v>15</v>
      </c>
      <c r="J2278" t="s">
        <v>15</v>
      </c>
      <c r="K2278">
        <v>1.89</v>
      </c>
      <c r="L2278">
        <v>0</v>
      </c>
    </row>
    <row r="2279" spans="1:12" x14ac:dyDescent="0.3">
      <c r="A2279" t="s">
        <v>2295</v>
      </c>
      <c r="B2279" t="s">
        <v>21</v>
      </c>
      <c r="C2279">
        <v>599</v>
      </c>
      <c r="D2279">
        <v>1.8</v>
      </c>
      <c r="E2279">
        <v>0.32</v>
      </c>
      <c r="F2279">
        <f>COUNTIFS(mdr_rate_cleaned!$A$2:$A$10,B2279,mdr_rate_cleaned!$B$2:$B$10,"&lt;"&amp;C2279,mdr_rate_cleaned!$F$2:$F$10,"&gt;="&amp;C2279)</f>
        <v>1</v>
      </c>
      <c r="G2279">
        <v>0</v>
      </c>
      <c r="H2279">
        <v>0</v>
      </c>
      <c r="I2279" t="s">
        <v>14</v>
      </c>
      <c r="J2279" t="s">
        <v>15</v>
      </c>
      <c r="K2279">
        <v>0</v>
      </c>
      <c r="L2279">
        <v>2.12</v>
      </c>
    </row>
    <row r="2280" spans="1:12" x14ac:dyDescent="0.3">
      <c r="A2280" t="s">
        <v>2296</v>
      </c>
      <c r="B2280" t="s">
        <v>13</v>
      </c>
      <c r="C2280">
        <v>2499</v>
      </c>
      <c r="D2280">
        <v>42.48</v>
      </c>
      <c r="E2280">
        <v>7.65</v>
      </c>
      <c r="F2280">
        <f>COUNTIFS(mdr_rate_cleaned!$A$2:$A$10,B2280,mdr_rate_cleaned!$B$2:$B$10,"&lt;"&amp;C2280,mdr_rate_cleaned!$F$2:$F$10,"&gt;="&amp;C2280)</f>
        <v>1</v>
      </c>
      <c r="G2280">
        <v>1.7000000000000001E-2</v>
      </c>
      <c r="H2280">
        <v>42.48</v>
      </c>
      <c r="I2280" t="s">
        <v>15</v>
      </c>
      <c r="J2280" t="s">
        <v>15</v>
      </c>
      <c r="K2280">
        <v>7.65</v>
      </c>
      <c r="L2280">
        <v>0</v>
      </c>
    </row>
    <row r="2281" spans="1:12" x14ac:dyDescent="0.3">
      <c r="A2281" t="s">
        <v>2297</v>
      </c>
      <c r="B2281" t="s">
        <v>17</v>
      </c>
      <c r="C2281">
        <v>1298</v>
      </c>
      <c r="D2281">
        <v>23.36</v>
      </c>
      <c r="E2281">
        <v>4.2</v>
      </c>
      <c r="F2281">
        <f>COUNTIFS(mdr_rate_cleaned!$A$2:$A$10,B2281,mdr_rate_cleaned!$B$2:$B$10,"&lt;"&amp;C2281,mdr_rate_cleaned!$F$2:$F$10,"&gt;="&amp;C2281)</f>
        <v>1</v>
      </c>
      <c r="G2281">
        <v>1.7999999999999999E-2</v>
      </c>
      <c r="H2281">
        <v>23.36</v>
      </c>
      <c r="I2281" t="s">
        <v>15</v>
      </c>
      <c r="J2281" t="s">
        <v>15</v>
      </c>
      <c r="K2281">
        <v>4.2</v>
      </c>
      <c r="L2281">
        <v>0</v>
      </c>
    </row>
    <row r="2282" spans="1:12" x14ac:dyDescent="0.3">
      <c r="A2282" t="s">
        <v>2298</v>
      </c>
      <c r="B2282" t="s">
        <v>21</v>
      </c>
      <c r="C2282">
        <v>6097</v>
      </c>
      <c r="D2282">
        <v>18.29</v>
      </c>
      <c r="E2282">
        <v>3.29</v>
      </c>
      <c r="F2282">
        <f>COUNTIFS(mdr_rate_cleaned!$A$2:$A$10,B2282,mdr_rate_cleaned!$B$2:$B$10,"&lt;"&amp;C2282,mdr_rate_cleaned!$F$2:$F$10,"&gt;="&amp;C2282)</f>
        <v>1</v>
      </c>
      <c r="G2282">
        <v>3.0000000000000001E-3</v>
      </c>
      <c r="H2282">
        <v>18.29</v>
      </c>
      <c r="I2282" t="s">
        <v>15</v>
      </c>
      <c r="J2282" t="s">
        <v>15</v>
      </c>
      <c r="K2282">
        <v>3.29</v>
      </c>
      <c r="L2282">
        <v>0</v>
      </c>
    </row>
    <row r="2283" spans="1:12" x14ac:dyDescent="0.3">
      <c r="A2283" t="s">
        <v>2299</v>
      </c>
      <c r="B2283" t="s">
        <v>21</v>
      </c>
      <c r="C2283">
        <v>5897</v>
      </c>
      <c r="D2283">
        <v>17.690000000000001</v>
      </c>
      <c r="E2283">
        <v>3.18</v>
      </c>
      <c r="F2283">
        <f>COUNTIFS(mdr_rate_cleaned!$A$2:$A$10,B2283,mdr_rate_cleaned!$B$2:$B$10,"&lt;"&amp;C2283,mdr_rate_cleaned!$F$2:$F$10,"&gt;="&amp;C2283)</f>
        <v>1</v>
      </c>
      <c r="G2283">
        <v>3.0000000000000001E-3</v>
      </c>
      <c r="H2283">
        <v>17.690000000000001</v>
      </c>
      <c r="I2283" t="s">
        <v>15</v>
      </c>
      <c r="J2283" t="s">
        <v>15</v>
      </c>
      <c r="K2283">
        <v>3.18</v>
      </c>
      <c r="L2283">
        <v>0</v>
      </c>
    </row>
    <row r="2284" spans="1:12" x14ac:dyDescent="0.3">
      <c r="A2284" t="s">
        <v>2300</v>
      </c>
      <c r="B2284" t="s">
        <v>17</v>
      </c>
      <c r="C2284">
        <v>4999</v>
      </c>
      <c r="D2284">
        <v>79.98</v>
      </c>
      <c r="E2284">
        <v>14.4</v>
      </c>
      <c r="F2284">
        <f>COUNTIFS(mdr_rate_cleaned!$A$2:$A$10,B2284,mdr_rate_cleaned!$B$2:$B$10,"&lt;"&amp;C2284,mdr_rate_cleaned!$F$2:$F$10,"&gt;="&amp;C2284)</f>
        <v>1</v>
      </c>
      <c r="G2284">
        <v>1.6E-2</v>
      </c>
      <c r="H2284">
        <v>79.98</v>
      </c>
      <c r="I2284" t="s">
        <v>15</v>
      </c>
      <c r="J2284" t="s">
        <v>15</v>
      </c>
      <c r="K2284">
        <v>14.4</v>
      </c>
      <c r="L2284">
        <v>0</v>
      </c>
    </row>
    <row r="2285" spans="1:12" x14ac:dyDescent="0.3">
      <c r="A2285" t="s">
        <v>2301</v>
      </c>
      <c r="B2285" t="s">
        <v>21</v>
      </c>
      <c r="C2285">
        <v>2148</v>
      </c>
      <c r="D2285">
        <v>6.44</v>
      </c>
      <c r="E2285">
        <v>1.1599999999999999</v>
      </c>
      <c r="F2285">
        <f>COUNTIFS(mdr_rate_cleaned!$A$2:$A$10,B2285,mdr_rate_cleaned!$B$2:$B$10,"&lt;"&amp;C2285,mdr_rate_cleaned!$F$2:$F$10,"&gt;="&amp;C2285)</f>
        <v>1</v>
      </c>
      <c r="G2285">
        <v>3.0000000000000001E-3</v>
      </c>
      <c r="H2285">
        <v>6.44</v>
      </c>
      <c r="I2285" t="s">
        <v>15</v>
      </c>
      <c r="J2285" t="s">
        <v>15</v>
      </c>
      <c r="K2285">
        <v>1.1599999999999999</v>
      </c>
      <c r="L2285">
        <v>0</v>
      </c>
    </row>
    <row r="2286" spans="1:12" x14ac:dyDescent="0.3">
      <c r="A2286" t="s">
        <v>2302</v>
      </c>
      <c r="B2286" t="s">
        <v>21</v>
      </c>
      <c r="C2286">
        <v>4999</v>
      </c>
      <c r="D2286">
        <v>15</v>
      </c>
      <c r="E2286">
        <v>2.7</v>
      </c>
      <c r="F2286">
        <f>COUNTIFS(mdr_rate_cleaned!$A$2:$A$10,B2286,mdr_rate_cleaned!$B$2:$B$10,"&lt;"&amp;C2286,mdr_rate_cleaned!$F$2:$F$10,"&gt;="&amp;C2286)</f>
        <v>1</v>
      </c>
      <c r="G2286">
        <v>3.0000000000000001E-3</v>
      </c>
      <c r="H2286">
        <v>15</v>
      </c>
      <c r="I2286" t="s">
        <v>15</v>
      </c>
      <c r="J2286" t="s">
        <v>15</v>
      </c>
      <c r="K2286">
        <v>2.7</v>
      </c>
      <c r="L2286">
        <v>0</v>
      </c>
    </row>
    <row r="2287" spans="1:12" x14ac:dyDescent="0.3">
      <c r="A2287" t="s">
        <v>2303</v>
      </c>
      <c r="B2287" t="s">
        <v>21</v>
      </c>
      <c r="C2287">
        <v>5797</v>
      </c>
      <c r="D2287">
        <v>17.39</v>
      </c>
      <c r="E2287">
        <v>3.13</v>
      </c>
      <c r="F2287">
        <f>COUNTIFS(mdr_rate_cleaned!$A$2:$A$10,B2287,mdr_rate_cleaned!$B$2:$B$10,"&lt;"&amp;C2287,mdr_rate_cleaned!$F$2:$F$10,"&gt;="&amp;C2287)</f>
        <v>1</v>
      </c>
      <c r="G2287">
        <v>3.0000000000000001E-3</v>
      </c>
      <c r="H2287">
        <v>17.39</v>
      </c>
      <c r="I2287" t="s">
        <v>15</v>
      </c>
      <c r="J2287" t="s">
        <v>15</v>
      </c>
      <c r="K2287">
        <v>3.13</v>
      </c>
      <c r="L2287">
        <v>0</v>
      </c>
    </row>
    <row r="2288" spans="1:12" x14ac:dyDescent="0.3">
      <c r="A2288" t="s">
        <v>2304</v>
      </c>
      <c r="B2288" t="s">
        <v>13</v>
      </c>
      <c r="C2288">
        <v>8348</v>
      </c>
      <c r="D2288">
        <v>141.91999999999999</v>
      </c>
      <c r="E2288">
        <v>25.55</v>
      </c>
      <c r="F2288">
        <f>COUNTIFS(mdr_rate_cleaned!$A$2:$A$10,B2288,mdr_rate_cleaned!$B$2:$B$10,"&lt;"&amp;C2288,mdr_rate_cleaned!$F$2:$F$10,"&gt;="&amp;C2288)</f>
        <v>1</v>
      </c>
      <c r="G2288">
        <v>1.7000000000000001E-2</v>
      </c>
      <c r="H2288">
        <v>141.91999999999999</v>
      </c>
      <c r="I2288" t="s">
        <v>15</v>
      </c>
      <c r="J2288" t="s">
        <v>15</v>
      </c>
      <c r="K2288">
        <v>25.55</v>
      </c>
      <c r="L2288">
        <v>0</v>
      </c>
    </row>
    <row r="2289" spans="1:12" x14ac:dyDescent="0.3">
      <c r="A2289" t="s">
        <v>2305</v>
      </c>
      <c r="B2289" t="s">
        <v>21</v>
      </c>
      <c r="C2289">
        <v>5498</v>
      </c>
      <c r="D2289">
        <v>16.489999999999998</v>
      </c>
      <c r="E2289">
        <v>2.97</v>
      </c>
      <c r="F2289">
        <f>COUNTIFS(mdr_rate_cleaned!$A$2:$A$10,B2289,mdr_rate_cleaned!$B$2:$B$10,"&lt;"&amp;C2289,mdr_rate_cleaned!$F$2:$F$10,"&gt;="&amp;C2289)</f>
        <v>1</v>
      </c>
      <c r="G2289">
        <v>3.0000000000000001E-3</v>
      </c>
      <c r="H2289">
        <v>16.489999999999998</v>
      </c>
      <c r="I2289" t="s">
        <v>15</v>
      </c>
      <c r="J2289" t="s">
        <v>15</v>
      </c>
      <c r="K2289">
        <v>2.97</v>
      </c>
      <c r="L2289">
        <v>0</v>
      </c>
    </row>
    <row r="2290" spans="1:12" x14ac:dyDescent="0.3">
      <c r="A2290" t="s">
        <v>2306</v>
      </c>
      <c r="B2290" t="s">
        <v>21</v>
      </c>
      <c r="C2290">
        <v>9998</v>
      </c>
      <c r="D2290">
        <v>29.99</v>
      </c>
      <c r="E2290">
        <v>5.4</v>
      </c>
      <c r="F2290">
        <f>COUNTIFS(mdr_rate_cleaned!$A$2:$A$10,B2290,mdr_rate_cleaned!$B$2:$B$10,"&lt;"&amp;C2290,mdr_rate_cleaned!$F$2:$F$10,"&gt;="&amp;C2290)</f>
        <v>1</v>
      </c>
      <c r="G2290">
        <v>3.0000000000000001E-3</v>
      </c>
      <c r="H2290">
        <v>29.99</v>
      </c>
      <c r="I2290" t="s">
        <v>15</v>
      </c>
      <c r="J2290" t="s">
        <v>15</v>
      </c>
      <c r="K2290">
        <v>5.4</v>
      </c>
      <c r="L2290">
        <v>0</v>
      </c>
    </row>
    <row r="2291" spans="1:12" x14ac:dyDescent="0.3">
      <c r="A2291" t="s">
        <v>2307</v>
      </c>
      <c r="B2291" t="s">
        <v>21</v>
      </c>
      <c r="C2291">
        <v>2999</v>
      </c>
      <c r="D2291">
        <v>9</v>
      </c>
      <c r="E2291">
        <v>1.62</v>
      </c>
      <c r="F2291">
        <f>COUNTIFS(mdr_rate_cleaned!$A$2:$A$10,B2291,mdr_rate_cleaned!$B$2:$B$10,"&lt;"&amp;C2291,mdr_rate_cleaned!$F$2:$F$10,"&gt;="&amp;C2291)</f>
        <v>1</v>
      </c>
      <c r="G2291">
        <v>3.0000000000000001E-3</v>
      </c>
      <c r="H2291">
        <v>9</v>
      </c>
      <c r="I2291" t="s">
        <v>15</v>
      </c>
      <c r="J2291" t="s">
        <v>15</v>
      </c>
      <c r="K2291">
        <v>1.62</v>
      </c>
      <c r="L2291">
        <v>0</v>
      </c>
    </row>
    <row r="2292" spans="1:12" x14ac:dyDescent="0.3">
      <c r="A2292" t="s">
        <v>2308</v>
      </c>
      <c r="B2292" t="s">
        <v>21</v>
      </c>
      <c r="C2292">
        <v>1799</v>
      </c>
      <c r="D2292">
        <v>0</v>
      </c>
      <c r="E2292">
        <v>0</v>
      </c>
      <c r="F2292">
        <f>COUNTIFS(mdr_rate_cleaned!$A$2:$A$10,B2292,mdr_rate_cleaned!$B$2:$B$10,"&lt;"&amp;C2292,mdr_rate_cleaned!$F$2:$F$10,"&gt;="&amp;C2292)</f>
        <v>1</v>
      </c>
      <c r="G2292">
        <v>0</v>
      </c>
      <c r="H2292">
        <v>0</v>
      </c>
      <c r="I2292" t="s">
        <v>15</v>
      </c>
      <c r="J2292" t="s">
        <v>15</v>
      </c>
      <c r="K2292">
        <v>0</v>
      </c>
      <c r="L2292">
        <v>0</v>
      </c>
    </row>
    <row r="2293" spans="1:12" x14ac:dyDescent="0.3">
      <c r="A2293" t="s">
        <v>2309</v>
      </c>
      <c r="B2293" t="s">
        <v>21</v>
      </c>
      <c r="C2293">
        <v>2499</v>
      </c>
      <c r="D2293">
        <v>7.5</v>
      </c>
      <c r="E2293">
        <v>1.35</v>
      </c>
      <c r="F2293">
        <f>COUNTIFS(mdr_rate_cleaned!$A$2:$A$10,B2293,mdr_rate_cleaned!$B$2:$B$10,"&lt;"&amp;C2293,mdr_rate_cleaned!$F$2:$F$10,"&gt;="&amp;C2293)</f>
        <v>1</v>
      </c>
      <c r="G2293">
        <v>3.0000000000000001E-3</v>
      </c>
      <c r="H2293">
        <v>7.5</v>
      </c>
      <c r="I2293" t="s">
        <v>15</v>
      </c>
      <c r="J2293" t="s">
        <v>15</v>
      </c>
      <c r="K2293">
        <v>1.35</v>
      </c>
      <c r="L2293">
        <v>0</v>
      </c>
    </row>
    <row r="2294" spans="1:12" x14ac:dyDescent="0.3">
      <c r="A2294" t="s">
        <v>2310</v>
      </c>
      <c r="B2294" t="s">
        <v>13</v>
      </c>
      <c r="C2294">
        <v>4097</v>
      </c>
      <c r="D2294">
        <v>69.650000000000006</v>
      </c>
      <c r="E2294">
        <v>12.54</v>
      </c>
      <c r="F2294">
        <f>COUNTIFS(mdr_rate_cleaned!$A$2:$A$10,B2294,mdr_rate_cleaned!$B$2:$B$10,"&lt;"&amp;C2294,mdr_rate_cleaned!$F$2:$F$10,"&gt;="&amp;C2294)</f>
        <v>1</v>
      </c>
      <c r="G2294">
        <v>1.7000000000000001E-2</v>
      </c>
      <c r="H2294">
        <v>69.650000000000006</v>
      </c>
      <c r="I2294" t="s">
        <v>15</v>
      </c>
      <c r="J2294" t="s">
        <v>15</v>
      </c>
      <c r="K2294">
        <v>12.54</v>
      </c>
      <c r="L2294">
        <v>0</v>
      </c>
    </row>
    <row r="2295" spans="1:12" x14ac:dyDescent="0.3">
      <c r="A2295" t="s">
        <v>2311</v>
      </c>
      <c r="B2295" t="s">
        <v>17</v>
      </c>
      <c r="C2295">
        <v>2098</v>
      </c>
      <c r="D2295">
        <v>33.57</v>
      </c>
      <c r="E2295">
        <v>6.04</v>
      </c>
      <c r="F2295">
        <f>COUNTIFS(mdr_rate_cleaned!$A$2:$A$10,B2295,mdr_rate_cleaned!$B$2:$B$10,"&lt;"&amp;C2295,mdr_rate_cleaned!$F$2:$F$10,"&gt;="&amp;C2295)</f>
        <v>1</v>
      </c>
      <c r="G2295">
        <v>1.6E-2</v>
      </c>
      <c r="H2295">
        <v>33.57</v>
      </c>
      <c r="I2295" t="s">
        <v>15</v>
      </c>
      <c r="J2295" t="s">
        <v>15</v>
      </c>
      <c r="K2295">
        <v>6.04</v>
      </c>
      <c r="L2295">
        <v>0</v>
      </c>
    </row>
    <row r="2296" spans="1:12" x14ac:dyDescent="0.3">
      <c r="A2296" t="s">
        <v>2312</v>
      </c>
      <c r="B2296" t="s">
        <v>21</v>
      </c>
      <c r="C2296">
        <v>2848</v>
      </c>
      <c r="D2296">
        <v>8.5399999999999991</v>
      </c>
      <c r="E2296">
        <v>1.54</v>
      </c>
      <c r="F2296">
        <f>COUNTIFS(mdr_rate_cleaned!$A$2:$A$10,B2296,mdr_rate_cleaned!$B$2:$B$10,"&lt;"&amp;C2296,mdr_rate_cleaned!$F$2:$F$10,"&gt;="&amp;C2296)</f>
        <v>1</v>
      </c>
      <c r="G2296">
        <v>3.0000000000000001E-3</v>
      </c>
      <c r="H2296">
        <v>8.5399999999999991</v>
      </c>
      <c r="I2296" t="s">
        <v>15</v>
      </c>
      <c r="J2296" t="s">
        <v>15</v>
      </c>
      <c r="K2296">
        <v>1.54</v>
      </c>
      <c r="L2296">
        <v>0</v>
      </c>
    </row>
    <row r="2297" spans="1:12" x14ac:dyDescent="0.3">
      <c r="A2297" t="s">
        <v>2313</v>
      </c>
      <c r="B2297" t="s">
        <v>39</v>
      </c>
      <c r="C2297">
        <v>9297</v>
      </c>
      <c r="D2297">
        <v>111.56</v>
      </c>
      <c r="E2297">
        <v>20.079999999999998</v>
      </c>
      <c r="F2297">
        <f>COUNTIFS(mdr_rate_cleaned!$A$2:$A$10,B2297,mdr_rate_cleaned!$B$2:$B$10,"&lt;"&amp;C2297,mdr_rate_cleaned!$F$2:$F$10,"&gt;="&amp;C2297)</f>
        <v>1</v>
      </c>
      <c r="G2297">
        <v>1.2E-2</v>
      </c>
      <c r="H2297">
        <v>111.56</v>
      </c>
      <c r="I2297" t="s">
        <v>15</v>
      </c>
      <c r="J2297" t="s">
        <v>15</v>
      </c>
      <c r="K2297">
        <v>20.079999999999998</v>
      </c>
      <c r="L2297">
        <v>0</v>
      </c>
    </row>
    <row r="2298" spans="1:12" x14ac:dyDescent="0.3">
      <c r="A2298" t="s">
        <v>2314</v>
      </c>
      <c r="B2298" t="s">
        <v>21</v>
      </c>
      <c r="C2298">
        <v>349</v>
      </c>
      <c r="D2298">
        <v>0</v>
      </c>
      <c r="E2298">
        <v>0</v>
      </c>
      <c r="F2298">
        <f>COUNTIFS(mdr_rate_cleaned!$A$2:$A$10,B2298,mdr_rate_cleaned!$B$2:$B$10,"&lt;"&amp;C2298,mdr_rate_cleaned!$F$2:$F$10,"&gt;="&amp;C2298)</f>
        <v>1</v>
      </c>
      <c r="G2298">
        <v>0</v>
      </c>
      <c r="H2298">
        <v>0</v>
      </c>
      <c r="I2298" t="s">
        <v>15</v>
      </c>
      <c r="J2298" t="s">
        <v>15</v>
      </c>
      <c r="K2298">
        <v>0</v>
      </c>
      <c r="L2298">
        <v>0</v>
      </c>
    </row>
    <row r="2299" spans="1:12" x14ac:dyDescent="0.3">
      <c r="A2299" t="s">
        <v>2315</v>
      </c>
      <c r="B2299" t="s">
        <v>21</v>
      </c>
      <c r="C2299">
        <v>2499</v>
      </c>
      <c r="D2299">
        <v>7.5</v>
      </c>
      <c r="E2299">
        <v>1.35</v>
      </c>
      <c r="F2299">
        <f>COUNTIFS(mdr_rate_cleaned!$A$2:$A$10,B2299,mdr_rate_cleaned!$B$2:$B$10,"&lt;"&amp;C2299,mdr_rate_cleaned!$F$2:$F$10,"&gt;="&amp;C2299)</f>
        <v>1</v>
      </c>
      <c r="G2299">
        <v>3.0000000000000001E-3</v>
      </c>
      <c r="H2299">
        <v>7.5</v>
      </c>
      <c r="I2299" t="s">
        <v>15</v>
      </c>
      <c r="J2299" t="s">
        <v>15</v>
      </c>
      <c r="K2299">
        <v>1.35</v>
      </c>
      <c r="L2299">
        <v>0</v>
      </c>
    </row>
    <row r="2300" spans="1:12" x14ac:dyDescent="0.3">
      <c r="A2300" t="s">
        <v>2316</v>
      </c>
      <c r="B2300" t="s">
        <v>21</v>
      </c>
      <c r="C2300">
        <v>1499</v>
      </c>
      <c r="D2300">
        <v>0</v>
      </c>
      <c r="E2300">
        <v>0</v>
      </c>
      <c r="F2300">
        <f>COUNTIFS(mdr_rate_cleaned!$A$2:$A$10,B2300,mdr_rate_cleaned!$B$2:$B$10,"&lt;"&amp;C2300,mdr_rate_cleaned!$F$2:$F$10,"&gt;="&amp;C2300)</f>
        <v>1</v>
      </c>
      <c r="G2300">
        <v>0</v>
      </c>
      <c r="H2300">
        <v>0</v>
      </c>
      <c r="I2300" t="s">
        <v>15</v>
      </c>
      <c r="J2300" t="s">
        <v>15</v>
      </c>
      <c r="K2300">
        <v>0</v>
      </c>
      <c r="L2300">
        <v>0</v>
      </c>
    </row>
    <row r="2301" spans="1:12" x14ac:dyDescent="0.3">
      <c r="A2301" t="s">
        <v>2317</v>
      </c>
      <c r="B2301" t="s">
        <v>21</v>
      </c>
      <c r="C2301">
        <v>6798</v>
      </c>
      <c r="D2301">
        <v>20.39</v>
      </c>
      <c r="E2301">
        <v>3.67</v>
      </c>
      <c r="F2301">
        <f>COUNTIFS(mdr_rate_cleaned!$A$2:$A$10,B2301,mdr_rate_cleaned!$B$2:$B$10,"&lt;"&amp;C2301,mdr_rate_cleaned!$F$2:$F$10,"&gt;="&amp;C2301)</f>
        <v>1</v>
      </c>
      <c r="G2301">
        <v>3.0000000000000001E-3</v>
      </c>
      <c r="H2301">
        <v>20.39</v>
      </c>
      <c r="I2301" t="s">
        <v>15</v>
      </c>
      <c r="J2301" t="s">
        <v>15</v>
      </c>
      <c r="K2301">
        <v>3.67</v>
      </c>
      <c r="L2301">
        <v>0</v>
      </c>
    </row>
    <row r="2302" spans="1:12" x14ac:dyDescent="0.3">
      <c r="A2302" t="s">
        <v>2318</v>
      </c>
      <c r="B2302" t="s">
        <v>17</v>
      </c>
      <c r="C2302">
        <v>999</v>
      </c>
      <c r="D2302">
        <v>17.98</v>
      </c>
      <c r="E2302">
        <v>3.24</v>
      </c>
      <c r="F2302">
        <f>COUNTIFS(mdr_rate_cleaned!$A$2:$A$10,B2302,mdr_rate_cleaned!$B$2:$B$10,"&lt;"&amp;C2302,mdr_rate_cleaned!$F$2:$F$10,"&gt;="&amp;C2302)</f>
        <v>1</v>
      </c>
      <c r="G2302">
        <v>1.7999999999999999E-2</v>
      </c>
      <c r="H2302">
        <v>17.98</v>
      </c>
      <c r="I2302" t="s">
        <v>15</v>
      </c>
      <c r="J2302" t="s">
        <v>15</v>
      </c>
      <c r="K2302">
        <v>3.24</v>
      </c>
      <c r="L2302">
        <v>0</v>
      </c>
    </row>
    <row r="2303" spans="1:12" x14ac:dyDescent="0.3">
      <c r="A2303" t="s">
        <v>2319</v>
      </c>
      <c r="B2303" t="s">
        <v>21</v>
      </c>
      <c r="C2303">
        <v>7999</v>
      </c>
      <c r="D2303">
        <v>24</v>
      </c>
      <c r="E2303">
        <v>4.32</v>
      </c>
      <c r="F2303">
        <f>COUNTIFS(mdr_rate_cleaned!$A$2:$A$10,B2303,mdr_rate_cleaned!$B$2:$B$10,"&lt;"&amp;C2303,mdr_rate_cleaned!$F$2:$F$10,"&gt;="&amp;C2303)</f>
        <v>1</v>
      </c>
      <c r="G2303">
        <v>3.0000000000000001E-3</v>
      </c>
      <c r="H2303">
        <v>24</v>
      </c>
      <c r="I2303" t="s">
        <v>15</v>
      </c>
      <c r="J2303" t="s">
        <v>15</v>
      </c>
      <c r="K2303">
        <v>4.32</v>
      </c>
      <c r="L2303">
        <v>0</v>
      </c>
    </row>
    <row r="2304" spans="1:12" x14ac:dyDescent="0.3">
      <c r="A2304" t="s">
        <v>2320</v>
      </c>
      <c r="B2304" t="s">
        <v>21</v>
      </c>
      <c r="C2304">
        <v>1848</v>
      </c>
      <c r="D2304">
        <v>0</v>
      </c>
      <c r="E2304">
        <v>0</v>
      </c>
      <c r="F2304">
        <f>COUNTIFS(mdr_rate_cleaned!$A$2:$A$10,B2304,mdr_rate_cleaned!$B$2:$B$10,"&lt;"&amp;C2304,mdr_rate_cleaned!$F$2:$F$10,"&gt;="&amp;C2304)</f>
        <v>1</v>
      </c>
      <c r="G2304">
        <v>0</v>
      </c>
      <c r="H2304">
        <v>0</v>
      </c>
      <c r="I2304" t="s">
        <v>15</v>
      </c>
      <c r="J2304" t="s">
        <v>15</v>
      </c>
      <c r="K2304">
        <v>0</v>
      </c>
      <c r="L2304">
        <v>0</v>
      </c>
    </row>
    <row r="2305" spans="1:12" x14ac:dyDescent="0.3">
      <c r="A2305" t="s">
        <v>2321</v>
      </c>
      <c r="B2305" t="s">
        <v>17</v>
      </c>
      <c r="C2305">
        <v>4298</v>
      </c>
      <c r="D2305">
        <v>68.77</v>
      </c>
      <c r="E2305">
        <v>12.38</v>
      </c>
      <c r="F2305">
        <f>COUNTIFS(mdr_rate_cleaned!$A$2:$A$10,B2305,mdr_rate_cleaned!$B$2:$B$10,"&lt;"&amp;C2305,mdr_rate_cleaned!$F$2:$F$10,"&gt;="&amp;C2305)</f>
        <v>1</v>
      </c>
      <c r="G2305">
        <v>1.6E-2</v>
      </c>
      <c r="H2305">
        <v>68.77</v>
      </c>
      <c r="I2305" t="s">
        <v>15</v>
      </c>
      <c r="J2305" t="s">
        <v>15</v>
      </c>
      <c r="K2305">
        <v>12.38</v>
      </c>
      <c r="L2305">
        <v>0</v>
      </c>
    </row>
    <row r="2306" spans="1:12" x14ac:dyDescent="0.3">
      <c r="A2306" t="s">
        <v>2322</v>
      </c>
      <c r="B2306" t="s">
        <v>17</v>
      </c>
      <c r="C2306">
        <v>5297</v>
      </c>
      <c r="D2306">
        <v>84.75</v>
      </c>
      <c r="E2306">
        <v>15.26</v>
      </c>
      <c r="F2306">
        <f>COUNTIFS(mdr_rate_cleaned!$A$2:$A$10,B2306,mdr_rate_cleaned!$B$2:$B$10,"&lt;"&amp;C2306,mdr_rate_cleaned!$F$2:$F$10,"&gt;="&amp;C2306)</f>
        <v>1</v>
      </c>
      <c r="G2306">
        <v>1.6E-2</v>
      </c>
      <c r="H2306">
        <v>84.75</v>
      </c>
      <c r="I2306" t="s">
        <v>15</v>
      </c>
      <c r="J2306" t="s">
        <v>15</v>
      </c>
      <c r="K2306">
        <v>15.26</v>
      </c>
      <c r="L2306">
        <v>0</v>
      </c>
    </row>
    <row r="2307" spans="1:12" x14ac:dyDescent="0.3">
      <c r="A2307" t="s">
        <v>2323</v>
      </c>
      <c r="B2307" t="s">
        <v>17</v>
      </c>
      <c r="C2307">
        <v>599</v>
      </c>
      <c r="D2307">
        <v>10.78</v>
      </c>
      <c r="E2307">
        <v>1.94</v>
      </c>
      <c r="F2307">
        <f>COUNTIFS(mdr_rate_cleaned!$A$2:$A$10,B2307,mdr_rate_cleaned!$B$2:$B$10,"&lt;"&amp;C2307,mdr_rate_cleaned!$F$2:$F$10,"&gt;="&amp;C2307)</f>
        <v>1</v>
      </c>
      <c r="G2307">
        <v>1.7999999999999999E-2</v>
      </c>
      <c r="H2307">
        <v>10.78</v>
      </c>
      <c r="I2307" t="s">
        <v>15</v>
      </c>
      <c r="J2307" t="s">
        <v>15</v>
      </c>
      <c r="K2307">
        <v>1.94</v>
      </c>
      <c r="L2307">
        <v>0</v>
      </c>
    </row>
    <row r="2308" spans="1:12" x14ac:dyDescent="0.3">
      <c r="A2308" t="s">
        <v>2324</v>
      </c>
      <c r="B2308" t="s">
        <v>21</v>
      </c>
      <c r="C2308">
        <v>349</v>
      </c>
      <c r="D2308">
        <v>0</v>
      </c>
      <c r="E2308">
        <v>0</v>
      </c>
      <c r="F2308">
        <f>COUNTIFS(mdr_rate_cleaned!$A$2:$A$10,B2308,mdr_rate_cleaned!$B$2:$B$10,"&lt;"&amp;C2308,mdr_rate_cleaned!$F$2:$F$10,"&gt;="&amp;C2308)</f>
        <v>1</v>
      </c>
      <c r="G2308">
        <v>0</v>
      </c>
      <c r="H2308">
        <v>0</v>
      </c>
      <c r="I2308" t="s">
        <v>15</v>
      </c>
      <c r="J2308" t="s">
        <v>15</v>
      </c>
      <c r="K2308">
        <v>0</v>
      </c>
      <c r="L2308">
        <v>0</v>
      </c>
    </row>
    <row r="2309" spans="1:12" x14ac:dyDescent="0.3">
      <c r="A2309" t="s">
        <v>2325</v>
      </c>
      <c r="B2309" t="s">
        <v>21</v>
      </c>
      <c r="C2309">
        <v>898</v>
      </c>
      <c r="D2309">
        <v>0</v>
      </c>
      <c r="E2309">
        <v>0</v>
      </c>
      <c r="F2309">
        <f>COUNTIFS(mdr_rate_cleaned!$A$2:$A$10,B2309,mdr_rate_cleaned!$B$2:$B$10,"&lt;"&amp;C2309,mdr_rate_cleaned!$F$2:$F$10,"&gt;="&amp;C2309)</f>
        <v>1</v>
      </c>
      <c r="G2309">
        <v>0</v>
      </c>
      <c r="H2309">
        <v>0</v>
      </c>
      <c r="I2309" t="s">
        <v>15</v>
      </c>
      <c r="J2309" t="s">
        <v>15</v>
      </c>
      <c r="K2309">
        <v>0</v>
      </c>
      <c r="L2309">
        <v>0</v>
      </c>
    </row>
    <row r="2310" spans="1:12" x14ac:dyDescent="0.3">
      <c r="A2310" t="s">
        <v>2326</v>
      </c>
      <c r="B2310" t="s">
        <v>17</v>
      </c>
      <c r="C2310">
        <v>499</v>
      </c>
      <c r="D2310">
        <v>8.98</v>
      </c>
      <c r="E2310">
        <v>1.62</v>
      </c>
      <c r="F2310">
        <f>COUNTIFS(mdr_rate_cleaned!$A$2:$A$10,B2310,mdr_rate_cleaned!$B$2:$B$10,"&lt;"&amp;C2310,mdr_rate_cleaned!$F$2:$F$10,"&gt;="&amp;C2310)</f>
        <v>1</v>
      </c>
      <c r="G2310">
        <v>1.7999999999999999E-2</v>
      </c>
      <c r="H2310">
        <v>8.98</v>
      </c>
      <c r="I2310" t="s">
        <v>15</v>
      </c>
      <c r="J2310" t="s">
        <v>15</v>
      </c>
      <c r="K2310">
        <v>1.62</v>
      </c>
      <c r="L2310">
        <v>0</v>
      </c>
    </row>
    <row r="2311" spans="1:12" x14ac:dyDescent="0.3">
      <c r="A2311" t="s">
        <v>2327</v>
      </c>
      <c r="B2311" t="s">
        <v>21</v>
      </c>
      <c r="C2311">
        <v>6498</v>
      </c>
      <c r="D2311">
        <v>19.489999999999998</v>
      </c>
      <c r="E2311">
        <v>3.51</v>
      </c>
      <c r="F2311">
        <f>COUNTIFS(mdr_rate_cleaned!$A$2:$A$10,B2311,mdr_rate_cleaned!$B$2:$B$10,"&lt;"&amp;C2311,mdr_rate_cleaned!$F$2:$F$10,"&gt;="&amp;C2311)</f>
        <v>1</v>
      </c>
      <c r="G2311">
        <v>3.0000000000000001E-3</v>
      </c>
      <c r="H2311">
        <v>19.489999999999998</v>
      </c>
      <c r="I2311" t="s">
        <v>15</v>
      </c>
      <c r="J2311" t="s">
        <v>15</v>
      </c>
      <c r="K2311">
        <v>3.51</v>
      </c>
      <c r="L2311">
        <v>0</v>
      </c>
    </row>
    <row r="2312" spans="1:12" x14ac:dyDescent="0.3">
      <c r="A2312" t="s">
        <v>2328</v>
      </c>
      <c r="B2312" t="s">
        <v>21</v>
      </c>
      <c r="C2312">
        <v>4097</v>
      </c>
      <c r="D2312">
        <v>12.29</v>
      </c>
      <c r="E2312">
        <v>2.21</v>
      </c>
      <c r="F2312">
        <f>COUNTIFS(mdr_rate_cleaned!$A$2:$A$10,B2312,mdr_rate_cleaned!$B$2:$B$10,"&lt;"&amp;C2312,mdr_rate_cleaned!$F$2:$F$10,"&gt;="&amp;C2312)</f>
        <v>1</v>
      </c>
      <c r="G2312">
        <v>3.0000000000000001E-3</v>
      </c>
      <c r="H2312">
        <v>12.29</v>
      </c>
      <c r="I2312" t="s">
        <v>15</v>
      </c>
      <c r="J2312" t="s">
        <v>15</v>
      </c>
      <c r="K2312">
        <v>2.21</v>
      </c>
      <c r="L2312">
        <v>0</v>
      </c>
    </row>
    <row r="2313" spans="1:12" x14ac:dyDescent="0.3">
      <c r="A2313" t="s">
        <v>2329</v>
      </c>
      <c r="B2313" t="s">
        <v>39</v>
      </c>
      <c r="C2313">
        <v>9297</v>
      </c>
      <c r="D2313">
        <v>111.56</v>
      </c>
      <c r="E2313">
        <v>20.079999999999998</v>
      </c>
      <c r="F2313">
        <f>COUNTIFS(mdr_rate_cleaned!$A$2:$A$10,B2313,mdr_rate_cleaned!$B$2:$B$10,"&lt;"&amp;C2313,mdr_rate_cleaned!$F$2:$F$10,"&gt;="&amp;C2313)</f>
        <v>1</v>
      </c>
      <c r="G2313">
        <v>1.2E-2</v>
      </c>
      <c r="H2313">
        <v>111.56</v>
      </c>
      <c r="I2313" t="s">
        <v>15</v>
      </c>
      <c r="J2313" t="s">
        <v>15</v>
      </c>
      <c r="K2313">
        <v>20.079999999999998</v>
      </c>
      <c r="L2313">
        <v>0</v>
      </c>
    </row>
    <row r="2314" spans="1:12" x14ac:dyDescent="0.3">
      <c r="A2314" t="s">
        <v>2330</v>
      </c>
      <c r="B2314" t="s">
        <v>17</v>
      </c>
      <c r="C2314">
        <v>3097</v>
      </c>
      <c r="D2314">
        <v>49.55</v>
      </c>
      <c r="E2314">
        <v>8.92</v>
      </c>
      <c r="F2314">
        <f>COUNTIFS(mdr_rate_cleaned!$A$2:$A$10,B2314,mdr_rate_cleaned!$B$2:$B$10,"&lt;"&amp;C2314,mdr_rate_cleaned!$F$2:$F$10,"&gt;="&amp;C2314)</f>
        <v>1</v>
      </c>
      <c r="G2314">
        <v>1.6E-2</v>
      </c>
      <c r="H2314">
        <v>49.55</v>
      </c>
      <c r="I2314" t="s">
        <v>15</v>
      </c>
      <c r="J2314" t="s">
        <v>15</v>
      </c>
      <c r="K2314">
        <v>8.92</v>
      </c>
      <c r="L2314">
        <v>0</v>
      </c>
    </row>
    <row r="2315" spans="1:12" x14ac:dyDescent="0.3">
      <c r="A2315" t="s">
        <v>2331</v>
      </c>
      <c r="B2315" t="s">
        <v>21</v>
      </c>
      <c r="C2315">
        <v>299</v>
      </c>
      <c r="D2315">
        <v>0</v>
      </c>
      <c r="E2315">
        <v>0</v>
      </c>
      <c r="F2315">
        <f>COUNTIFS(mdr_rate_cleaned!$A$2:$A$10,B2315,mdr_rate_cleaned!$B$2:$B$10,"&lt;"&amp;C2315,mdr_rate_cleaned!$F$2:$F$10,"&gt;="&amp;C2315)</f>
        <v>1</v>
      </c>
      <c r="G2315">
        <v>0</v>
      </c>
      <c r="H2315">
        <v>0</v>
      </c>
      <c r="I2315" t="s">
        <v>15</v>
      </c>
      <c r="J2315" t="s">
        <v>15</v>
      </c>
      <c r="K2315">
        <v>0</v>
      </c>
      <c r="L2315">
        <v>0</v>
      </c>
    </row>
    <row r="2316" spans="1:12" x14ac:dyDescent="0.3">
      <c r="A2316" t="s">
        <v>2332</v>
      </c>
      <c r="B2316" t="s">
        <v>21</v>
      </c>
      <c r="C2316">
        <v>499</v>
      </c>
      <c r="D2316">
        <v>0</v>
      </c>
      <c r="E2316">
        <v>0</v>
      </c>
      <c r="F2316">
        <f>COUNTIFS(mdr_rate_cleaned!$A$2:$A$10,B2316,mdr_rate_cleaned!$B$2:$B$10,"&lt;"&amp;C2316,mdr_rate_cleaned!$F$2:$F$10,"&gt;="&amp;C2316)</f>
        <v>1</v>
      </c>
      <c r="G2316">
        <v>0</v>
      </c>
      <c r="H2316">
        <v>0</v>
      </c>
      <c r="I2316" t="s">
        <v>15</v>
      </c>
      <c r="J2316" t="s">
        <v>15</v>
      </c>
      <c r="K2316">
        <v>0</v>
      </c>
      <c r="L2316">
        <v>0</v>
      </c>
    </row>
    <row r="2317" spans="1:12" x14ac:dyDescent="0.3">
      <c r="A2317" t="s">
        <v>2333</v>
      </c>
      <c r="B2317" t="s">
        <v>21</v>
      </c>
      <c r="C2317">
        <v>1499</v>
      </c>
      <c r="D2317">
        <v>0</v>
      </c>
      <c r="E2317">
        <v>0</v>
      </c>
      <c r="F2317">
        <f>COUNTIFS(mdr_rate_cleaned!$A$2:$A$10,B2317,mdr_rate_cleaned!$B$2:$B$10,"&lt;"&amp;C2317,mdr_rate_cleaned!$F$2:$F$10,"&gt;="&amp;C2317)</f>
        <v>1</v>
      </c>
      <c r="G2317">
        <v>0</v>
      </c>
      <c r="H2317">
        <v>0</v>
      </c>
      <c r="I2317" t="s">
        <v>15</v>
      </c>
      <c r="J2317" t="s">
        <v>15</v>
      </c>
      <c r="K2317">
        <v>0</v>
      </c>
      <c r="L2317">
        <v>0</v>
      </c>
    </row>
    <row r="2318" spans="1:12" x14ac:dyDescent="0.3">
      <c r="A2318" t="s">
        <v>2334</v>
      </c>
      <c r="B2318" t="s">
        <v>13</v>
      </c>
      <c r="C2318">
        <v>499</v>
      </c>
      <c r="D2318">
        <v>9.48</v>
      </c>
      <c r="E2318">
        <v>1.71</v>
      </c>
      <c r="F2318">
        <f>COUNTIFS(mdr_rate_cleaned!$A$2:$A$10,B2318,mdr_rate_cleaned!$B$2:$B$10,"&lt;"&amp;C2318,mdr_rate_cleaned!$F$2:$F$10,"&gt;="&amp;C2318)</f>
        <v>1</v>
      </c>
      <c r="G2318">
        <v>1.9E-2</v>
      </c>
      <c r="H2318">
        <v>9.48</v>
      </c>
      <c r="I2318" t="s">
        <v>15</v>
      </c>
      <c r="J2318" t="s">
        <v>15</v>
      </c>
      <c r="K2318">
        <v>1.71</v>
      </c>
      <c r="L2318">
        <v>0</v>
      </c>
    </row>
    <row r="2319" spans="1:12" x14ac:dyDescent="0.3">
      <c r="A2319" t="s">
        <v>2335</v>
      </c>
      <c r="B2319" t="s">
        <v>17</v>
      </c>
      <c r="C2319">
        <v>10997</v>
      </c>
      <c r="D2319">
        <v>175.95</v>
      </c>
      <c r="E2319">
        <v>31.67</v>
      </c>
      <c r="F2319">
        <f>COUNTIFS(mdr_rate_cleaned!$A$2:$A$10,B2319,mdr_rate_cleaned!$B$2:$B$10,"&lt;"&amp;C2319,mdr_rate_cleaned!$F$2:$F$10,"&gt;="&amp;C2319)</f>
        <v>1</v>
      </c>
      <c r="G2319">
        <v>1.6E-2</v>
      </c>
      <c r="H2319">
        <v>175.95</v>
      </c>
      <c r="I2319" t="s">
        <v>15</v>
      </c>
      <c r="J2319" t="s">
        <v>15</v>
      </c>
      <c r="K2319">
        <v>31.67</v>
      </c>
      <c r="L2319">
        <v>0</v>
      </c>
    </row>
    <row r="2320" spans="1:12" x14ac:dyDescent="0.3">
      <c r="A2320" t="s">
        <v>2336</v>
      </c>
      <c r="B2320" t="s">
        <v>21</v>
      </c>
      <c r="C2320">
        <v>7999</v>
      </c>
      <c r="D2320">
        <v>24</v>
      </c>
      <c r="E2320">
        <v>4.32</v>
      </c>
      <c r="F2320">
        <f>COUNTIFS(mdr_rate_cleaned!$A$2:$A$10,B2320,mdr_rate_cleaned!$B$2:$B$10,"&lt;"&amp;C2320,mdr_rate_cleaned!$F$2:$F$10,"&gt;="&amp;C2320)</f>
        <v>1</v>
      </c>
      <c r="G2320">
        <v>3.0000000000000001E-3</v>
      </c>
      <c r="H2320">
        <v>24</v>
      </c>
      <c r="I2320" t="s">
        <v>15</v>
      </c>
      <c r="J2320" t="s">
        <v>15</v>
      </c>
      <c r="K2320">
        <v>4.32</v>
      </c>
      <c r="L2320">
        <v>0</v>
      </c>
    </row>
    <row r="2321" spans="1:12" x14ac:dyDescent="0.3">
      <c r="A2321" t="s">
        <v>2337</v>
      </c>
      <c r="B2321" t="s">
        <v>39</v>
      </c>
      <c r="C2321">
        <v>1098</v>
      </c>
      <c r="D2321">
        <v>16.47</v>
      </c>
      <c r="E2321">
        <v>2.96</v>
      </c>
      <c r="F2321">
        <f>COUNTIFS(mdr_rate_cleaned!$A$2:$A$10,B2321,mdr_rate_cleaned!$B$2:$B$10,"&lt;"&amp;C2321,mdr_rate_cleaned!$F$2:$F$10,"&gt;="&amp;C2321)</f>
        <v>1</v>
      </c>
      <c r="G2321">
        <v>1.4999999999999999E-2</v>
      </c>
      <c r="H2321">
        <v>16.47</v>
      </c>
      <c r="I2321" t="s">
        <v>15</v>
      </c>
      <c r="J2321" t="s">
        <v>15</v>
      </c>
      <c r="K2321">
        <v>2.96</v>
      </c>
      <c r="L2321">
        <v>0</v>
      </c>
    </row>
    <row r="2322" spans="1:12" x14ac:dyDescent="0.3">
      <c r="A2322" t="s">
        <v>2338</v>
      </c>
      <c r="B2322" t="s">
        <v>13</v>
      </c>
      <c r="C2322">
        <v>7999</v>
      </c>
      <c r="D2322">
        <v>135.97999999999999</v>
      </c>
      <c r="E2322">
        <v>24.48</v>
      </c>
      <c r="F2322">
        <f>COUNTIFS(mdr_rate_cleaned!$A$2:$A$10,B2322,mdr_rate_cleaned!$B$2:$B$10,"&lt;"&amp;C2322,mdr_rate_cleaned!$F$2:$F$10,"&gt;="&amp;C2322)</f>
        <v>1</v>
      </c>
      <c r="G2322">
        <v>1.7000000000000001E-2</v>
      </c>
      <c r="H2322">
        <v>135.97999999999999</v>
      </c>
      <c r="I2322" t="s">
        <v>15</v>
      </c>
      <c r="J2322" t="s">
        <v>15</v>
      </c>
      <c r="K2322">
        <v>24.48</v>
      </c>
      <c r="L2322">
        <v>0</v>
      </c>
    </row>
    <row r="2323" spans="1:12" x14ac:dyDescent="0.3">
      <c r="A2323" t="s">
        <v>2339</v>
      </c>
      <c r="B2323" t="s">
        <v>13</v>
      </c>
      <c r="C2323">
        <v>499</v>
      </c>
      <c r="D2323">
        <v>9.48</v>
      </c>
      <c r="E2323">
        <v>1.71</v>
      </c>
      <c r="F2323">
        <f>COUNTIFS(mdr_rate_cleaned!$A$2:$A$10,B2323,mdr_rate_cleaned!$B$2:$B$10,"&lt;"&amp;C2323,mdr_rate_cleaned!$F$2:$F$10,"&gt;="&amp;C2323)</f>
        <v>1</v>
      </c>
      <c r="G2323">
        <v>1.9E-2</v>
      </c>
      <c r="H2323">
        <v>9.48</v>
      </c>
      <c r="I2323" t="s">
        <v>15</v>
      </c>
      <c r="J2323" t="s">
        <v>15</v>
      </c>
      <c r="K2323">
        <v>1.71</v>
      </c>
      <c r="L2323">
        <v>0</v>
      </c>
    </row>
    <row r="2324" spans="1:12" x14ac:dyDescent="0.3">
      <c r="A2324" t="s">
        <v>2340</v>
      </c>
      <c r="B2324" t="s">
        <v>39</v>
      </c>
      <c r="C2324">
        <v>2499</v>
      </c>
      <c r="D2324">
        <v>29.99</v>
      </c>
      <c r="E2324">
        <v>5.4</v>
      </c>
      <c r="F2324">
        <f>COUNTIFS(mdr_rate_cleaned!$A$2:$A$10,B2324,mdr_rate_cleaned!$B$2:$B$10,"&lt;"&amp;C2324,mdr_rate_cleaned!$F$2:$F$10,"&gt;="&amp;C2324)</f>
        <v>1</v>
      </c>
      <c r="G2324">
        <v>1.2E-2</v>
      </c>
      <c r="H2324">
        <v>29.99</v>
      </c>
      <c r="I2324" t="s">
        <v>15</v>
      </c>
      <c r="J2324" t="s">
        <v>15</v>
      </c>
      <c r="K2324">
        <v>5.4</v>
      </c>
      <c r="L2324">
        <v>0</v>
      </c>
    </row>
    <row r="2325" spans="1:12" x14ac:dyDescent="0.3">
      <c r="A2325" t="s">
        <v>2341</v>
      </c>
      <c r="B2325" t="s">
        <v>39</v>
      </c>
      <c r="C2325">
        <v>1398</v>
      </c>
      <c r="D2325">
        <v>20.97</v>
      </c>
      <c r="E2325">
        <v>3.77</v>
      </c>
      <c r="F2325">
        <f>COUNTIFS(mdr_rate_cleaned!$A$2:$A$10,B2325,mdr_rate_cleaned!$B$2:$B$10,"&lt;"&amp;C2325,mdr_rate_cleaned!$F$2:$F$10,"&gt;="&amp;C2325)</f>
        <v>1</v>
      </c>
      <c r="G2325">
        <v>1.4999999999999999E-2</v>
      </c>
      <c r="H2325">
        <v>20.97</v>
      </c>
      <c r="I2325" t="s">
        <v>15</v>
      </c>
      <c r="J2325" t="s">
        <v>15</v>
      </c>
      <c r="K2325">
        <v>3.77</v>
      </c>
      <c r="L2325">
        <v>0</v>
      </c>
    </row>
    <row r="2326" spans="1:12" x14ac:dyDescent="0.3">
      <c r="A2326" t="s">
        <v>2342</v>
      </c>
      <c r="B2326" t="s">
        <v>17</v>
      </c>
      <c r="C2326">
        <v>10847</v>
      </c>
      <c r="D2326">
        <v>173.55</v>
      </c>
      <c r="E2326">
        <v>31.24</v>
      </c>
      <c r="F2326">
        <f>COUNTIFS(mdr_rate_cleaned!$A$2:$A$10,B2326,mdr_rate_cleaned!$B$2:$B$10,"&lt;"&amp;C2326,mdr_rate_cleaned!$F$2:$F$10,"&gt;="&amp;C2326)</f>
        <v>1</v>
      </c>
      <c r="G2326">
        <v>1.6E-2</v>
      </c>
      <c r="H2326">
        <v>173.55</v>
      </c>
      <c r="I2326" t="s">
        <v>15</v>
      </c>
      <c r="J2326" t="s">
        <v>15</v>
      </c>
      <c r="K2326">
        <v>31.24</v>
      </c>
      <c r="L2326">
        <v>0</v>
      </c>
    </row>
    <row r="2327" spans="1:12" x14ac:dyDescent="0.3">
      <c r="A2327" t="s">
        <v>2343</v>
      </c>
      <c r="B2327" t="s">
        <v>17</v>
      </c>
      <c r="C2327">
        <v>7999</v>
      </c>
      <c r="D2327">
        <v>127.98</v>
      </c>
      <c r="E2327">
        <v>23.04</v>
      </c>
      <c r="F2327">
        <f>COUNTIFS(mdr_rate_cleaned!$A$2:$A$10,B2327,mdr_rate_cleaned!$B$2:$B$10,"&lt;"&amp;C2327,mdr_rate_cleaned!$F$2:$F$10,"&gt;="&amp;C2327)</f>
        <v>1</v>
      </c>
      <c r="G2327">
        <v>1.6E-2</v>
      </c>
      <c r="H2327">
        <v>127.98</v>
      </c>
      <c r="I2327" t="s">
        <v>15</v>
      </c>
      <c r="J2327" t="s">
        <v>15</v>
      </c>
      <c r="K2327">
        <v>23.04</v>
      </c>
      <c r="L2327">
        <v>0</v>
      </c>
    </row>
    <row r="2328" spans="1:12" x14ac:dyDescent="0.3">
      <c r="A2328" t="s">
        <v>2344</v>
      </c>
      <c r="B2328" t="s">
        <v>21</v>
      </c>
      <c r="C2328">
        <v>349</v>
      </c>
      <c r="D2328">
        <v>0</v>
      </c>
      <c r="E2328">
        <v>0</v>
      </c>
      <c r="F2328">
        <f>COUNTIFS(mdr_rate_cleaned!$A$2:$A$10,B2328,mdr_rate_cleaned!$B$2:$B$10,"&lt;"&amp;C2328,mdr_rate_cleaned!$F$2:$F$10,"&gt;="&amp;C2328)</f>
        <v>1</v>
      </c>
      <c r="G2328">
        <v>0</v>
      </c>
      <c r="H2328">
        <v>0</v>
      </c>
      <c r="I2328" t="s">
        <v>15</v>
      </c>
      <c r="J2328" t="s">
        <v>15</v>
      </c>
      <c r="K2328">
        <v>0</v>
      </c>
      <c r="L2328">
        <v>0</v>
      </c>
    </row>
    <row r="2329" spans="1:12" x14ac:dyDescent="0.3">
      <c r="A2329" t="s">
        <v>2345</v>
      </c>
      <c r="B2329" t="s">
        <v>21</v>
      </c>
      <c r="C2329">
        <v>299</v>
      </c>
      <c r="D2329">
        <v>0</v>
      </c>
      <c r="E2329">
        <v>0</v>
      </c>
      <c r="F2329">
        <f>COUNTIFS(mdr_rate_cleaned!$A$2:$A$10,B2329,mdr_rate_cleaned!$B$2:$B$10,"&lt;"&amp;C2329,mdr_rate_cleaned!$F$2:$F$10,"&gt;="&amp;C2329)</f>
        <v>1</v>
      </c>
      <c r="G2329">
        <v>0</v>
      </c>
      <c r="H2329">
        <v>0</v>
      </c>
      <c r="I2329" t="s">
        <v>15</v>
      </c>
      <c r="J2329" t="s">
        <v>15</v>
      </c>
      <c r="K2329">
        <v>0</v>
      </c>
      <c r="L2329">
        <v>0</v>
      </c>
    </row>
    <row r="2330" spans="1:12" x14ac:dyDescent="0.3">
      <c r="A2330" t="s">
        <v>2346</v>
      </c>
      <c r="B2330" t="s">
        <v>21</v>
      </c>
      <c r="C2330">
        <v>999</v>
      </c>
      <c r="D2330">
        <v>0</v>
      </c>
      <c r="E2330">
        <v>0</v>
      </c>
      <c r="F2330">
        <f>COUNTIFS(mdr_rate_cleaned!$A$2:$A$10,B2330,mdr_rate_cleaned!$B$2:$B$10,"&lt;"&amp;C2330,mdr_rate_cleaned!$F$2:$F$10,"&gt;="&amp;C2330)</f>
        <v>1</v>
      </c>
      <c r="G2330">
        <v>0</v>
      </c>
      <c r="H2330">
        <v>0</v>
      </c>
      <c r="I2330" t="s">
        <v>15</v>
      </c>
      <c r="J2330" t="s">
        <v>15</v>
      </c>
      <c r="K2330">
        <v>0</v>
      </c>
      <c r="L2330">
        <v>0</v>
      </c>
    </row>
    <row r="2331" spans="1:12" x14ac:dyDescent="0.3">
      <c r="A2331" t="s">
        <v>2347</v>
      </c>
      <c r="B2331" t="s">
        <v>39</v>
      </c>
      <c r="C2331">
        <v>2498</v>
      </c>
      <c r="D2331">
        <v>29.98</v>
      </c>
      <c r="E2331">
        <v>5.4</v>
      </c>
      <c r="F2331">
        <f>COUNTIFS(mdr_rate_cleaned!$A$2:$A$10,B2331,mdr_rate_cleaned!$B$2:$B$10,"&lt;"&amp;C2331,mdr_rate_cleaned!$F$2:$F$10,"&gt;="&amp;C2331)</f>
        <v>1</v>
      </c>
      <c r="G2331">
        <v>1.2E-2</v>
      </c>
      <c r="H2331">
        <v>29.98</v>
      </c>
      <c r="I2331" t="s">
        <v>15</v>
      </c>
      <c r="J2331" t="s">
        <v>15</v>
      </c>
      <c r="K2331">
        <v>5.4</v>
      </c>
      <c r="L2331">
        <v>0</v>
      </c>
    </row>
    <row r="2332" spans="1:12" x14ac:dyDescent="0.3">
      <c r="A2332" t="s">
        <v>2348</v>
      </c>
      <c r="B2332" t="s">
        <v>21</v>
      </c>
      <c r="C2332">
        <v>499</v>
      </c>
      <c r="D2332">
        <v>0</v>
      </c>
      <c r="E2332">
        <v>0</v>
      </c>
      <c r="F2332">
        <f>COUNTIFS(mdr_rate_cleaned!$A$2:$A$10,B2332,mdr_rate_cleaned!$B$2:$B$10,"&lt;"&amp;C2332,mdr_rate_cleaned!$F$2:$F$10,"&gt;="&amp;C2332)</f>
        <v>1</v>
      </c>
      <c r="G2332">
        <v>0</v>
      </c>
      <c r="H2332">
        <v>0</v>
      </c>
      <c r="I2332" t="s">
        <v>15</v>
      </c>
      <c r="J2332" t="s">
        <v>15</v>
      </c>
      <c r="K2332">
        <v>0</v>
      </c>
      <c r="L2332">
        <v>0</v>
      </c>
    </row>
    <row r="2333" spans="1:12" x14ac:dyDescent="0.3">
      <c r="A2333" t="s">
        <v>2349</v>
      </c>
      <c r="B2333" t="s">
        <v>21</v>
      </c>
      <c r="C2333">
        <v>6797</v>
      </c>
      <c r="D2333">
        <v>20.39</v>
      </c>
      <c r="E2333">
        <v>3.67</v>
      </c>
      <c r="F2333">
        <f>COUNTIFS(mdr_rate_cleaned!$A$2:$A$10,B2333,mdr_rate_cleaned!$B$2:$B$10,"&lt;"&amp;C2333,mdr_rate_cleaned!$F$2:$F$10,"&gt;="&amp;C2333)</f>
        <v>1</v>
      </c>
      <c r="G2333">
        <v>3.0000000000000001E-3</v>
      </c>
      <c r="H2333">
        <v>20.39</v>
      </c>
      <c r="I2333" t="s">
        <v>15</v>
      </c>
      <c r="J2333" t="s">
        <v>15</v>
      </c>
      <c r="K2333">
        <v>3.67</v>
      </c>
      <c r="L2333">
        <v>0</v>
      </c>
    </row>
    <row r="2334" spans="1:12" x14ac:dyDescent="0.3">
      <c r="A2334" t="s">
        <v>2350</v>
      </c>
      <c r="B2334" t="s">
        <v>17</v>
      </c>
      <c r="C2334">
        <v>6297</v>
      </c>
      <c r="D2334">
        <v>100.75</v>
      </c>
      <c r="E2334">
        <v>18.14</v>
      </c>
      <c r="F2334">
        <f>COUNTIFS(mdr_rate_cleaned!$A$2:$A$10,B2334,mdr_rate_cleaned!$B$2:$B$10,"&lt;"&amp;C2334,mdr_rate_cleaned!$F$2:$F$10,"&gt;="&amp;C2334)</f>
        <v>1</v>
      </c>
      <c r="G2334">
        <v>1.6E-2</v>
      </c>
      <c r="H2334">
        <v>100.75</v>
      </c>
      <c r="I2334" t="s">
        <v>15</v>
      </c>
      <c r="J2334" t="s">
        <v>15</v>
      </c>
      <c r="K2334">
        <v>18.14</v>
      </c>
      <c r="L2334">
        <v>0</v>
      </c>
    </row>
    <row r="2335" spans="1:12" x14ac:dyDescent="0.3">
      <c r="A2335" t="s">
        <v>2351</v>
      </c>
      <c r="B2335" t="s">
        <v>21</v>
      </c>
      <c r="C2335">
        <v>2999</v>
      </c>
      <c r="D2335">
        <v>9</v>
      </c>
      <c r="E2335">
        <v>1.62</v>
      </c>
      <c r="F2335">
        <f>COUNTIFS(mdr_rate_cleaned!$A$2:$A$10,B2335,mdr_rate_cleaned!$B$2:$B$10,"&lt;"&amp;C2335,mdr_rate_cleaned!$F$2:$F$10,"&gt;="&amp;C2335)</f>
        <v>1</v>
      </c>
      <c r="G2335">
        <v>3.0000000000000001E-3</v>
      </c>
      <c r="H2335">
        <v>9</v>
      </c>
      <c r="I2335" t="s">
        <v>15</v>
      </c>
      <c r="J2335" t="s">
        <v>15</v>
      </c>
      <c r="K2335">
        <v>1.62</v>
      </c>
      <c r="L2335">
        <v>0</v>
      </c>
    </row>
    <row r="2336" spans="1:12" x14ac:dyDescent="0.3">
      <c r="A2336" t="s">
        <v>2352</v>
      </c>
      <c r="B2336" t="s">
        <v>17</v>
      </c>
      <c r="C2336">
        <v>349</v>
      </c>
      <c r="D2336">
        <v>6.28</v>
      </c>
      <c r="E2336">
        <v>1.1299999999999999</v>
      </c>
      <c r="F2336">
        <f>COUNTIFS(mdr_rate_cleaned!$A$2:$A$10,B2336,mdr_rate_cleaned!$B$2:$B$10,"&lt;"&amp;C2336,mdr_rate_cleaned!$F$2:$F$10,"&gt;="&amp;C2336)</f>
        <v>1</v>
      </c>
      <c r="G2336">
        <v>1.7999999999999999E-2</v>
      </c>
      <c r="H2336">
        <v>6.28</v>
      </c>
      <c r="I2336" t="s">
        <v>15</v>
      </c>
      <c r="J2336" t="s">
        <v>15</v>
      </c>
      <c r="K2336">
        <v>1.1299999999999999</v>
      </c>
      <c r="L2336">
        <v>0</v>
      </c>
    </row>
    <row r="2337" spans="1:12" x14ac:dyDescent="0.3">
      <c r="A2337" t="s">
        <v>2353</v>
      </c>
      <c r="B2337" t="s">
        <v>21</v>
      </c>
      <c r="C2337">
        <v>7999</v>
      </c>
      <c r="D2337">
        <v>24</v>
      </c>
      <c r="E2337">
        <v>4.32</v>
      </c>
      <c r="F2337">
        <f>COUNTIFS(mdr_rate_cleaned!$A$2:$A$10,B2337,mdr_rate_cleaned!$B$2:$B$10,"&lt;"&amp;C2337,mdr_rate_cleaned!$F$2:$F$10,"&gt;="&amp;C2337)</f>
        <v>1</v>
      </c>
      <c r="G2337">
        <v>3.0000000000000001E-3</v>
      </c>
      <c r="H2337">
        <v>24</v>
      </c>
      <c r="I2337" t="s">
        <v>15</v>
      </c>
      <c r="J2337" t="s">
        <v>15</v>
      </c>
      <c r="K2337">
        <v>4.32</v>
      </c>
      <c r="L2337">
        <v>0</v>
      </c>
    </row>
    <row r="2338" spans="1:12" x14ac:dyDescent="0.3">
      <c r="A2338" t="s">
        <v>2354</v>
      </c>
      <c r="B2338" t="s">
        <v>39</v>
      </c>
      <c r="C2338">
        <v>4498</v>
      </c>
      <c r="D2338">
        <v>53.98</v>
      </c>
      <c r="E2338">
        <v>9.7200000000000006</v>
      </c>
      <c r="F2338">
        <f>COUNTIFS(mdr_rate_cleaned!$A$2:$A$10,B2338,mdr_rate_cleaned!$B$2:$B$10,"&lt;"&amp;C2338,mdr_rate_cleaned!$F$2:$F$10,"&gt;="&amp;C2338)</f>
        <v>1</v>
      </c>
      <c r="G2338">
        <v>1.2E-2</v>
      </c>
      <c r="H2338">
        <v>53.98</v>
      </c>
      <c r="I2338" t="s">
        <v>15</v>
      </c>
      <c r="J2338" t="s">
        <v>15</v>
      </c>
      <c r="K2338">
        <v>9.7200000000000006</v>
      </c>
      <c r="L2338">
        <v>0</v>
      </c>
    </row>
    <row r="2339" spans="1:12" x14ac:dyDescent="0.3">
      <c r="A2339" t="s">
        <v>2355</v>
      </c>
      <c r="B2339" t="s">
        <v>17</v>
      </c>
      <c r="C2339">
        <v>499</v>
      </c>
      <c r="D2339">
        <v>8.98</v>
      </c>
      <c r="E2339">
        <v>1.62</v>
      </c>
      <c r="F2339">
        <f>COUNTIFS(mdr_rate_cleaned!$A$2:$A$10,B2339,mdr_rate_cleaned!$B$2:$B$10,"&lt;"&amp;C2339,mdr_rate_cleaned!$F$2:$F$10,"&gt;="&amp;C2339)</f>
        <v>1</v>
      </c>
      <c r="G2339">
        <v>1.7999999999999999E-2</v>
      </c>
      <c r="H2339">
        <v>8.98</v>
      </c>
      <c r="I2339" t="s">
        <v>15</v>
      </c>
      <c r="J2339" t="s">
        <v>15</v>
      </c>
      <c r="K2339">
        <v>1.62</v>
      </c>
      <c r="L2339">
        <v>0</v>
      </c>
    </row>
    <row r="2340" spans="1:12" x14ac:dyDescent="0.3">
      <c r="A2340" t="s">
        <v>2356</v>
      </c>
      <c r="B2340" t="s">
        <v>13</v>
      </c>
      <c r="C2340">
        <v>2598</v>
      </c>
      <c r="D2340">
        <v>44.17</v>
      </c>
      <c r="E2340">
        <v>7.95</v>
      </c>
      <c r="F2340">
        <f>COUNTIFS(mdr_rate_cleaned!$A$2:$A$10,B2340,mdr_rate_cleaned!$B$2:$B$10,"&lt;"&amp;C2340,mdr_rate_cleaned!$F$2:$F$10,"&gt;="&amp;C2340)</f>
        <v>1</v>
      </c>
      <c r="G2340">
        <v>1.7000000000000001E-2</v>
      </c>
      <c r="H2340">
        <v>44.17</v>
      </c>
      <c r="I2340" t="s">
        <v>15</v>
      </c>
      <c r="J2340" t="s">
        <v>15</v>
      </c>
      <c r="K2340">
        <v>7.95</v>
      </c>
      <c r="L2340">
        <v>0</v>
      </c>
    </row>
    <row r="2341" spans="1:12" x14ac:dyDescent="0.3">
      <c r="A2341" t="s">
        <v>2357</v>
      </c>
      <c r="B2341" t="s">
        <v>39</v>
      </c>
      <c r="C2341">
        <v>7999</v>
      </c>
      <c r="D2341">
        <v>95.99</v>
      </c>
      <c r="E2341">
        <v>17.28</v>
      </c>
      <c r="F2341">
        <f>COUNTIFS(mdr_rate_cleaned!$A$2:$A$10,B2341,mdr_rate_cleaned!$B$2:$B$10,"&lt;"&amp;C2341,mdr_rate_cleaned!$F$2:$F$10,"&gt;="&amp;C2341)</f>
        <v>1</v>
      </c>
      <c r="G2341">
        <v>1.2E-2</v>
      </c>
      <c r="H2341">
        <v>95.99</v>
      </c>
      <c r="I2341" t="s">
        <v>15</v>
      </c>
      <c r="J2341" t="s">
        <v>15</v>
      </c>
      <c r="K2341">
        <v>17.28</v>
      </c>
      <c r="L2341">
        <v>0</v>
      </c>
    </row>
    <row r="2342" spans="1:12" x14ac:dyDescent="0.3">
      <c r="A2342" t="s">
        <v>2358</v>
      </c>
      <c r="B2342" t="s">
        <v>13</v>
      </c>
      <c r="C2342">
        <v>299</v>
      </c>
      <c r="D2342">
        <v>5.68</v>
      </c>
      <c r="E2342">
        <v>1.02</v>
      </c>
      <c r="F2342">
        <f>COUNTIFS(mdr_rate_cleaned!$A$2:$A$10,B2342,mdr_rate_cleaned!$B$2:$B$10,"&lt;"&amp;C2342,mdr_rate_cleaned!$F$2:$F$10,"&gt;="&amp;C2342)</f>
        <v>1</v>
      </c>
      <c r="G2342">
        <v>1.9E-2</v>
      </c>
      <c r="H2342">
        <v>5.68</v>
      </c>
      <c r="I2342" t="s">
        <v>15</v>
      </c>
      <c r="J2342" t="s">
        <v>15</v>
      </c>
      <c r="K2342">
        <v>1.02</v>
      </c>
      <c r="L2342">
        <v>0</v>
      </c>
    </row>
    <row r="2343" spans="1:12" x14ac:dyDescent="0.3">
      <c r="A2343" t="s">
        <v>2359</v>
      </c>
      <c r="B2343" t="s">
        <v>21</v>
      </c>
      <c r="C2343">
        <v>7297</v>
      </c>
      <c r="D2343">
        <v>21.89</v>
      </c>
      <c r="E2343">
        <v>3.94</v>
      </c>
      <c r="F2343">
        <f>COUNTIFS(mdr_rate_cleaned!$A$2:$A$10,B2343,mdr_rate_cleaned!$B$2:$B$10,"&lt;"&amp;C2343,mdr_rate_cleaned!$F$2:$F$10,"&gt;="&amp;C2343)</f>
        <v>1</v>
      </c>
      <c r="G2343">
        <v>3.0000000000000001E-3</v>
      </c>
      <c r="H2343">
        <v>21.89</v>
      </c>
      <c r="I2343" t="s">
        <v>15</v>
      </c>
      <c r="J2343" t="s">
        <v>15</v>
      </c>
      <c r="K2343">
        <v>3.94</v>
      </c>
      <c r="L2343">
        <v>0</v>
      </c>
    </row>
    <row r="2344" spans="1:12" x14ac:dyDescent="0.3">
      <c r="A2344" t="s">
        <v>2360</v>
      </c>
      <c r="B2344" t="s">
        <v>39</v>
      </c>
      <c r="C2344">
        <v>8998</v>
      </c>
      <c r="D2344">
        <v>107.98</v>
      </c>
      <c r="E2344">
        <v>19.440000000000001</v>
      </c>
      <c r="F2344">
        <f>COUNTIFS(mdr_rate_cleaned!$A$2:$A$10,B2344,mdr_rate_cleaned!$B$2:$B$10,"&lt;"&amp;C2344,mdr_rate_cleaned!$F$2:$F$10,"&gt;="&amp;C2344)</f>
        <v>1</v>
      </c>
      <c r="G2344">
        <v>1.2E-2</v>
      </c>
      <c r="H2344">
        <v>107.98</v>
      </c>
      <c r="I2344" t="s">
        <v>15</v>
      </c>
      <c r="J2344" t="s">
        <v>15</v>
      </c>
      <c r="K2344">
        <v>19.440000000000001</v>
      </c>
      <c r="L2344">
        <v>0</v>
      </c>
    </row>
    <row r="2345" spans="1:12" x14ac:dyDescent="0.3">
      <c r="A2345" t="s">
        <v>2361</v>
      </c>
      <c r="B2345" t="s">
        <v>17</v>
      </c>
      <c r="C2345">
        <v>1299</v>
      </c>
      <c r="D2345">
        <v>23.38</v>
      </c>
      <c r="E2345">
        <v>4.21</v>
      </c>
      <c r="F2345">
        <f>COUNTIFS(mdr_rate_cleaned!$A$2:$A$10,B2345,mdr_rate_cleaned!$B$2:$B$10,"&lt;"&amp;C2345,mdr_rate_cleaned!$F$2:$F$10,"&gt;="&amp;C2345)</f>
        <v>1</v>
      </c>
      <c r="G2345">
        <v>1.7999999999999999E-2</v>
      </c>
      <c r="H2345">
        <v>23.38</v>
      </c>
      <c r="I2345" t="s">
        <v>15</v>
      </c>
      <c r="J2345" t="s">
        <v>15</v>
      </c>
      <c r="K2345">
        <v>4.21</v>
      </c>
      <c r="L2345">
        <v>0</v>
      </c>
    </row>
    <row r="2346" spans="1:12" x14ac:dyDescent="0.3">
      <c r="A2346" t="s">
        <v>2362</v>
      </c>
      <c r="B2346" t="s">
        <v>21</v>
      </c>
      <c r="C2346">
        <v>4999</v>
      </c>
      <c r="D2346">
        <v>15</v>
      </c>
      <c r="E2346">
        <v>2.7</v>
      </c>
      <c r="F2346">
        <f>COUNTIFS(mdr_rate_cleaned!$A$2:$A$10,B2346,mdr_rate_cleaned!$B$2:$B$10,"&lt;"&amp;C2346,mdr_rate_cleaned!$F$2:$F$10,"&gt;="&amp;C2346)</f>
        <v>1</v>
      </c>
      <c r="G2346">
        <v>3.0000000000000001E-3</v>
      </c>
      <c r="H2346">
        <v>15</v>
      </c>
      <c r="I2346" t="s">
        <v>15</v>
      </c>
      <c r="J2346" t="s">
        <v>15</v>
      </c>
      <c r="K2346">
        <v>2.7</v>
      </c>
      <c r="L2346">
        <v>0</v>
      </c>
    </row>
    <row r="2347" spans="1:12" x14ac:dyDescent="0.3">
      <c r="A2347" t="s">
        <v>2363</v>
      </c>
      <c r="B2347" t="s">
        <v>17</v>
      </c>
      <c r="C2347">
        <v>7999</v>
      </c>
      <c r="D2347">
        <v>127.98</v>
      </c>
      <c r="E2347">
        <v>23.04</v>
      </c>
      <c r="F2347">
        <f>COUNTIFS(mdr_rate_cleaned!$A$2:$A$10,B2347,mdr_rate_cleaned!$B$2:$B$10,"&lt;"&amp;C2347,mdr_rate_cleaned!$F$2:$F$10,"&gt;="&amp;C2347)</f>
        <v>1</v>
      </c>
      <c r="G2347">
        <v>1.6E-2</v>
      </c>
      <c r="H2347">
        <v>127.98</v>
      </c>
      <c r="I2347" t="s">
        <v>15</v>
      </c>
      <c r="J2347" t="s">
        <v>15</v>
      </c>
      <c r="K2347">
        <v>23.04</v>
      </c>
      <c r="L2347">
        <v>0</v>
      </c>
    </row>
    <row r="2348" spans="1:12" x14ac:dyDescent="0.3">
      <c r="A2348" t="s">
        <v>2364</v>
      </c>
      <c r="B2348" t="s">
        <v>17</v>
      </c>
      <c r="C2348">
        <v>2098</v>
      </c>
      <c r="D2348">
        <v>33.57</v>
      </c>
      <c r="E2348">
        <v>6.04</v>
      </c>
      <c r="F2348">
        <f>COUNTIFS(mdr_rate_cleaned!$A$2:$A$10,B2348,mdr_rate_cleaned!$B$2:$B$10,"&lt;"&amp;C2348,mdr_rate_cleaned!$F$2:$F$10,"&gt;="&amp;C2348)</f>
        <v>1</v>
      </c>
      <c r="G2348">
        <v>1.6E-2</v>
      </c>
      <c r="H2348">
        <v>33.57</v>
      </c>
      <c r="I2348" t="s">
        <v>15</v>
      </c>
      <c r="J2348" t="s">
        <v>15</v>
      </c>
      <c r="K2348">
        <v>6.04</v>
      </c>
      <c r="L2348">
        <v>0</v>
      </c>
    </row>
    <row r="2349" spans="1:12" x14ac:dyDescent="0.3">
      <c r="A2349" t="s">
        <v>2365</v>
      </c>
      <c r="B2349" t="s">
        <v>21</v>
      </c>
      <c r="C2349">
        <v>9797</v>
      </c>
      <c r="D2349">
        <v>29.39</v>
      </c>
      <c r="E2349">
        <v>5.29</v>
      </c>
      <c r="F2349">
        <f>COUNTIFS(mdr_rate_cleaned!$A$2:$A$10,B2349,mdr_rate_cleaned!$B$2:$B$10,"&lt;"&amp;C2349,mdr_rate_cleaned!$F$2:$F$10,"&gt;="&amp;C2349)</f>
        <v>1</v>
      </c>
      <c r="G2349">
        <v>3.0000000000000001E-3</v>
      </c>
      <c r="H2349">
        <v>29.39</v>
      </c>
      <c r="I2349" t="s">
        <v>15</v>
      </c>
      <c r="J2349" t="s">
        <v>15</v>
      </c>
      <c r="K2349">
        <v>5.29</v>
      </c>
      <c r="L2349">
        <v>0</v>
      </c>
    </row>
    <row r="2350" spans="1:12" x14ac:dyDescent="0.3">
      <c r="A2350" t="s">
        <v>2366</v>
      </c>
      <c r="B2350" t="s">
        <v>21</v>
      </c>
      <c r="C2350">
        <v>799</v>
      </c>
      <c r="D2350">
        <v>0</v>
      </c>
      <c r="E2350">
        <v>0</v>
      </c>
      <c r="F2350">
        <f>COUNTIFS(mdr_rate_cleaned!$A$2:$A$10,B2350,mdr_rate_cleaned!$B$2:$B$10,"&lt;"&amp;C2350,mdr_rate_cleaned!$F$2:$F$10,"&gt;="&amp;C2350)</f>
        <v>1</v>
      </c>
      <c r="G2350">
        <v>0</v>
      </c>
      <c r="H2350">
        <v>0</v>
      </c>
      <c r="I2350" t="s">
        <v>15</v>
      </c>
      <c r="J2350" t="s">
        <v>15</v>
      </c>
      <c r="K2350">
        <v>0</v>
      </c>
      <c r="L2350">
        <v>0</v>
      </c>
    </row>
    <row r="2351" spans="1:12" x14ac:dyDescent="0.3">
      <c r="A2351" t="s">
        <v>2367</v>
      </c>
      <c r="B2351" t="s">
        <v>21</v>
      </c>
      <c r="C2351">
        <v>2998</v>
      </c>
      <c r="D2351">
        <v>8.99</v>
      </c>
      <c r="E2351">
        <v>1.62</v>
      </c>
      <c r="F2351">
        <f>COUNTIFS(mdr_rate_cleaned!$A$2:$A$10,B2351,mdr_rate_cleaned!$B$2:$B$10,"&lt;"&amp;C2351,mdr_rate_cleaned!$F$2:$F$10,"&gt;="&amp;C2351)</f>
        <v>1</v>
      </c>
      <c r="G2351">
        <v>3.0000000000000001E-3</v>
      </c>
      <c r="H2351">
        <v>8.99</v>
      </c>
      <c r="I2351" t="s">
        <v>15</v>
      </c>
      <c r="J2351" t="s">
        <v>15</v>
      </c>
      <c r="K2351">
        <v>1.62</v>
      </c>
      <c r="L2351">
        <v>0</v>
      </c>
    </row>
    <row r="2352" spans="1:12" x14ac:dyDescent="0.3">
      <c r="A2352" t="s">
        <v>2368</v>
      </c>
      <c r="B2352" t="s">
        <v>13</v>
      </c>
      <c r="C2352">
        <v>4798</v>
      </c>
      <c r="D2352">
        <v>81.569999999999993</v>
      </c>
      <c r="E2352">
        <v>14.68</v>
      </c>
      <c r="F2352">
        <f>COUNTIFS(mdr_rate_cleaned!$A$2:$A$10,B2352,mdr_rate_cleaned!$B$2:$B$10,"&lt;"&amp;C2352,mdr_rate_cleaned!$F$2:$F$10,"&gt;="&amp;C2352)</f>
        <v>1</v>
      </c>
      <c r="G2352">
        <v>1.7000000000000001E-2</v>
      </c>
      <c r="H2352">
        <v>81.569999999999993</v>
      </c>
      <c r="I2352" t="s">
        <v>15</v>
      </c>
      <c r="J2352" t="s">
        <v>15</v>
      </c>
      <c r="K2352">
        <v>14.68</v>
      </c>
      <c r="L2352">
        <v>0</v>
      </c>
    </row>
    <row r="2353" spans="1:12" x14ac:dyDescent="0.3">
      <c r="A2353" t="s">
        <v>2369</v>
      </c>
      <c r="B2353" t="s">
        <v>21</v>
      </c>
      <c r="C2353">
        <v>12097</v>
      </c>
      <c r="D2353">
        <v>36.29</v>
      </c>
      <c r="E2353">
        <v>6.53</v>
      </c>
      <c r="F2353">
        <f>COUNTIFS(mdr_rate_cleaned!$A$2:$A$10,B2353,mdr_rate_cleaned!$B$2:$B$10,"&lt;"&amp;C2353,mdr_rate_cleaned!$F$2:$F$10,"&gt;="&amp;C2353)</f>
        <v>1</v>
      </c>
      <c r="G2353">
        <v>3.0000000000000001E-3</v>
      </c>
      <c r="H2353">
        <v>36.29</v>
      </c>
      <c r="I2353" t="s">
        <v>15</v>
      </c>
      <c r="J2353" t="s">
        <v>15</v>
      </c>
      <c r="K2353">
        <v>6.53</v>
      </c>
      <c r="L2353">
        <v>0</v>
      </c>
    </row>
    <row r="2354" spans="1:12" x14ac:dyDescent="0.3">
      <c r="A2354" t="s">
        <v>2370</v>
      </c>
      <c r="B2354" t="s">
        <v>13</v>
      </c>
      <c r="C2354">
        <v>3798</v>
      </c>
      <c r="D2354">
        <v>64.569999999999993</v>
      </c>
      <c r="E2354">
        <v>11.62</v>
      </c>
      <c r="F2354">
        <f>COUNTIFS(mdr_rate_cleaned!$A$2:$A$10,B2354,mdr_rate_cleaned!$B$2:$B$10,"&lt;"&amp;C2354,mdr_rate_cleaned!$F$2:$F$10,"&gt;="&amp;C2354)</f>
        <v>1</v>
      </c>
      <c r="G2354">
        <v>1.7000000000000001E-2</v>
      </c>
      <c r="H2354">
        <v>64.569999999999993</v>
      </c>
      <c r="I2354" t="s">
        <v>15</v>
      </c>
      <c r="J2354" t="s">
        <v>15</v>
      </c>
      <c r="K2354">
        <v>11.62</v>
      </c>
      <c r="L2354">
        <v>0</v>
      </c>
    </row>
    <row r="2355" spans="1:12" x14ac:dyDescent="0.3">
      <c r="A2355" t="s">
        <v>2371</v>
      </c>
      <c r="B2355" t="s">
        <v>21</v>
      </c>
      <c r="C2355">
        <v>2798</v>
      </c>
      <c r="D2355">
        <v>8.39</v>
      </c>
      <c r="E2355">
        <v>1.51</v>
      </c>
      <c r="F2355">
        <f>COUNTIFS(mdr_rate_cleaned!$A$2:$A$10,B2355,mdr_rate_cleaned!$B$2:$B$10,"&lt;"&amp;C2355,mdr_rate_cleaned!$F$2:$F$10,"&gt;="&amp;C2355)</f>
        <v>1</v>
      </c>
      <c r="G2355">
        <v>3.0000000000000001E-3</v>
      </c>
      <c r="H2355">
        <v>8.39</v>
      </c>
      <c r="I2355" t="s">
        <v>15</v>
      </c>
      <c r="J2355" t="s">
        <v>15</v>
      </c>
      <c r="K2355">
        <v>1.51</v>
      </c>
      <c r="L2355">
        <v>0</v>
      </c>
    </row>
    <row r="2356" spans="1:12" x14ac:dyDescent="0.3">
      <c r="A2356" t="s">
        <v>2372</v>
      </c>
      <c r="B2356" t="s">
        <v>21</v>
      </c>
      <c r="C2356">
        <v>2499</v>
      </c>
      <c r="D2356">
        <v>7.5</v>
      </c>
      <c r="E2356">
        <v>1.35</v>
      </c>
      <c r="F2356">
        <f>COUNTIFS(mdr_rate_cleaned!$A$2:$A$10,B2356,mdr_rate_cleaned!$B$2:$B$10,"&lt;"&amp;C2356,mdr_rate_cleaned!$F$2:$F$10,"&gt;="&amp;C2356)</f>
        <v>1</v>
      </c>
      <c r="G2356">
        <v>3.0000000000000001E-3</v>
      </c>
      <c r="H2356">
        <v>7.5</v>
      </c>
      <c r="I2356" t="s">
        <v>15</v>
      </c>
      <c r="J2356" t="s">
        <v>15</v>
      </c>
      <c r="K2356">
        <v>1.35</v>
      </c>
      <c r="L2356">
        <v>0</v>
      </c>
    </row>
    <row r="2357" spans="1:12" x14ac:dyDescent="0.3">
      <c r="A2357" t="s">
        <v>2373</v>
      </c>
      <c r="B2357" t="s">
        <v>21</v>
      </c>
      <c r="C2357">
        <v>7999</v>
      </c>
      <c r="D2357">
        <v>24</v>
      </c>
      <c r="E2357">
        <v>4.32</v>
      </c>
      <c r="F2357">
        <f>COUNTIFS(mdr_rate_cleaned!$A$2:$A$10,B2357,mdr_rate_cleaned!$B$2:$B$10,"&lt;"&amp;C2357,mdr_rate_cleaned!$F$2:$F$10,"&gt;="&amp;C2357)</f>
        <v>1</v>
      </c>
      <c r="G2357">
        <v>3.0000000000000001E-3</v>
      </c>
      <c r="H2357">
        <v>24</v>
      </c>
      <c r="I2357" t="s">
        <v>15</v>
      </c>
      <c r="J2357" t="s">
        <v>15</v>
      </c>
      <c r="K2357">
        <v>4.32</v>
      </c>
      <c r="L2357">
        <v>0</v>
      </c>
    </row>
    <row r="2358" spans="1:12" x14ac:dyDescent="0.3">
      <c r="A2358" t="s">
        <v>2374</v>
      </c>
      <c r="B2358" t="s">
        <v>17</v>
      </c>
      <c r="C2358">
        <v>10297</v>
      </c>
      <c r="D2358">
        <v>164.75</v>
      </c>
      <c r="E2358">
        <v>29.66</v>
      </c>
      <c r="F2358">
        <f>COUNTIFS(mdr_rate_cleaned!$A$2:$A$10,B2358,mdr_rate_cleaned!$B$2:$B$10,"&lt;"&amp;C2358,mdr_rate_cleaned!$F$2:$F$10,"&gt;="&amp;C2358)</f>
        <v>1</v>
      </c>
      <c r="G2358">
        <v>1.6E-2</v>
      </c>
      <c r="H2358">
        <v>164.75</v>
      </c>
      <c r="I2358" t="s">
        <v>15</v>
      </c>
      <c r="J2358" t="s">
        <v>15</v>
      </c>
      <c r="K2358">
        <v>29.66</v>
      </c>
      <c r="L2358">
        <v>0</v>
      </c>
    </row>
    <row r="2359" spans="1:12" x14ac:dyDescent="0.3">
      <c r="A2359" t="s">
        <v>2375</v>
      </c>
      <c r="B2359" t="s">
        <v>13</v>
      </c>
      <c r="C2359">
        <v>499</v>
      </c>
      <c r="D2359">
        <v>9.48</v>
      </c>
      <c r="E2359">
        <v>1.71</v>
      </c>
      <c r="F2359">
        <f>COUNTIFS(mdr_rate_cleaned!$A$2:$A$10,B2359,mdr_rate_cleaned!$B$2:$B$10,"&lt;"&amp;C2359,mdr_rate_cleaned!$F$2:$F$10,"&gt;="&amp;C2359)</f>
        <v>1</v>
      </c>
      <c r="G2359">
        <v>1.9E-2</v>
      </c>
      <c r="H2359">
        <v>9.48</v>
      </c>
      <c r="I2359" t="s">
        <v>15</v>
      </c>
      <c r="J2359" t="s">
        <v>15</v>
      </c>
      <c r="K2359">
        <v>1.71</v>
      </c>
      <c r="L2359">
        <v>0</v>
      </c>
    </row>
    <row r="2360" spans="1:12" x14ac:dyDescent="0.3">
      <c r="A2360" t="s">
        <v>2376</v>
      </c>
      <c r="B2360" t="s">
        <v>21</v>
      </c>
      <c r="C2360">
        <v>2848</v>
      </c>
      <c r="D2360">
        <v>8.5399999999999991</v>
      </c>
      <c r="E2360">
        <v>1.54</v>
      </c>
      <c r="F2360">
        <f>COUNTIFS(mdr_rate_cleaned!$A$2:$A$10,B2360,mdr_rate_cleaned!$B$2:$B$10,"&lt;"&amp;C2360,mdr_rate_cleaned!$F$2:$F$10,"&gt;="&amp;C2360)</f>
        <v>1</v>
      </c>
      <c r="G2360">
        <v>3.0000000000000001E-3</v>
      </c>
      <c r="H2360">
        <v>8.5399999999999991</v>
      </c>
      <c r="I2360" t="s">
        <v>15</v>
      </c>
      <c r="J2360" t="s">
        <v>15</v>
      </c>
      <c r="K2360">
        <v>1.54</v>
      </c>
      <c r="L2360">
        <v>0</v>
      </c>
    </row>
    <row r="2361" spans="1:12" x14ac:dyDescent="0.3">
      <c r="A2361" t="s">
        <v>2377</v>
      </c>
      <c r="B2361" t="s">
        <v>21</v>
      </c>
      <c r="C2361">
        <v>499</v>
      </c>
      <c r="D2361">
        <v>0</v>
      </c>
      <c r="E2361">
        <v>0</v>
      </c>
      <c r="F2361">
        <f>COUNTIFS(mdr_rate_cleaned!$A$2:$A$10,B2361,mdr_rate_cleaned!$B$2:$B$10,"&lt;"&amp;C2361,mdr_rate_cleaned!$F$2:$F$10,"&gt;="&amp;C2361)</f>
        <v>1</v>
      </c>
      <c r="G2361">
        <v>0</v>
      </c>
      <c r="H2361">
        <v>0</v>
      </c>
      <c r="I2361" t="s">
        <v>15</v>
      </c>
      <c r="J2361" t="s">
        <v>15</v>
      </c>
      <c r="K2361">
        <v>0</v>
      </c>
      <c r="L2361">
        <v>0</v>
      </c>
    </row>
    <row r="2362" spans="1:12" x14ac:dyDescent="0.3">
      <c r="A2362" t="s">
        <v>2378</v>
      </c>
      <c r="B2362" t="s">
        <v>17</v>
      </c>
      <c r="C2362">
        <v>4999</v>
      </c>
      <c r="D2362">
        <v>79.98</v>
      </c>
      <c r="E2362">
        <v>14.4</v>
      </c>
      <c r="F2362">
        <f>COUNTIFS(mdr_rate_cleaned!$A$2:$A$10,B2362,mdr_rate_cleaned!$B$2:$B$10,"&lt;"&amp;C2362,mdr_rate_cleaned!$F$2:$F$10,"&gt;="&amp;C2362)</f>
        <v>1</v>
      </c>
      <c r="G2362">
        <v>1.6E-2</v>
      </c>
      <c r="H2362">
        <v>79.98</v>
      </c>
      <c r="I2362" t="s">
        <v>15</v>
      </c>
      <c r="J2362" t="s">
        <v>15</v>
      </c>
      <c r="K2362">
        <v>14.4</v>
      </c>
      <c r="L2362">
        <v>0</v>
      </c>
    </row>
    <row r="2363" spans="1:12" x14ac:dyDescent="0.3">
      <c r="A2363" t="s">
        <v>2379</v>
      </c>
      <c r="B2363" t="s">
        <v>17</v>
      </c>
      <c r="C2363">
        <v>3998</v>
      </c>
      <c r="D2363">
        <v>63.97</v>
      </c>
      <c r="E2363">
        <v>11.51</v>
      </c>
      <c r="F2363">
        <f>COUNTIFS(mdr_rate_cleaned!$A$2:$A$10,B2363,mdr_rate_cleaned!$B$2:$B$10,"&lt;"&amp;C2363,mdr_rate_cleaned!$F$2:$F$10,"&gt;="&amp;C2363)</f>
        <v>1</v>
      </c>
      <c r="G2363">
        <v>1.6E-2</v>
      </c>
      <c r="H2363">
        <v>63.97</v>
      </c>
      <c r="I2363" t="s">
        <v>15</v>
      </c>
      <c r="J2363" t="s">
        <v>15</v>
      </c>
      <c r="K2363">
        <v>11.51</v>
      </c>
      <c r="L2363">
        <v>0</v>
      </c>
    </row>
    <row r="2364" spans="1:12" x14ac:dyDescent="0.3">
      <c r="A2364" t="s">
        <v>2380</v>
      </c>
      <c r="B2364" t="s">
        <v>21</v>
      </c>
      <c r="C2364">
        <v>1799</v>
      </c>
      <c r="D2364">
        <v>0</v>
      </c>
      <c r="E2364">
        <v>0</v>
      </c>
      <c r="F2364">
        <f>COUNTIFS(mdr_rate_cleaned!$A$2:$A$10,B2364,mdr_rate_cleaned!$B$2:$B$10,"&lt;"&amp;C2364,mdr_rate_cleaned!$F$2:$F$10,"&gt;="&amp;C2364)</f>
        <v>1</v>
      </c>
      <c r="G2364">
        <v>0</v>
      </c>
      <c r="H2364">
        <v>0</v>
      </c>
      <c r="I2364" t="s">
        <v>15</v>
      </c>
      <c r="J2364" t="s">
        <v>15</v>
      </c>
      <c r="K2364">
        <v>0</v>
      </c>
      <c r="L2364">
        <v>0</v>
      </c>
    </row>
    <row r="2365" spans="1:12" x14ac:dyDescent="0.3">
      <c r="A2365" t="s">
        <v>2381</v>
      </c>
      <c r="B2365" t="s">
        <v>21</v>
      </c>
      <c r="C2365">
        <v>6798</v>
      </c>
      <c r="D2365">
        <v>20.39</v>
      </c>
      <c r="E2365">
        <v>3.67</v>
      </c>
      <c r="F2365">
        <f>COUNTIFS(mdr_rate_cleaned!$A$2:$A$10,B2365,mdr_rate_cleaned!$B$2:$B$10,"&lt;"&amp;C2365,mdr_rate_cleaned!$F$2:$F$10,"&gt;="&amp;C2365)</f>
        <v>1</v>
      </c>
      <c r="G2365">
        <v>3.0000000000000001E-3</v>
      </c>
      <c r="H2365">
        <v>20.39</v>
      </c>
      <c r="I2365" t="s">
        <v>15</v>
      </c>
      <c r="J2365" t="s">
        <v>15</v>
      </c>
      <c r="K2365">
        <v>3.67</v>
      </c>
      <c r="L2365">
        <v>0</v>
      </c>
    </row>
    <row r="2366" spans="1:12" x14ac:dyDescent="0.3">
      <c r="A2366" t="s">
        <v>2382</v>
      </c>
      <c r="B2366" t="s">
        <v>17</v>
      </c>
      <c r="C2366">
        <v>7999</v>
      </c>
      <c r="D2366">
        <v>127.98</v>
      </c>
      <c r="E2366">
        <v>23.04</v>
      </c>
      <c r="F2366">
        <f>COUNTIFS(mdr_rate_cleaned!$A$2:$A$10,B2366,mdr_rate_cleaned!$B$2:$B$10,"&lt;"&amp;C2366,mdr_rate_cleaned!$F$2:$F$10,"&gt;="&amp;C2366)</f>
        <v>1</v>
      </c>
      <c r="G2366">
        <v>1.6E-2</v>
      </c>
      <c r="H2366">
        <v>127.98</v>
      </c>
      <c r="I2366" t="s">
        <v>15</v>
      </c>
      <c r="J2366" t="s">
        <v>15</v>
      </c>
      <c r="K2366">
        <v>23.04</v>
      </c>
      <c r="L2366">
        <v>0</v>
      </c>
    </row>
    <row r="2367" spans="1:12" x14ac:dyDescent="0.3">
      <c r="A2367" t="s">
        <v>2383</v>
      </c>
      <c r="B2367" t="s">
        <v>17</v>
      </c>
      <c r="C2367">
        <v>2999</v>
      </c>
      <c r="D2367">
        <v>47.98</v>
      </c>
      <c r="E2367">
        <v>8.64</v>
      </c>
      <c r="F2367">
        <f>COUNTIFS(mdr_rate_cleaned!$A$2:$A$10,B2367,mdr_rate_cleaned!$B$2:$B$10,"&lt;"&amp;C2367,mdr_rate_cleaned!$F$2:$F$10,"&gt;="&amp;C2367)</f>
        <v>1</v>
      </c>
      <c r="G2367">
        <v>1.6E-2</v>
      </c>
      <c r="H2367">
        <v>47.98</v>
      </c>
      <c r="I2367" t="s">
        <v>15</v>
      </c>
      <c r="J2367" t="s">
        <v>15</v>
      </c>
      <c r="K2367">
        <v>8.64</v>
      </c>
      <c r="L2367">
        <v>0</v>
      </c>
    </row>
    <row r="2368" spans="1:12" x14ac:dyDescent="0.3">
      <c r="A2368" t="s">
        <v>2384</v>
      </c>
      <c r="B2368" t="s">
        <v>21</v>
      </c>
      <c r="C2368">
        <v>3097</v>
      </c>
      <c r="D2368">
        <v>9.2899999999999991</v>
      </c>
      <c r="E2368">
        <v>1.67</v>
      </c>
      <c r="F2368">
        <f>COUNTIFS(mdr_rate_cleaned!$A$2:$A$10,B2368,mdr_rate_cleaned!$B$2:$B$10,"&lt;"&amp;C2368,mdr_rate_cleaned!$F$2:$F$10,"&gt;="&amp;C2368)</f>
        <v>1</v>
      </c>
      <c r="G2368">
        <v>3.0000000000000001E-3</v>
      </c>
      <c r="H2368">
        <v>9.2899999999999991</v>
      </c>
      <c r="I2368" t="s">
        <v>15</v>
      </c>
      <c r="J2368" t="s">
        <v>15</v>
      </c>
      <c r="K2368">
        <v>1.67</v>
      </c>
      <c r="L2368">
        <v>0</v>
      </c>
    </row>
    <row r="2369" spans="1:12" x14ac:dyDescent="0.3">
      <c r="A2369" t="s">
        <v>2385</v>
      </c>
      <c r="B2369" t="s">
        <v>13</v>
      </c>
      <c r="C2369">
        <v>299</v>
      </c>
      <c r="D2369">
        <v>5.68</v>
      </c>
      <c r="E2369">
        <v>1.02</v>
      </c>
      <c r="F2369">
        <f>COUNTIFS(mdr_rate_cleaned!$A$2:$A$10,B2369,mdr_rate_cleaned!$B$2:$B$10,"&lt;"&amp;C2369,mdr_rate_cleaned!$F$2:$F$10,"&gt;="&amp;C2369)</f>
        <v>1</v>
      </c>
      <c r="G2369">
        <v>1.9E-2</v>
      </c>
      <c r="H2369">
        <v>5.68</v>
      </c>
      <c r="I2369" t="s">
        <v>15</v>
      </c>
      <c r="J2369" t="s">
        <v>15</v>
      </c>
      <c r="K2369">
        <v>1.02</v>
      </c>
      <c r="L2369">
        <v>0</v>
      </c>
    </row>
    <row r="2370" spans="1:12" x14ac:dyDescent="0.3">
      <c r="A2370" t="s">
        <v>2386</v>
      </c>
      <c r="B2370" t="s">
        <v>17</v>
      </c>
      <c r="C2370">
        <v>999</v>
      </c>
      <c r="D2370">
        <v>17.98</v>
      </c>
      <c r="E2370">
        <v>3.24</v>
      </c>
      <c r="F2370">
        <f>COUNTIFS(mdr_rate_cleaned!$A$2:$A$10,B2370,mdr_rate_cleaned!$B$2:$B$10,"&lt;"&amp;C2370,mdr_rate_cleaned!$F$2:$F$10,"&gt;="&amp;C2370)</f>
        <v>1</v>
      </c>
      <c r="G2370">
        <v>1.7999999999999999E-2</v>
      </c>
      <c r="H2370">
        <v>17.98</v>
      </c>
      <c r="I2370" t="s">
        <v>15</v>
      </c>
      <c r="J2370" t="s">
        <v>15</v>
      </c>
      <c r="K2370">
        <v>3.24</v>
      </c>
      <c r="L2370">
        <v>0</v>
      </c>
    </row>
    <row r="2371" spans="1:12" x14ac:dyDescent="0.3">
      <c r="A2371" t="s">
        <v>2387</v>
      </c>
      <c r="B2371" t="s">
        <v>17</v>
      </c>
      <c r="C2371">
        <v>3997</v>
      </c>
      <c r="D2371">
        <v>63.95</v>
      </c>
      <c r="E2371">
        <v>11.51</v>
      </c>
      <c r="F2371">
        <f>COUNTIFS(mdr_rate_cleaned!$A$2:$A$10,B2371,mdr_rate_cleaned!$B$2:$B$10,"&lt;"&amp;C2371,mdr_rate_cleaned!$F$2:$F$10,"&gt;="&amp;C2371)</f>
        <v>1</v>
      </c>
      <c r="G2371">
        <v>1.6E-2</v>
      </c>
      <c r="H2371">
        <v>63.95</v>
      </c>
      <c r="I2371" t="s">
        <v>15</v>
      </c>
      <c r="J2371" t="s">
        <v>15</v>
      </c>
      <c r="K2371">
        <v>11.51</v>
      </c>
      <c r="L2371">
        <v>0</v>
      </c>
    </row>
    <row r="2372" spans="1:12" x14ac:dyDescent="0.3">
      <c r="A2372" t="s">
        <v>2388</v>
      </c>
      <c r="B2372" t="s">
        <v>21</v>
      </c>
      <c r="C2372">
        <v>898</v>
      </c>
      <c r="D2372">
        <v>0</v>
      </c>
      <c r="E2372">
        <v>0</v>
      </c>
      <c r="F2372">
        <f>COUNTIFS(mdr_rate_cleaned!$A$2:$A$10,B2372,mdr_rate_cleaned!$B$2:$B$10,"&lt;"&amp;C2372,mdr_rate_cleaned!$F$2:$F$10,"&gt;="&amp;C2372)</f>
        <v>1</v>
      </c>
      <c r="G2372">
        <v>0</v>
      </c>
      <c r="H2372">
        <v>0</v>
      </c>
      <c r="I2372" t="s">
        <v>15</v>
      </c>
      <c r="J2372" t="s">
        <v>15</v>
      </c>
      <c r="K2372">
        <v>0</v>
      </c>
      <c r="L2372">
        <v>0</v>
      </c>
    </row>
    <row r="2373" spans="1:12" x14ac:dyDescent="0.3">
      <c r="A2373" t="s">
        <v>2389</v>
      </c>
      <c r="B2373" t="s">
        <v>21</v>
      </c>
      <c r="C2373">
        <v>4998</v>
      </c>
      <c r="D2373">
        <v>14.99</v>
      </c>
      <c r="E2373">
        <v>2.7</v>
      </c>
      <c r="F2373">
        <f>COUNTIFS(mdr_rate_cleaned!$A$2:$A$10,B2373,mdr_rate_cleaned!$B$2:$B$10,"&lt;"&amp;C2373,mdr_rate_cleaned!$F$2:$F$10,"&gt;="&amp;C2373)</f>
        <v>1</v>
      </c>
      <c r="G2373">
        <v>3.0000000000000001E-3</v>
      </c>
      <c r="H2373">
        <v>14.99</v>
      </c>
      <c r="I2373" t="s">
        <v>15</v>
      </c>
      <c r="J2373" t="s">
        <v>15</v>
      </c>
      <c r="K2373">
        <v>2.7</v>
      </c>
      <c r="L2373">
        <v>0</v>
      </c>
    </row>
    <row r="2374" spans="1:12" x14ac:dyDescent="0.3">
      <c r="A2374" t="s">
        <v>2390</v>
      </c>
      <c r="B2374" t="s">
        <v>21</v>
      </c>
      <c r="C2374">
        <v>2999</v>
      </c>
      <c r="D2374">
        <v>9</v>
      </c>
      <c r="E2374">
        <v>1.62</v>
      </c>
      <c r="F2374">
        <f>COUNTIFS(mdr_rate_cleaned!$A$2:$A$10,B2374,mdr_rate_cleaned!$B$2:$B$10,"&lt;"&amp;C2374,mdr_rate_cleaned!$F$2:$F$10,"&gt;="&amp;C2374)</f>
        <v>1</v>
      </c>
      <c r="G2374">
        <v>3.0000000000000001E-3</v>
      </c>
      <c r="H2374">
        <v>9</v>
      </c>
      <c r="I2374" t="s">
        <v>15</v>
      </c>
      <c r="J2374" t="s">
        <v>15</v>
      </c>
      <c r="K2374">
        <v>1.62</v>
      </c>
      <c r="L2374">
        <v>0</v>
      </c>
    </row>
    <row r="2375" spans="1:12" x14ac:dyDescent="0.3">
      <c r="A2375" t="s">
        <v>2391</v>
      </c>
      <c r="B2375" t="s">
        <v>17</v>
      </c>
      <c r="C2375">
        <v>3499</v>
      </c>
      <c r="D2375">
        <v>55.98</v>
      </c>
      <c r="E2375">
        <v>10.08</v>
      </c>
      <c r="F2375">
        <f>COUNTIFS(mdr_rate_cleaned!$A$2:$A$10,B2375,mdr_rate_cleaned!$B$2:$B$10,"&lt;"&amp;C2375,mdr_rate_cleaned!$F$2:$F$10,"&gt;="&amp;C2375)</f>
        <v>1</v>
      </c>
      <c r="G2375">
        <v>1.6E-2</v>
      </c>
      <c r="H2375">
        <v>55.98</v>
      </c>
      <c r="I2375" t="s">
        <v>15</v>
      </c>
      <c r="J2375" t="s">
        <v>15</v>
      </c>
      <c r="K2375">
        <v>10.08</v>
      </c>
      <c r="L2375">
        <v>0</v>
      </c>
    </row>
    <row r="2376" spans="1:12" x14ac:dyDescent="0.3">
      <c r="A2376" t="s">
        <v>2392</v>
      </c>
      <c r="B2376" t="s">
        <v>17</v>
      </c>
      <c r="C2376">
        <v>1499</v>
      </c>
      <c r="D2376">
        <v>26.98</v>
      </c>
      <c r="E2376">
        <v>4.8600000000000003</v>
      </c>
      <c r="F2376">
        <f>COUNTIFS(mdr_rate_cleaned!$A$2:$A$10,B2376,mdr_rate_cleaned!$B$2:$B$10,"&lt;"&amp;C2376,mdr_rate_cleaned!$F$2:$F$10,"&gt;="&amp;C2376)</f>
        <v>1</v>
      </c>
      <c r="G2376">
        <v>1.7999999999999999E-2</v>
      </c>
      <c r="H2376">
        <v>26.98</v>
      </c>
      <c r="I2376" t="s">
        <v>15</v>
      </c>
      <c r="J2376" t="s">
        <v>15</v>
      </c>
      <c r="K2376">
        <v>4.8600000000000003</v>
      </c>
      <c r="L2376">
        <v>0</v>
      </c>
    </row>
    <row r="2377" spans="1:12" x14ac:dyDescent="0.3">
      <c r="A2377" t="s">
        <v>2393</v>
      </c>
      <c r="B2377" t="s">
        <v>17</v>
      </c>
      <c r="C2377">
        <v>7498</v>
      </c>
      <c r="D2377">
        <v>119.97</v>
      </c>
      <c r="E2377">
        <v>21.59</v>
      </c>
      <c r="F2377">
        <f>COUNTIFS(mdr_rate_cleaned!$A$2:$A$10,B2377,mdr_rate_cleaned!$B$2:$B$10,"&lt;"&amp;C2377,mdr_rate_cleaned!$F$2:$F$10,"&gt;="&amp;C2377)</f>
        <v>1</v>
      </c>
      <c r="G2377">
        <v>1.6E-2</v>
      </c>
      <c r="H2377">
        <v>119.97</v>
      </c>
      <c r="I2377" t="s">
        <v>15</v>
      </c>
      <c r="J2377" t="s">
        <v>15</v>
      </c>
      <c r="K2377">
        <v>21.59</v>
      </c>
      <c r="L2377">
        <v>0</v>
      </c>
    </row>
    <row r="2378" spans="1:12" x14ac:dyDescent="0.3">
      <c r="A2378" t="s">
        <v>2394</v>
      </c>
      <c r="B2378" t="s">
        <v>17</v>
      </c>
      <c r="C2378">
        <v>3897</v>
      </c>
      <c r="D2378">
        <v>62.35</v>
      </c>
      <c r="E2378">
        <v>11.22</v>
      </c>
      <c r="F2378">
        <f>COUNTIFS(mdr_rate_cleaned!$A$2:$A$10,B2378,mdr_rate_cleaned!$B$2:$B$10,"&lt;"&amp;C2378,mdr_rate_cleaned!$F$2:$F$10,"&gt;="&amp;C2378)</f>
        <v>1</v>
      </c>
      <c r="G2378">
        <v>1.6E-2</v>
      </c>
      <c r="H2378">
        <v>62.35</v>
      </c>
      <c r="I2378" t="s">
        <v>15</v>
      </c>
      <c r="J2378" t="s">
        <v>15</v>
      </c>
      <c r="K2378">
        <v>11.22</v>
      </c>
      <c r="L2378">
        <v>0</v>
      </c>
    </row>
    <row r="2379" spans="1:12" x14ac:dyDescent="0.3">
      <c r="A2379" t="s">
        <v>2395</v>
      </c>
      <c r="B2379" t="s">
        <v>21</v>
      </c>
      <c r="C2379">
        <v>7999</v>
      </c>
      <c r="D2379">
        <v>24</v>
      </c>
      <c r="E2379">
        <v>4.32</v>
      </c>
      <c r="F2379">
        <f>COUNTIFS(mdr_rate_cleaned!$A$2:$A$10,B2379,mdr_rate_cleaned!$B$2:$B$10,"&lt;"&amp;C2379,mdr_rate_cleaned!$F$2:$F$10,"&gt;="&amp;C2379)</f>
        <v>1</v>
      </c>
      <c r="G2379">
        <v>3.0000000000000001E-3</v>
      </c>
      <c r="H2379">
        <v>24</v>
      </c>
      <c r="I2379" t="s">
        <v>15</v>
      </c>
      <c r="J2379" t="s">
        <v>15</v>
      </c>
      <c r="K2379">
        <v>4.32</v>
      </c>
      <c r="L2379">
        <v>0</v>
      </c>
    </row>
    <row r="2380" spans="1:12" x14ac:dyDescent="0.3">
      <c r="A2380" t="s">
        <v>2396</v>
      </c>
      <c r="B2380" t="s">
        <v>39</v>
      </c>
      <c r="C2380">
        <v>299</v>
      </c>
      <c r="D2380">
        <v>4.49</v>
      </c>
      <c r="E2380">
        <v>0.81</v>
      </c>
      <c r="F2380">
        <f>COUNTIFS(mdr_rate_cleaned!$A$2:$A$10,B2380,mdr_rate_cleaned!$B$2:$B$10,"&lt;"&amp;C2380,mdr_rate_cleaned!$F$2:$F$10,"&gt;="&amp;C2380)</f>
        <v>1</v>
      </c>
      <c r="G2380">
        <v>1.4999999999999999E-2</v>
      </c>
      <c r="H2380">
        <v>4.49</v>
      </c>
      <c r="I2380" t="s">
        <v>15</v>
      </c>
      <c r="J2380" t="s">
        <v>15</v>
      </c>
      <c r="K2380">
        <v>0.81</v>
      </c>
      <c r="L2380">
        <v>0</v>
      </c>
    </row>
    <row r="2381" spans="1:12" x14ac:dyDescent="0.3">
      <c r="A2381" t="s">
        <v>2397</v>
      </c>
      <c r="B2381" t="s">
        <v>13</v>
      </c>
      <c r="C2381">
        <v>10998</v>
      </c>
      <c r="D2381">
        <v>186.97</v>
      </c>
      <c r="E2381">
        <v>33.65</v>
      </c>
      <c r="F2381">
        <f>COUNTIFS(mdr_rate_cleaned!$A$2:$A$10,B2381,mdr_rate_cleaned!$B$2:$B$10,"&lt;"&amp;C2381,mdr_rate_cleaned!$F$2:$F$10,"&gt;="&amp;C2381)</f>
        <v>1</v>
      </c>
      <c r="G2381">
        <v>1.7000000000000001E-2</v>
      </c>
      <c r="H2381">
        <v>186.97</v>
      </c>
      <c r="I2381" t="s">
        <v>15</v>
      </c>
      <c r="J2381" t="s">
        <v>15</v>
      </c>
      <c r="K2381">
        <v>33.65</v>
      </c>
      <c r="L2381">
        <v>0</v>
      </c>
    </row>
    <row r="2382" spans="1:12" x14ac:dyDescent="0.3">
      <c r="A2382" t="s">
        <v>2398</v>
      </c>
      <c r="B2382" t="s">
        <v>17</v>
      </c>
      <c r="C2382">
        <v>4999</v>
      </c>
      <c r="D2382">
        <v>79.98</v>
      </c>
      <c r="E2382">
        <v>14.4</v>
      </c>
      <c r="F2382">
        <f>COUNTIFS(mdr_rate_cleaned!$A$2:$A$10,B2382,mdr_rate_cleaned!$B$2:$B$10,"&lt;"&amp;C2382,mdr_rate_cleaned!$F$2:$F$10,"&gt;="&amp;C2382)</f>
        <v>1</v>
      </c>
      <c r="G2382">
        <v>1.6E-2</v>
      </c>
      <c r="H2382">
        <v>79.98</v>
      </c>
      <c r="I2382" t="s">
        <v>15</v>
      </c>
      <c r="J2382" t="s">
        <v>15</v>
      </c>
      <c r="K2382">
        <v>14.4</v>
      </c>
      <c r="L2382">
        <v>0</v>
      </c>
    </row>
    <row r="2383" spans="1:12" x14ac:dyDescent="0.3">
      <c r="A2383" t="s">
        <v>2399</v>
      </c>
      <c r="B2383" t="s">
        <v>17</v>
      </c>
      <c r="C2383">
        <v>5298</v>
      </c>
      <c r="D2383">
        <v>84.77</v>
      </c>
      <c r="E2383">
        <v>15.26</v>
      </c>
      <c r="F2383">
        <f>COUNTIFS(mdr_rate_cleaned!$A$2:$A$10,B2383,mdr_rate_cleaned!$B$2:$B$10,"&lt;"&amp;C2383,mdr_rate_cleaned!$F$2:$F$10,"&gt;="&amp;C2383)</f>
        <v>1</v>
      </c>
      <c r="G2383">
        <v>1.6E-2</v>
      </c>
      <c r="H2383">
        <v>84.77</v>
      </c>
      <c r="I2383" t="s">
        <v>15</v>
      </c>
      <c r="J2383" t="s">
        <v>15</v>
      </c>
      <c r="K2383">
        <v>15.26</v>
      </c>
      <c r="L2383">
        <v>0</v>
      </c>
    </row>
    <row r="2384" spans="1:12" x14ac:dyDescent="0.3">
      <c r="A2384" t="s">
        <v>2400</v>
      </c>
      <c r="B2384" t="s">
        <v>21</v>
      </c>
      <c r="C2384">
        <v>1499</v>
      </c>
      <c r="D2384">
        <v>0</v>
      </c>
      <c r="E2384">
        <v>0</v>
      </c>
      <c r="F2384">
        <f>COUNTIFS(mdr_rate_cleaned!$A$2:$A$10,B2384,mdr_rate_cleaned!$B$2:$B$10,"&lt;"&amp;C2384,mdr_rate_cleaned!$F$2:$F$10,"&gt;="&amp;C2384)</f>
        <v>1</v>
      </c>
      <c r="G2384">
        <v>0</v>
      </c>
      <c r="H2384">
        <v>0</v>
      </c>
      <c r="I2384" t="s">
        <v>15</v>
      </c>
      <c r="J2384" t="s">
        <v>15</v>
      </c>
      <c r="K2384">
        <v>0</v>
      </c>
      <c r="L2384">
        <v>0</v>
      </c>
    </row>
    <row r="2385" spans="1:12" x14ac:dyDescent="0.3">
      <c r="A2385" t="s">
        <v>2401</v>
      </c>
      <c r="B2385" t="s">
        <v>21</v>
      </c>
      <c r="C2385">
        <v>2998</v>
      </c>
      <c r="D2385">
        <v>8.99</v>
      </c>
      <c r="E2385">
        <v>1.62</v>
      </c>
      <c r="F2385">
        <f>COUNTIFS(mdr_rate_cleaned!$A$2:$A$10,B2385,mdr_rate_cleaned!$B$2:$B$10,"&lt;"&amp;C2385,mdr_rate_cleaned!$F$2:$F$10,"&gt;="&amp;C2385)</f>
        <v>1</v>
      </c>
      <c r="G2385">
        <v>3.0000000000000001E-3</v>
      </c>
      <c r="H2385">
        <v>8.99</v>
      </c>
      <c r="I2385" t="s">
        <v>15</v>
      </c>
      <c r="J2385" t="s">
        <v>15</v>
      </c>
      <c r="K2385">
        <v>1.62</v>
      </c>
      <c r="L2385">
        <v>0</v>
      </c>
    </row>
    <row r="2386" spans="1:12" x14ac:dyDescent="0.3">
      <c r="A2386" t="s">
        <v>2402</v>
      </c>
      <c r="B2386" t="s">
        <v>17</v>
      </c>
      <c r="C2386">
        <v>4999</v>
      </c>
      <c r="D2386">
        <v>79.98</v>
      </c>
      <c r="E2386">
        <v>14.4</v>
      </c>
      <c r="F2386">
        <f>COUNTIFS(mdr_rate_cleaned!$A$2:$A$10,B2386,mdr_rate_cleaned!$B$2:$B$10,"&lt;"&amp;C2386,mdr_rate_cleaned!$F$2:$F$10,"&gt;="&amp;C2386)</f>
        <v>1</v>
      </c>
      <c r="G2386">
        <v>1.6E-2</v>
      </c>
      <c r="H2386">
        <v>79.98</v>
      </c>
      <c r="I2386" t="s">
        <v>15</v>
      </c>
      <c r="J2386" t="s">
        <v>15</v>
      </c>
      <c r="K2386">
        <v>14.4</v>
      </c>
      <c r="L2386">
        <v>0</v>
      </c>
    </row>
    <row r="2387" spans="1:12" x14ac:dyDescent="0.3">
      <c r="A2387" t="s">
        <v>2403</v>
      </c>
      <c r="B2387" t="s">
        <v>21</v>
      </c>
      <c r="C2387">
        <v>599</v>
      </c>
      <c r="D2387">
        <v>1.8</v>
      </c>
      <c r="E2387">
        <v>0.32</v>
      </c>
      <c r="F2387">
        <f>COUNTIFS(mdr_rate_cleaned!$A$2:$A$10,B2387,mdr_rate_cleaned!$B$2:$B$10,"&lt;"&amp;C2387,mdr_rate_cleaned!$F$2:$F$10,"&gt;="&amp;C2387)</f>
        <v>1</v>
      </c>
      <c r="G2387">
        <v>0</v>
      </c>
      <c r="H2387">
        <v>0</v>
      </c>
      <c r="I2387" t="s">
        <v>14</v>
      </c>
      <c r="J2387" t="s">
        <v>15</v>
      </c>
      <c r="K2387">
        <v>0</v>
      </c>
      <c r="L2387">
        <v>2.12</v>
      </c>
    </row>
    <row r="2388" spans="1:12" x14ac:dyDescent="0.3">
      <c r="A2388" t="s">
        <v>2404</v>
      </c>
      <c r="B2388" t="s">
        <v>21</v>
      </c>
      <c r="C2388">
        <v>5498</v>
      </c>
      <c r="D2388">
        <v>16.489999999999998</v>
      </c>
      <c r="E2388">
        <v>2.97</v>
      </c>
      <c r="F2388">
        <f>COUNTIFS(mdr_rate_cleaned!$A$2:$A$10,B2388,mdr_rate_cleaned!$B$2:$B$10,"&lt;"&amp;C2388,mdr_rate_cleaned!$F$2:$F$10,"&gt;="&amp;C2388)</f>
        <v>1</v>
      </c>
      <c r="G2388">
        <v>3.0000000000000001E-3</v>
      </c>
      <c r="H2388">
        <v>16.489999999999998</v>
      </c>
      <c r="I2388" t="s">
        <v>15</v>
      </c>
      <c r="J2388" t="s">
        <v>15</v>
      </c>
      <c r="K2388">
        <v>2.97</v>
      </c>
      <c r="L2388">
        <v>0</v>
      </c>
    </row>
    <row r="2389" spans="1:12" x14ac:dyDescent="0.3">
      <c r="A2389" t="s">
        <v>2405</v>
      </c>
      <c r="B2389" t="s">
        <v>13</v>
      </c>
      <c r="C2389">
        <v>349</v>
      </c>
      <c r="D2389">
        <v>6.63</v>
      </c>
      <c r="E2389">
        <v>1.19</v>
      </c>
      <c r="F2389">
        <f>COUNTIFS(mdr_rate_cleaned!$A$2:$A$10,B2389,mdr_rate_cleaned!$B$2:$B$10,"&lt;"&amp;C2389,mdr_rate_cleaned!$F$2:$F$10,"&gt;="&amp;C2389)</f>
        <v>1</v>
      </c>
      <c r="G2389">
        <v>1.9E-2</v>
      </c>
      <c r="H2389">
        <v>6.63</v>
      </c>
      <c r="I2389" t="s">
        <v>15</v>
      </c>
      <c r="J2389" t="s">
        <v>15</v>
      </c>
      <c r="K2389">
        <v>1.19</v>
      </c>
      <c r="L2389">
        <v>0</v>
      </c>
    </row>
    <row r="2390" spans="1:12" x14ac:dyDescent="0.3">
      <c r="A2390" t="s">
        <v>2406</v>
      </c>
      <c r="B2390" t="s">
        <v>21</v>
      </c>
      <c r="C2390">
        <v>8297</v>
      </c>
      <c r="D2390">
        <v>24.89</v>
      </c>
      <c r="E2390">
        <v>4.4800000000000004</v>
      </c>
      <c r="F2390">
        <f>COUNTIFS(mdr_rate_cleaned!$A$2:$A$10,B2390,mdr_rate_cleaned!$B$2:$B$10,"&lt;"&amp;C2390,mdr_rate_cleaned!$F$2:$F$10,"&gt;="&amp;C2390)</f>
        <v>1</v>
      </c>
      <c r="G2390">
        <v>3.0000000000000001E-3</v>
      </c>
      <c r="H2390">
        <v>24.89</v>
      </c>
      <c r="I2390" t="s">
        <v>15</v>
      </c>
      <c r="J2390" t="s">
        <v>15</v>
      </c>
      <c r="K2390">
        <v>4.4800000000000004</v>
      </c>
      <c r="L2390">
        <v>0</v>
      </c>
    </row>
    <row r="2391" spans="1:12" x14ac:dyDescent="0.3">
      <c r="A2391" t="s">
        <v>2407</v>
      </c>
      <c r="B2391" t="s">
        <v>21</v>
      </c>
      <c r="C2391">
        <v>499</v>
      </c>
      <c r="D2391">
        <v>0</v>
      </c>
      <c r="E2391">
        <v>0</v>
      </c>
      <c r="F2391">
        <f>COUNTIFS(mdr_rate_cleaned!$A$2:$A$10,B2391,mdr_rate_cleaned!$B$2:$B$10,"&lt;"&amp;C2391,mdr_rate_cleaned!$F$2:$F$10,"&gt;="&amp;C2391)</f>
        <v>1</v>
      </c>
      <c r="G2391">
        <v>0</v>
      </c>
      <c r="H2391">
        <v>0</v>
      </c>
      <c r="I2391" t="s">
        <v>15</v>
      </c>
      <c r="J2391" t="s">
        <v>15</v>
      </c>
      <c r="K2391">
        <v>0</v>
      </c>
      <c r="L2391">
        <v>0</v>
      </c>
    </row>
    <row r="2392" spans="1:12" x14ac:dyDescent="0.3">
      <c r="A2392" t="s">
        <v>2408</v>
      </c>
      <c r="B2392" t="s">
        <v>17</v>
      </c>
      <c r="C2392">
        <v>10497</v>
      </c>
      <c r="D2392">
        <v>167.95</v>
      </c>
      <c r="E2392">
        <v>30.23</v>
      </c>
      <c r="F2392">
        <f>COUNTIFS(mdr_rate_cleaned!$A$2:$A$10,B2392,mdr_rate_cleaned!$B$2:$B$10,"&lt;"&amp;C2392,mdr_rate_cleaned!$F$2:$F$10,"&gt;="&amp;C2392)</f>
        <v>1</v>
      </c>
      <c r="G2392">
        <v>1.6E-2</v>
      </c>
      <c r="H2392">
        <v>167.95</v>
      </c>
      <c r="I2392" t="s">
        <v>15</v>
      </c>
      <c r="J2392" t="s">
        <v>15</v>
      </c>
      <c r="K2392">
        <v>30.23</v>
      </c>
      <c r="L2392">
        <v>0</v>
      </c>
    </row>
    <row r="2393" spans="1:12" x14ac:dyDescent="0.3">
      <c r="A2393" t="s">
        <v>2409</v>
      </c>
      <c r="B2393" t="s">
        <v>21</v>
      </c>
      <c r="C2393">
        <v>2499</v>
      </c>
      <c r="D2393">
        <v>7.5</v>
      </c>
      <c r="E2393">
        <v>1.35</v>
      </c>
      <c r="F2393">
        <f>COUNTIFS(mdr_rate_cleaned!$A$2:$A$10,B2393,mdr_rate_cleaned!$B$2:$B$10,"&lt;"&amp;C2393,mdr_rate_cleaned!$F$2:$F$10,"&gt;="&amp;C2393)</f>
        <v>1</v>
      </c>
      <c r="G2393">
        <v>3.0000000000000001E-3</v>
      </c>
      <c r="H2393">
        <v>7.5</v>
      </c>
      <c r="I2393" t="s">
        <v>15</v>
      </c>
      <c r="J2393" t="s">
        <v>15</v>
      </c>
      <c r="K2393">
        <v>1.35</v>
      </c>
      <c r="L2393">
        <v>0</v>
      </c>
    </row>
    <row r="2394" spans="1:12" x14ac:dyDescent="0.3">
      <c r="A2394" t="s">
        <v>2410</v>
      </c>
      <c r="B2394" t="s">
        <v>13</v>
      </c>
      <c r="C2394">
        <v>3299</v>
      </c>
      <c r="D2394">
        <v>56.08</v>
      </c>
      <c r="E2394">
        <v>10.09</v>
      </c>
      <c r="F2394">
        <f>COUNTIFS(mdr_rate_cleaned!$A$2:$A$10,B2394,mdr_rate_cleaned!$B$2:$B$10,"&lt;"&amp;C2394,mdr_rate_cleaned!$F$2:$F$10,"&gt;="&amp;C2394)</f>
        <v>1</v>
      </c>
      <c r="G2394">
        <v>1.7000000000000001E-2</v>
      </c>
      <c r="H2394">
        <v>56.08</v>
      </c>
      <c r="I2394" t="s">
        <v>15</v>
      </c>
      <c r="J2394" t="s">
        <v>15</v>
      </c>
      <c r="K2394">
        <v>10.09</v>
      </c>
      <c r="L2394">
        <v>0</v>
      </c>
    </row>
    <row r="2395" spans="1:12" x14ac:dyDescent="0.3">
      <c r="A2395" t="s">
        <v>2411</v>
      </c>
      <c r="B2395" t="s">
        <v>17</v>
      </c>
      <c r="C2395">
        <v>5998</v>
      </c>
      <c r="D2395">
        <v>95.97</v>
      </c>
      <c r="E2395">
        <v>17.27</v>
      </c>
      <c r="F2395">
        <f>COUNTIFS(mdr_rate_cleaned!$A$2:$A$10,B2395,mdr_rate_cleaned!$B$2:$B$10,"&lt;"&amp;C2395,mdr_rate_cleaned!$F$2:$F$10,"&gt;="&amp;C2395)</f>
        <v>1</v>
      </c>
      <c r="G2395">
        <v>1.6E-2</v>
      </c>
      <c r="H2395">
        <v>95.97</v>
      </c>
      <c r="I2395" t="s">
        <v>15</v>
      </c>
      <c r="J2395" t="s">
        <v>15</v>
      </c>
      <c r="K2395">
        <v>17.27</v>
      </c>
      <c r="L2395">
        <v>0</v>
      </c>
    </row>
    <row r="2396" spans="1:12" x14ac:dyDescent="0.3">
      <c r="A2396" t="s">
        <v>2412</v>
      </c>
      <c r="B2396" t="s">
        <v>21</v>
      </c>
      <c r="C2396">
        <v>799</v>
      </c>
      <c r="D2396">
        <v>0</v>
      </c>
      <c r="E2396">
        <v>0</v>
      </c>
      <c r="F2396">
        <f>COUNTIFS(mdr_rate_cleaned!$A$2:$A$10,B2396,mdr_rate_cleaned!$B$2:$B$10,"&lt;"&amp;C2396,mdr_rate_cleaned!$F$2:$F$10,"&gt;="&amp;C2396)</f>
        <v>1</v>
      </c>
      <c r="G2396">
        <v>0</v>
      </c>
      <c r="H2396">
        <v>0</v>
      </c>
      <c r="I2396" t="s">
        <v>15</v>
      </c>
      <c r="J2396" t="s">
        <v>15</v>
      </c>
      <c r="K2396">
        <v>0</v>
      </c>
      <c r="L2396">
        <v>0</v>
      </c>
    </row>
    <row r="2397" spans="1:12" x14ac:dyDescent="0.3">
      <c r="A2397" t="s">
        <v>2413</v>
      </c>
      <c r="B2397" t="s">
        <v>21</v>
      </c>
      <c r="C2397">
        <v>799</v>
      </c>
      <c r="D2397">
        <v>0</v>
      </c>
      <c r="E2397">
        <v>0</v>
      </c>
      <c r="F2397">
        <f>COUNTIFS(mdr_rate_cleaned!$A$2:$A$10,B2397,mdr_rate_cleaned!$B$2:$B$10,"&lt;"&amp;C2397,mdr_rate_cleaned!$F$2:$F$10,"&gt;="&amp;C2397)</f>
        <v>1</v>
      </c>
      <c r="G2397">
        <v>0</v>
      </c>
      <c r="H2397">
        <v>0</v>
      </c>
      <c r="I2397" t="s">
        <v>15</v>
      </c>
      <c r="J2397" t="s">
        <v>15</v>
      </c>
      <c r="K2397">
        <v>0</v>
      </c>
      <c r="L2397">
        <v>0</v>
      </c>
    </row>
    <row r="2398" spans="1:12" x14ac:dyDescent="0.3">
      <c r="A2398" t="s">
        <v>2414</v>
      </c>
      <c r="B2398" t="s">
        <v>13</v>
      </c>
      <c r="C2398">
        <v>1298</v>
      </c>
      <c r="D2398">
        <v>24.66</v>
      </c>
      <c r="E2398">
        <v>4.4400000000000004</v>
      </c>
      <c r="F2398">
        <f>COUNTIFS(mdr_rate_cleaned!$A$2:$A$10,B2398,mdr_rate_cleaned!$B$2:$B$10,"&lt;"&amp;C2398,mdr_rate_cleaned!$F$2:$F$10,"&gt;="&amp;C2398)</f>
        <v>1</v>
      </c>
      <c r="G2398">
        <v>1.9E-2</v>
      </c>
      <c r="H2398">
        <v>24.66</v>
      </c>
      <c r="I2398" t="s">
        <v>15</v>
      </c>
      <c r="J2398" t="s">
        <v>15</v>
      </c>
      <c r="K2398">
        <v>4.4400000000000004</v>
      </c>
      <c r="L2398">
        <v>0</v>
      </c>
    </row>
    <row r="2399" spans="1:12" x14ac:dyDescent="0.3">
      <c r="A2399" t="s">
        <v>2415</v>
      </c>
      <c r="B2399" t="s">
        <v>21</v>
      </c>
      <c r="C2399">
        <v>999</v>
      </c>
      <c r="D2399">
        <v>0</v>
      </c>
      <c r="E2399">
        <v>0</v>
      </c>
      <c r="F2399">
        <f>COUNTIFS(mdr_rate_cleaned!$A$2:$A$10,B2399,mdr_rate_cleaned!$B$2:$B$10,"&lt;"&amp;C2399,mdr_rate_cleaned!$F$2:$F$10,"&gt;="&amp;C2399)</f>
        <v>1</v>
      </c>
      <c r="G2399">
        <v>0</v>
      </c>
      <c r="H2399">
        <v>0</v>
      </c>
      <c r="I2399" t="s">
        <v>15</v>
      </c>
      <c r="J2399" t="s">
        <v>15</v>
      </c>
      <c r="K2399">
        <v>0</v>
      </c>
      <c r="L2399">
        <v>0</v>
      </c>
    </row>
    <row r="2400" spans="1:12" x14ac:dyDescent="0.3">
      <c r="A2400" t="s">
        <v>2416</v>
      </c>
      <c r="B2400" t="s">
        <v>21</v>
      </c>
      <c r="C2400">
        <v>599</v>
      </c>
      <c r="D2400">
        <v>0</v>
      </c>
      <c r="E2400">
        <v>0</v>
      </c>
      <c r="F2400">
        <f>COUNTIFS(mdr_rate_cleaned!$A$2:$A$10,B2400,mdr_rate_cleaned!$B$2:$B$10,"&lt;"&amp;C2400,mdr_rate_cleaned!$F$2:$F$10,"&gt;="&amp;C2400)</f>
        <v>1</v>
      </c>
      <c r="G2400">
        <v>0</v>
      </c>
      <c r="H2400">
        <v>0</v>
      </c>
      <c r="I2400" t="s">
        <v>15</v>
      </c>
      <c r="J2400" t="s">
        <v>15</v>
      </c>
      <c r="K2400">
        <v>0</v>
      </c>
      <c r="L2400">
        <v>0</v>
      </c>
    </row>
    <row r="2401" spans="1:12" x14ac:dyDescent="0.3">
      <c r="A2401" t="s">
        <v>2417</v>
      </c>
      <c r="B2401" t="s">
        <v>13</v>
      </c>
      <c r="C2401">
        <v>4999</v>
      </c>
      <c r="D2401">
        <v>84.98</v>
      </c>
      <c r="E2401">
        <v>15.3</v>
      </c>
      <c r="F2401">
        <f>COUNTIFS(mdr_rate_cleaned!$A$2:$A$10,B2401,mdr_rate_cleaned!$B$2:$B$10,"&lt;"&amp;C2401,mdr_rate_cleaned!$F$2:$F$10,"&gt;="&amp;C2401)</f>
        <v>1</v>
      </c>
      <c r="G2401">
        <v>1.7000000000000001E-2</v>
      </c>
      <c r="H2401">
        <v>84.98</v>
      </c>
      <c r="I2401" t="s">
        <v>15</v>
      </c>
      <c r="J2401" t="s">
        <v>15</v>
      </c>
      <c r="K2401">
        <v>15.3</v>
      </c>
      <c r="L2401">
        <v>0</v>
      </c>
    </row>
    <row r="2402" spans="1:12" x14ac:dyDescent="0.3">
      <c r="A2402" t="s">
        <v>2418</v>
      </c>
      <c r="B2402" t="s">
        <v>17</v>
      </c>
      <c r="C2402">
        <v>6998</v>
      </c>
      <c r="D2402">
        <v>111.97</v>
      </c>
      <c r="E2402">
        <v>20.149999999999999</v>
      </c>
      <c r="F2402">
        <f>COUNTIFS(mdr_rate_cleaned!$A$2:$A$10,B2402,mdr_rate_cleaned!$B$2:$B$10,"&lt;"&amp;C2402,mdr_rate_cleaned!$F$2:$F$10,"&gt;="&amp;C2402)</f>
        <v>1</v>
      </c>
      <c r="G2402">
        <v>1.6E-2</v>
      </c>
      <c r="H2402">
        <v>111.97</v>
      </c>
      <c r="I2402" t="s">
        <v>15</v>
      </c>
      <c r="J2402" t="s">
        <v>15</v>
      </c>
      <c r="K2402">
        <v>20.149999999999999</v>
      </c>
      <c r="L2402">
        <v>0</v>
      </c>
    </row>
    <row r="2403" spans="1:12" x14ac:dyDescent="0.3">
      <c r="A2403" t="s">
        <v>2419</v>
      </c>
      <c r="B2403" t="s">
        <v>21</v>
      </c>
      <c r="C2403">
        <v>4999</v>
      </c>
      <c r="D2403">
        <v>15</v>
      </c>
      <c r="E2403">
        <v>2.7</v>
      </c>
      <c r="F2403">
        <f>COUNTIFS(mdr_rate_cleaned!$A$2:$A$10,B2403,mdr_rate_cleaned!$B$2:$B$10,"&lt;"&amp;C2403,mdr_rate_cleaned!$F$2:$F$10,"&gt;="&amp;C2403)</f>
        <v>1</v>
      </c>
      <c r="G2403">
        <v>3.0000000000000001E-3</v>
      </c>
      <c r="H2403">
        <v>15</v>
      </c>
      <c r="I2403" t="s">
        <v>15</v>
      </c>
      <c r="J2403" t="s">
        <v>15</v>
      </c>
      <c r="K2403">
        <v>2.7</v>
      </c>
      <c r="L2403">
        <v>0</v>
      </c>
    </row>
    <row r="2404" spans="1:12" x14ac:dyDescent="0.3">
      <c r="A2404" t="s">
        <v>2420</v>
      </c>
      <c r="B2404" t="s">
        <v>21</v>
      </c>
      <c r="C2404">
        <v>2999</v>
      </c>
      <c r="D2404">
        <v>9</v>
      </c>
      <c r="E2404">
        <v>1.62</v>
      </c>
      <c r="F2404">
        <f>COUNTIFS(mdr_rate_cleaned!$A$2:$A$10,B2404,mdr_rate_cleaned!$B$2:$B$10,"&lt;"&amp;C2404,mdr_rate_cleaned!$F$2:$F$10,"&gt;="&amp;C2404)</f>
        <v>1</v>
      </c>
      <c r="G2404">
        <v>3.0000000000000001E-3</v>
      </c>
      <c r="H2404">
        <v>9</v>
      </c>
      <c r="I2404" t="s">
        <v>15</v>
      </c>
      <c r="J2404" t="s">
        <v>15</v>
      </c>
      <c r="K2404">
        <v>1.62</v>
      </c>
      <c r="L2404">
        <v>0</v>
      </c>
    </row>
    <row r="2405" spans="1:12" x14ac:dyDescent="0.3">
      <c r="A2405" t="s">
        <v>2421</v>
      </c>
      <c r="B2405" t="s">
        <v>21</v>
      </c>
      <c r="C2405">
        <v>2147</v>
      </c>
      <c r="D2405">
        <v>6.44</v>
      </c>
      <c r="E2405">
        <v>1.1599999999999999</v>
      </c>
      <c r="F2405">
        <f>COUNTIFS(mdr_rate_cleaned!$A$2:$A$10,B2405,mdr_rate_cleaned!$B$2:$B$10,"&lt;"&amp;C2405,mdr_rate_cleaned!$F$2:$F$10,"&gt;="&amp;C2405)</f>
        <v>1</v>
      </c>
      <c r="G2405">
        <v>3.0000000000000001E-3</v>
      </c>
      <c r="H2405">
        <v>6.44</v>
      </c>
      <c r="I2405" t="s">
        <v>15</v>
      </c>
      <c r="J2405" t="s">
        <v>15</v>
      </c>
      <c r="K2405">
        <v>1.1599999999999999</v>
      </c>
      <c r="L2405">
        <v>0</v>
      </c>
    </row>
    <row r="2406" spans="1:12" x14ac:dyDescent="0.3">
      <c r="A2406" t="s">
        <v>2422</v>
      </c>
      <c r="B2406" t="s">
        <v>21</v>
      </c>
      <c r="C2406">
        <v>4897</v>
      </c>
      <c r="D2406">
        <v>14.69</v>
      </c>
      <c r="E2406">
        <v>2.64</v>
      </c>
      <c r="F2406">
        <f>COUNTIFS(mdr_rate_cleaned!$A$2:$A$10,B2406,mdr_rate_cleaned!$B$2:$B$10,"&lt;"&amp;C2406,mdr_rate_cleaned!$F$2:$F$10,"&gt;="&amp;C2406)</f>
        <v>1</v>
      </c>
      <c r="G2406">
        <v>3.0000000000000001E-3</v>
      </c>
      <c r="H2406">
        <v>14.69</v>
      </c>
      <c r="I2406" t="s">
        <v>15</v>
      </c>
      <c r="J2406" t="s">
        <v>15</v>
      </c>
      <c r="K2406">
        <v>2.64</v>
      </c>
      <c r="L2406">
        <v>0</v>
      </c>
    </row>
    <row r="2407" spans="1:12" x14ac:dyDescent="0.3">
      <c r="A2407" t="s">
        <v>2423</v>
      </c>
      <c r="B2407" t="s">
        <v>17</v>
      </c>
      <c r="C2407">
        <v>4999</v>
      </c>
      <c r="D2407">
        <v>79.98</v>
      </c>
      <c r="E2407">
        <v>14.4</v>
      </c>
      <c r="F2407">
        <f>COUNTIFS(mdr_rate_cleaned!$A$2:$A$10,B2407,mdr_rate_cleaned!$B$2:$B$10,"&lt;"&amp;C2407,mdr_rate_cleaned!$F$2:$F$10,"&gt;="&amp;C2407)</f>
        <v>1</v>
      </c>
      <c r="G2407">
        <v>1.6E-2</v>
      </c>
      <c r="H2407">
        <v>79.98</v>
      </c>
      <c r="I2407" t="s">
        <v>15</v>
      </c>
      <c r="J2407" t="s">
        <v>15</v>
      </c>
      <c r="K2407">
        <v>14.4</v>
      </c>
      <c r="L2407">
        <v>0</v>
      </c>
    </row>
    <row r="2408" spans="1:12" x14ac:dyDescent="0.3">
      <c r="A2408" t="s">
        <v>2424</v>
      </c>
      <c r="B2408" t="s">
        <v>17</v>
      </c>
      <c r="C2408">
        <v>9498</v>
      </c>
      <c r="D2408">
        <v>151.97</v>
      </c>
      <c r="E2408">
        <v>27.35</v>
      </c>
      <c r="F2408">
        <f>COUNTIFS(mdr_rate_cleaned!$A$2:$A$10,B2408,mdr_rate_cleaned!$B$2:$B$10,"&lt;"&amp;C2408,mdr_rate_cleaned!$F$2:$F$10,"&gt;="&amp;C2408)</f>
        <v>1</v>
      </c>
      <c r="G2408">
        <v>1.6E-2</v>
      </c>
      <c r="H2408">
        <v>151.97</v>
      </c>
      <c r="I2408" t="s">
        <v>15</v>
      </c>
      <c r="J2408" t="s">
        <v>15</v>
      </c>
      <c r="K2408">
        <v>27.35</v>
      </c>
      <c r="L2408">
        <v>0</v>
      </c>
    </row>
    <row r="2409" spans="1:12" x14ac:dyDescent="0.3">
      <c r="A2409" t="s">
        <v>2425</v>
      </c>
      <c r="B2409" t="s">
        <v>21</v>
      </c>
      <c r="C2409">
        <v>1799</v>
      </c>
      <c r="D2409">
        <v>0</v>
      </c>
      <c r="E2409">
        <v>0</v>
      </c>
      <c r="F2409">
        <f>COUNTIFS(mdr_rate_cleaned!$A$2:$A$10,B2409,mdr_rate_cleaned!$B$2:$B$10,"&lt;"&amp;C2409,mdr_rate_cleaned!$F$2:$F$10,"&gt;="&amp;C2409)</f>
        <v>1</v>
      </c>
      <c r="G2409">
        <v>0</v>
      </c>
      <c r="H2409">
        <v>0</v>
      </c>
      <c r="I2409" t="s">
        <v>15</v>
      </c>
      <c r="J2409" t="s">
        <v>15</v>
      </c>
      <c r="K2409">
        <v>0</v>
      </c>
      <c r="L2409">
        <v>0</v>
      </c>
    </row>
    <row r="2410" spans="1:12" x14ac:dyDescent="0.3">
      <c r="A2410" t="s">
        <v>2426</v>
      </c>
      <c r="B2410" t="s">
        <v>13</v>
      </c>
      <c r="C2410">
        <v>599</v>
      </c>
      <c r="D2410">
        <v>11.38</v>
      </c>
      <c r="E2410">
        <v>2.0499999999999998</v>
      </c>
      <c r="F2410">
        <f>COUNTIFS(mdr_rate_cleaned!$A$2:$A$10,B2410,mdr_rate_cleaned!$B$2:$B$10,"&lt;"&amp;C2410,mdr_rate_cleaned!$F$2:$F$10,"&gt;="&amp;C2410)</f>
        <v>1</v>
      </c>
      <c r="G2410">
        <v>1.9E-2</v>
      </c>
      <c r="H2410">
        <v>11.38</v>
      </c>
      <c r="I2410" t="s">
        <v>15</v>
      </c>
      <c r="J2410" t="s">
        <v>15</v>
      </c>
      <c r="K2410">
        <v>2.0499999999999998</v>
      </c>
      <c r="L2410">
        <v>0</v>
      </c>
    </row>
    <row r="2411" spans="1:12" x14ac:dyDescent="0.3">
      <c r="A2411" t="s">
        <v>2427</v>
      </c>
      <c r="B2411" t="s">
        <v>39</v>
      </c>
      <c r="C2411">
        <v>4999</v>
      </c>
      <c r="D2411">
        <v>59.99</v>
      </c>
      <c r="E2411">
        <v>10.8</v>
      </c>
      <c r="F2411">
        <f>COUNTIFS(mdr_rate_cleaned!$A$2:$A$10,B2411,mdr_rate_cleaned!$B$2:$B$10,"&lt;"&amp;C2411,mdr_rate_cleaned!$F$2:$F$10,"&gt;="&amp;C2411)</f>
        <v>1</v>
      </c>
      <c r="G2411">
        <v>1.2E-2</v>
      </c>
      <c r="H2411">
        <v>59.99</v>
      </c>
      <c r="I2411" t="s">
        <v>15</v>
      </c>
      <c r="J2411" t="s">
        <v>15</v>
      </c>
      <c r="K2411">
        <v>10.8</v>
      </c>
      <c r="L2411">
        <v>0</v>
      </c>
    </row>
    <row r="2412" spans="1:12" x14ac:dyDescent="0.3">
      <c r="A2412" t="s">
        <v>2428</v>
      </c>
      <c r="B2412" t="s">
        <v>21</v>
      </c>
      <c r="C2412">
        <v>3848</v>
      </c>
      <c r="D2412">
        <v>11.54</v>
      </c>
      <c r="E2412">
        <v>2.08</v>
      </c>
      <c r="F2412">
        <f>COUNTIFS(mdr_rate_cleaned!$A$2:$A$10,B2412,mdr_rate_cleaned!$B$2:$B$10,"&lt;"&amp;C2412,mdr_rate_cleaned!$F$2:$F$10,"&gt;="&amp;C2412)</f>
        <v>1</v>
      </c>
      <c r="G2412">
        <v>3.0000000000000001E-3</v>
      </c>
      <c r="H2412">
        <v>11.54</v>
      </c>
      <c r="I2412" t="s">
        <v>15</v>
      </c>
      <c r="J2412" t="s">
        <v>15</v>
      </c>
      <c r="K2412">
        <v>2.08</v>
      </c>
      <c r="L2412">
        <v>0</v>
      </c>
    </row>
    <row r="2413" spans="1:12" x14ac:dyDescent="0.3">
      <c r="A2413" t="s">
        <v>2429</v>
      </c>
      <c r="B2413" t="s">
        <v>21</v>
      </c>
      <c r="C2413">
        <v>599</v>
      </c>
      <c r="D2413">
        <v>0</v>
      </c>
      <c r="E2413">
        <v>0</v>
      </c>
      <c r="F2413">
        <f>COUNTIFS(mdr_rate_cleaned!$A$2:$A$10,B2413,mdr_rate_cleaned!$B$2:$B$10,"&lt;"&amp;C2413,mdr_rate_cleaned!$F$2:$F$10,"&gt;="&amp;C2413)</f>
        <v>1</v>
      </c>
      <c r="G2413">
        <v>0</v>
      </c>
      <c r="H2413">
        <v>0</v>
      </c>
      <c r="I2413" t="s">
        <v>15</v>
      </c>
      <c r="J2413" t="s">
        <v>15</v>
      </c>
      <c r="K2413">
        <v>0</v>
      </c>
      <c r="L2413">
        <v>0</v>
      </c>
    </row>
    <row r="2414" spans="1:12" x14ac:dyDescent="0.3">
      <c r="A2414" t="s">
        <v>2430</v>
      </c>
      <c r="B2414" t="s">
        <v>17</v>
      </c>
      <c r="C2414">
        <v>7999</v>
      </c>
      <c r="D2414">
        <v>127.98</v>
      </c>
      <c r="E2414">
        <v>23.04</v>
      </c>
      <c r="F2414">
        <f>COUNTIFS(mdr_rate_cleaned!$A$2:$A$10,B2414,mdr_rate_cleaned!$B$2:$B$10,"&lt;"&amp;C2414,mdr_rate_cleaned!$F$2:$F$10,"&gt;="&amp;C2414)</f>
        <v>1</v>
      </c>
      <c r="G2414">
        <v>1.6E-2</v>
      </c>
      <c r="H2414">
        <v>127.98</v>
      </c>
      <c r="I2414" t="s">
        <v>15</v>
      </c>
      <c r="J2414" t="s">
        <v>15</v>
      </c>
      <c r="K2414">
        <v>23.04</v>
      </c>
      <c r="L2414">
        <v>0</v>
      </c>
    </row>
    <row r="2415" spans="1:12" x14ac:dyDescent="0.3">
      <c r="A2415" t="s">
        <v>2431</v>
      </c>
      <c r="B2415" t="s">
        <v>21</v>
      </c>
      <c r="C2415">
        <v>8498</v>
      </c>
      <c r="D2415">
        <v>25.49</v>
      </c>
      <c r="E2415">
        <v>4.59</v>
      </c>
      <c r="F2415">
        <f>COUNTIFS(mdr_rate_cleaned!$A$2:$A$10,B2415,mdr_rate_cleaned!$B$2:$B$10,"&lt;"&amp;C2415,mdr_rate_cleaned!$F$2:$F$10,"&gt;="&amp;C2415)</f>
        <v>1</v>
      </c>
      <c r="G2415">
        <v>3.0000000000000001E-3</v>
      </c>
      <c r="H2415">
        <v>25.49</v>
      </c>
      <c r="I2415" t="s">
        <v>15</v>
      </c>
      <c r="J2415" t="s">
        <v>15</v>
      </c>
      <c r="K2415">
        <v>4.59</v>
      </c>
      <c r="L2415">
        <v>0</v>
      </c>
    </row>
    <row r="2416" spans="1:12" x14ac:dyDescent="0.3">
      <c r="A2416" t="s">
        <v>2432</v>
      </c>
      <c r="B2416" t="s">
        <v>13</v>
      </c>
      <c r="C2416">
        <v>10498</v>
      </c>
      <c r="D2416">
        <v>178.47</v>
      </c>
      <c r="E2416">
        <v>32.119999999999997</v>
      </c>
      <c r="F2416">
        <f>COUNTIFS(mdr_rate_cleaned!$A$2:$A$10,B2416,mdr_rate_cleaned!$B$2:$B$10,"&lt;"&amp;C2416,mdr_rate_cleaned!$F$2:$F$10,"&gt;="&amp;C2416)</f>
        <v>1</v>
      </c>
      <c r="G2416">
        <v>1.7000000000000001E-2</v>
      </c>
      <c r="H2416">
        <v>178.47</v>
      </c>
      <c r="I2416" t="s">
        <v>15</v>
      </c>
      <c r="J2416" t="s">
        <v>15</v>
      </c>
      <c r="K2416">
        <v>32.119999999999997</v>
      </c>
      <c r="L2416">
        <v>0</v>
      </c>
    </row>
    <row r="2417" spans="1:12" x14ac:dyDescent="0.3">
      <c r="A2417" t="s">
        <v>2433</v>
      </c>
      <c r="B2417" t="s">
        <v>17</v>
      </c>
      <c r="C2417">
        <v>4999</v>
      </c>
      <c r="D2417">
        <v>79.98</v>
      </c>
      <c r="E2417">
        <v>14.4</v>
      </c>
      <c r="F2417">
        <f>COUNTIFS(mdr_rate_cleaned!$A$2:$A$10,B2417,mdr_rate_cleaned!$B$2:$B$10,"&lt;"&amp;C2417,mdr_rate_cleaned!$F$2:$F$10,"&gt;="&amp;C2417)</f>
        <v>1</v>
      </c>
      <c r="G2417">
        <v>1.6E-2</v>
      </c>
      <c r="H2417">
        <v>79.98</v>
      </c>
      <c r="I2417" t="s">
        <v>15</v>
      </c>
      <c r="J2417" t="s">
        <v>15</v>
      </c>
      <c r="K2417">
        <v>14.4</v>
      </c>
      <c r="L2417">
        <v>0</v>
      </c>
    </row>
    <row r="2418" spans="1:12" x14ac:dyDescent="0.3">
      <c r="A2418" t="s">
        <v>2434</v>
      </c>
      <c r="B2418" t="s">
        <v>13</v>
      </c>
      <c r="C2418">
        <v>1898</v>
      </c>
      <c r="D2418">
        <v>36.06</v>
      </c>
      <c r="E2418">
        <v>6.49</v>
      </c>
      <c r="F2418">
        <f>COUNTIFS(mdr_rate_cleaned!$A$2:$A$10,B2418,mdr_rate_cleaned!$B$2:$B$10,"&lt;"&amp;C2418,mdr_rate_cleaned!$F$2:$F$10,"&gt;="&amp;C2418)</f>
        <v>1</v>
      </c>
      <c r="G2418">
        <v>1.9E-2</v>
      </c>
      <c r="H2418">
        <v>36.06</v>
      </c>
      <c r="I2418" t="s">
        <v>15</v>
      </c>
      <c r="J2418" t="s">
        <v>15</v>
      </c>
      <c r="K2418">
        <v>6.49</v>
      </c>
      <c r="L2418">
        <v>0</v>
      </c>
    </row>
    <row r="2419" spans="1:12" x14ac:dyDescent="0.3">
      <c r="A2419" t="s">
        <v>2435</v>
      </c>
      <c r="B2419" t="s">
        <v>21</v>
      </c>
      <c r="C2419">
        <v>1499</v>
      </c>
      <c r="D2419">
        <v>0</v>
      </c>
      <c r="E2419">
        <v>0</v>
      </c>
      <c r="F2419">
        <f>COUNTIFS(mdr_rate_cleaned!$A$2:$A$10,B2419,mdr_rate_cleaned!$B$2:$B$10,"&lt;"&amp;C2419,mdr_rate_cleaned!$F$2:$F$10,"&gt;="&amp;C2419)</f>
        <v>1</v>
      </c>
      <c r="G2419">
        <v>0</v>
      </c>
      <c r="H2419">
        <v>0</v>
      </c>
      <c r="I2419" t="s">
        <v>15</v>
      </c>
      <c r="J2419" t="s">
        <v>15</v>
      </c>
      <c r="K2419">
        <v>0</v>
      </c>
      <c r="L2419">
        <v>0</v>
      </c>
    </row>
    <row r="2420" spans="1:12" x14ac:dyDescent="0.3">
      <c r="A2420" t="s">
        <v>2436</v>
      </c>
      <c r="B2420" t="s">
        <v>21</v>
      </c>
      <c r="C2420">
        <v>798</v>
      </c>
      <c r="D2420">
        <v>0</v>
      </c>
      <c r="E2420">
        <v>0</v>
      </c>
      <c r="F2420">
        <f>COUNTIFS(mdr_rate_cleaned!$A$2:$A$10,B2420,mdr_rate_cleaned!$B$2:$B$10,"&lt;"&amp;C2420,mdr_rate_cleaned!$F$2:$F$10,"&gt;="&amp;C2420)</f>
        <v>1</v>
      </c>
      <c r="G2420">
        <v>0</v>
      </c>
      <c r="H2420">
        <v>0</v>
      </c>
      <c r="I2420" t="s">
        <v>15</v>
      </c>
      <c r="J2420" t="s">
        <v>15</v>
      </c>
      <c r="K2420">
        <v>0</v>
      </c>
      <c r="L2420">
        <v>0</v>
      </c>
    </row>
    <row r="2421" spans="1:12" x14ac:dyDescent="0.3">
      <c r="A2421" t="s">
        <v>2437</v>
      </c>
      <c r="B2421" t="s">
        <v>21</v>
      </c>
      <c r="C2421">
        <v>5997</v>
      </c>
      <c r="D2421">
        <v>17.989999999999998</v>
      </c>
      <c r="E2421">
        <v>3.24</v>
      </c>
      <c r="F2421">
        <f>COUNTIFS(mdr_rate_cleaned!$A$2:$A$10,B2421,mdr_rate_cleaned!$B$2:$B$10,"&lt;"&amp;C2421,mdr_rate_cleaned!$F$2:$F$10,"&gt;="&amp;C2421)</f>
        <v>1</v>
      </c>
      <c r="G2421">
        <v>3.0000000000000001E-3</v>
      </c>
      <c r="H2421">
        <v>17.989999999999998</v>
      </c>
      <c r="I2421" t="s">
        <v>15</v>
      </c>
      <c r="J2421" t="s">
        <v>15</v>
      </c>
      <c r="K2421">
        <v>3.24</v>
      </c>
      <c r="L2421">
        <v>0</v>
      </c>
    </row>
    <row r="2422" spans="1:12" x14ac:dyDescent="0.3">
      <c r="A2422" t="s">
        <v>2438</v>
      </c>
      <c r="B2422" t="s">
        <v>21</v>
      </c>
      <c r="C2422">
        <v>4297</v>
      </c>
      <c r="D2422">
        <v>12.89</v>
      </c>
      <c r="E2422">
        <v>2.3199999999999998</v>
      </c>
      <c r="F2422">
        <f>COUNTIFS(mdr_rate_cleaned!$A$2:$A$10,B2422,mdr_rate_cleaned!$B$2:$B$10,"&lt;"&amp;C2422,mdr_rate_cleaned!$F$2:$F$10,"&gt;="&amp;C2422)</f>
        <v>1</v>
      </c>
      <c r="G2422">
        <v>3.0000000000000001E-3</v>
      </c>
      <c r="H2422">
        <v>12.89</v>
      </c>
      <c r="I2422" t="s">
        <v>15</v>
      </c>
      <c r="J2422" t="s">
        <v>15</v>
      </c>
      <c r="K2422">
        <v>2.3199999999999998</v>
      </c>
      <c r="L2422">
        <v>0</v>
      </c>
    </row>
    <row r="2423" spans="1:12" x14ac:dyDescent="0.3">
      <c r="A2423" t="s">
        <v>2439</v>
      </c>
      <c r="B2423" t="s">
        <v>17</v>
      </c>
      <c r="C2423">
        <v>8797</v>
      </c>
      <c r="D2423">
        <v>140.75</v>
      </c>
      <c r="E2423">
        <v>25.34</v>
      </c>
      <c r="F2423">
        <f>COUNTIFS(mdr_rate_cleaned!$A$2:$A$10,B2423,mdr_rate_cleaned!$B$2:$B$10,"&lt;"&amp;C2423,mdr_rate_cleaned!$F$2:$F$10,"&gt;="&amp;C2423)</f>
        <v>1</v>
      </c>
      <c r="G2423">
        <v>1.6E-2</v>
      </c>
      <c r="H2423">
        <v>140.75</v>
      </c>
      <c r="I2423" t="s">
        <v>15</v>
      </c>
      <c r="J2423" t="s">
        <v>15</v>
      </c>
      <c r="K2423">
        <v>25.34</v>
      </c>
      <c r="L2423">
        <v>0</v>
      </c>
    </row>
    <row r="2424" spans="1:12" x14ac:dyDescent="0.3">
      <c r="A2424" t="s">
        <v>2440</v>
      </c>
      <c r="B2424" t="s">
        <v>21</v>
      </c>
      <c r="C2424">
        <v>3897</v>
      </c>
      <c r="D2424">
        <v>11.69</v>
      </c>
      <c r="E2424">
        <v>2.1</v>
      </c>
      <c r="F2424">
        <f>COUNTIFS(mdr_rate_cleaned!$A$2:$A$10,B2424,mdr_rate_cleaned!$B$2:$B$10,"&lt;"&amp;C2424,mdr_rate_cleaned!$F$2:$F$10,"&gt;="&amp;C2424)</f>
        <v>1</v>
      </c>
      <c r="G2424">
        <v>3.0000000000000001E-3</v>
      </c>
      <c r="H2424">
        <v>11.69</v>
      </c>
      <c r="I2424" t="s">
        <v>15</v>
      </c>
      <c r="J2424" t="s">
        <v>15</v>
      </c>
      <c r="K2424">
        <v>2.1</v>
      </c>
      <c r="L2424">
        <v>0</v>
      </c>
    </row>
    <row r="2425" spans="1:12" x14ac:dyDescent="0.3">
      <c r="A2425" t="s">
        <v>2441</v>
      </c>
      <c r="B2425" t="s">
        <v>21</v>
      </c>
      <c r="C2425">
        <v>1799</v>
      </c>
      <c r="D2425">
        <v>0</v>
      </c>
      <c r="E2425">
        <v>0</v>
      </c>
      <c r="F2425">
        <f>COUNTIFS(mdr_rate_cleaned!$A$2:$A$10,B2425,mdr_rate_cleaned!$B$2:$B$10,"&lt;"&amp;C2425,mdr_rate_cleaned!$F$2:$F$10,"&gt;="&amp;C2425)</f>
        <v>1</v>
      </c>
      <c r="G2425">
        <v>0</v>
      </c>
      <c r="H2425">
        <v>0</v>
      </c>
      <c r="I2425" t="s">
        <v>15</v>
      </c>
      <c r="J2425" t="s">
        <v>15</v>
      </c>
      <c r="K2425">
        <v>0</v>
      </c>
      <c r="L2425">
        <v>0</v>
      </c>
    </row>
    <row r="2426" spans="1:12" x14ac:dyDescent="0.3">
      <c r="A2426" t="s">
        <v>2442</v>
      </c>
      <c r="B2426" t="s">
        <v>21</v>
      </c>
      <c r="C2426">
        <v>10297</v>
      </c>
      <c r="D2426">
        <v>30.89</v>
      </c>
      <c r="E2426">
        <v>5.56</v>
      </c>
      <c r="F2426">
        <f>COUNTIFS(mdr_rate_cleaned!$A$2:$A$10,B2426,mdr_rate_cleaned!$B$2:$B$10,"&lt;"&amp;C2426,mdr_rate_cleaned!$F$2:$F$10,"&gt;="&amp;C2426)</f>
        <v>1</v>
      </c>
      <c r="G2426">
        <v>3.0000000000000001E-3</v>
      </c>
      <c r="H2426">
        <v>30.89</v>
      </c>
      <c r="I2426" t="s">
        <v>15</v>
      </c>
      <c r="J2426" t="s">
        <v>15</v>
      </c>
      <c r="K2426">
        <v>5.56</v>
      </c>
      <c r="L2426">
        <v>0</v>
      </c>
    </row>
    <row r="2427" spans="1:12" x14ac:dyDescent="0.3">
      <c r="A2427" t="s">
        <v>2443</v>
      </c>
      <c r="B2427" t="s">
        <v>21</v>
      </c>
      <c r="C2427">
        <v>1799</v>
      </c>
      <c r="D2427">
        <v>0</v>
      </c>
      <c r="E2427">
        <v>0</v>
      </c>
      <c r="F2427">
        <f>COUNTIFS(mdr_rate_cleaned!$A$2:$A$10,B2427,mdr_rate_cleaned!$B$2:$B$10,"&lt;"&amp;C2427,mdr_rate_cleaned!$F$2:$F$10,"&gt;="&amp;C2427)</f>
        <v>1</v>
      </c>
      <c r="G2427">
        <v>0</v>
      </c>
      <c r="H2427">
        <v>0</v>
      </c>
      <c r="I2427" t="s">
        <v>15</v>
      </c>
      <c r="J2427" t="s">
        <v>15</v>
      </c>
      <c r="K2427">
        <v>0</v>
      </c>
      <c r="L2427">
        <v>0</v>
      </c>
    </row>
    <row r="2428" spans="1:12" x14ac:dyDescent="0.3">
      <c r="A2428" t="s">
        <v>2444</v>
      </c>
      <c r="B2428" t="s">
        <v>17</v>
      </c>
      <c r="C2428">
        <v>3499</v>
      </c>
      <c r="D2428">
        <v>55.98</v>
      </c>
      <c r="E2428">
        <v>10.08</v>
      </c>
      <c r="F2428">
        <f>COUNTIFS(mdr_rate_cleaned!$A$2:$A$10,B2428,mdr_rate_cleaned!$B$2:$B$10,"&lt;"&amp;C2428,mdr_rate_cleaned!$F$2:$F$10,"&gt;="&amp;C2428)</f>
        <v>1</v>
      </c>
      <c r="G2428">
        <v>1.6E-2</v>
      </c>
      <c r="H2428">
        <v>55.98</v>
      </c>
      <c r="I2428" t="s">
        <v>15</v>
      </c>
      <c r="J2428" t="s">
        <v>15</v>
      </c>
      <c r="K2428">
        <v>10.08</v>
      </c>
      <c r="L2428">
        <v>0</v>
      </c>
    </row>
    <row r="2429" spans="1:12" x14ac:dyDescent="0.3">
      <c r="A2429" t="s">
        <v>2445</v>
      </c>
      <c r="B2429" t="s">
        <v>21</v>
      </c>
      <c r="C2429">
        <v>799</v>
      </c>
      <c r="D2429">
        <v>0</v>
      </c>
      <c r="E2429">
        <v>0</v>
      </c>
      <c r="F2429">
        <f>COUNTIFS(mdr_rate_cleaned!$A$2:$A$10,B2429,mdr_rate_cleaned!$B$2:$B$10,"&lt;"&amp;C2429,mdr_rate_cleaned!$F$2:$F$10,"&gt;="&amp;C2429)</f>
        <v>1</v>
      </c>
      <c r="G2429">
        <v>0</v>
      </c>
      <c r="H2429">
        <v>0</v>
      </c>
      <c r="I2429" t="s">
        <v>15</v>
      </c>
      <c r="J2429" t="s">
        <v>15</v>
      </c>
      <c r="K2429">
        <v>0</v>
      </c>
      <c r="L2429">
        <v>0</v>
      </c>
    </row>
    <row r="2430" spans="1:12" x14ac:dyDescent="0.3">
      <c r="A2430" t="s">
        <v>2446</v>
      </c>
      <c r="B2430" t="s">
        <v>17</v>
      </c>
      <c r="C2430">
        <v>3498</v>
      </c>
      <c r="D2430">
        <v>55.97</v>
      </c>
      <c r="E2430">
        <v>10.07</v>
      </c>
      <c r="F2430">
        <f>COUNTIFS(mdr_rate_cleaned!$A$2:$A$10,B2430,mdr_rate_cleaned!$B$2:$B$10,"&lt;"&amp;C2430,mdr_rate_cleaned!$F$2:$F$10,"&gt;="&amp;C2430)</f>
        <v>1</v>
      </c>
      <c r="G2430">
        <v>1.6E-2</v>
      </c>
      <c r="H2430">
        <v>55.97</v>
      </c>
      <c r="I2430" t="s">
        <v>15</v>
      </c>
      <c r="J2430" t="s">
        <v>15</v>
      </c>
      <c r="K2430">
        <v>10.07</v>
      </c>
      <c r="L2430">
        <v>0</v>
      </c>
    </row>
    <row r="2431" spans="1:12" x14ac:dyDescent="0.3">
      <c r="A2431" t="s">
        <v>2447</v>
      </c>
      <c r="B2431" t="s">
        <v>21</v>
      </c>
      <c r="C2431">
        <v>349</v>
      </c>
      <c r="D2431">
        <v>0</v>
      </c>
      <c r="E2431">
        <v>0</v>
      </c>
      <c r="F2431">
        <f>COUNTIFS(mdr_rate_cleaned!$A$2:$A$10,B2431,mdr_rate_cleaned!$B$2:$B$10,"&lt;"&amp;C2431,mdr_rate_cleaned!$F$2:$F$10,"&gt;="&amp;C2431)</f>
        <v>1</v>
      </c>
      <c r="G2431">
        <v>0</v>
      </c>
      <c r="H2431">
        <v>0</v>
      </c>
      <c r="I2431" t="s">
        <v>15</v>
      </c>
      <c r="J2431" t="s">
        <v>15</v>
      </c>
      <c r="K2431">
        <v>0</v>
      </c>
      <c r="L2431">
        <v>0</v>
      </c>
    </row>
    <row r="2432" spans="1:12" x14ac:dyDescent="0.3">
      <c r="A2432" t="s">
        <v>2448</v>
      </c>
      <c r="B2432" t="s">
        <v>21</v>
      </c>
      <c r="C2432">
        <v>499</v>
      </c>
      <c r="D2432">
        <v>0</v>
      </c>
      <c r="E2432">
        <v>0</v>
      </c>
      <c r="F2432">
        <f>COUNTIFS(mdr_rate_cleaned!$A$2:$A$10,B2432,mdr_rate_cleaned!$B$2:$B$10,"&lt;"&amp;C2432,mdr_rate_cleaned!$F$2:$F$10,"&gt;="&amp;C2432)</f>
        <v>1</v>
      </c>
      <c r="G2432">
        <v>0</v>
      </c>
      <c r="H2432">
        <v>0</v>
      </c>
      <c r="I2432" t="s">
        <v>15</v>
      </c>
      <c r="J2432" t="s">
        <v>15</v>
      </c>
      <c r="K2432">
        <v>0</v>
      </c>
      <c r="L2432">
        <v>0</v>
      </c>
    </row>
    <row r="2433" spans="1:12" x14ac:dyDescent="0.3">
      <c r="A2433" t="s">
        <v>2449</v>
      </c>
      <c r="B2433" t="s">
        <v>13</v>
      </c>
      <c r="C2433">
        <v>5998</v>
      </c>
      <c r="D2433">
        <v>101.97</v>
      </c>
      <c r="E2433">
        <v>18.350000000000001</v>
      </c>
      <c r="F2433">
        <f>COUNTIFS(mdr_rate_cleaned!$A$2:$A$10,B2433,mdr_rate_cleaned!$B$2:$B$10,"&lt;"&amp;C2433,mdr_rate_cleaned!$F$2:$F$10,"&gt;="&amp;C2433)</f>
        <v>1</v>
      </c>
      <c r="G2433">
        <v>1.7000000000000001E-2</v>
      </c>
      <c r="H2433">
        <v>101.97</v>
      </c>
      <c r="I2433" t="s">
        <v>15</v>
      </c>
      <c r="J2433" t="s">
        <v>15</v>
      </c>
      <c r="K2433">
        <v>18.350000000000001</v>
      </c>
      <c r="L2433">
        <v>0</v>
      </c>
    </row>
    <row r="2434" spans="1:12" x14ac:dyDescent="0.3">
      <c r="A2434" t="s">
        <v>2450</v>
      </c>
      <c r="B2434" t="s">
        <v>13</v>
      </c>
      <c r="C2434">
        <v>4999</v>
      </c>
      <c r="D2434">
        <v>84.98</v>
      </c>
      <c r="E2434">
        <v>15.3</v>
      </c>
      <c r="F2434">
        <f>COUNTIFS(mdr_rate_cleaned!$A$2:$A$10,B2434,mdr_rate_cleaned!$B$2:$B$10,"&lt;"&amp;C2434,mdr_rate_cleaned!$F$2:$F$10,"&gt;="&amp;C2434)</f>
        <v>1</v>
      </c>
      <c r="G2434">
        <v>1.7000000000000001E-2</v>
      </c>
      <c r="H2434">
        <v>84.98</v>
      </c>
      <c r="I2434" t="s">
        <v>15</v>
      </c>
      <c r="J2434" t="s">
        <v>15</v>
      </c>
      <c r="K2434">
        <v>15.3</v>
      </c>
      <c r="L2434">
        <v>0</v>
      </c>
    </row>
    <row r="2435" spans="1:12" x14ac:dyDescent="0.3">
      <c r="A2435" t="s">
        <v>2451</v>
      </c>
      <c r="B2435" t="s">
        <v>21</v>
      </c>
      <c r="C2435">
        <v>4999</v>
      </c>
      <c r="D2435">
        <v>15</v>
      </c>
      <c r="E2435">
        <v>2.7</v>
      </c>
      <c r="F2435">
        <f>COUNTIFS(mdr_rate_cleaned!$A$2:$A$10,B2435,mdr_rate_cleaned!$B$2:$B$10,"&lt;"&amp;C2435,mdr_rate_cleaned!$F$2:$F$10,"&gt;="&amp;C2435)</f>
        <v>1</v>
      </c>
      <c r="G2435">
        <v>3.0000000000000001E-3</v>
      </c>
      <c r="H2435">
        <v>15</v>
      </c>
      <c r="I2435" t="s">
        <v>15</v>
      </c>
      <c r="J2435" t="s">
        <v>15</v>
      </c>
      <c r="K2435">
        <v>2.7</v>
      </c>
      <c r="L2435">
        <v>0</v>
      </c>
    </row>
    <row r="2436" spans="1:12" x14ac:dyDescent="0.3">
      <c r="A2436" t="s">
        <v>2452</v>
      </c>
      <c r="B2436" t="s">
        <v>21</v>
      </c>
      <c r="C2436">
        <v>6797</v>
      </c>
      <c r="D2436">
        <v>20.39</v>
      </c>
      <c r="E2436">
        <v>3.67</v>
      </c>
      <c r="F2436">
        <f>COUNTIFS(mdr_rate_cleaned!$A$2:$A$10,B2436,mdr_rate_cleaned!$B$2:$B$10,"&lt;"&amp;C2436,mdr_rate_cleaned!$F$2:$F$10,"&gt;="&amp;C2436)</f>
        <v>1</v>
      </c>
      <c r="G2436">
        <v>3.0000000000000001E-3</v>
      </c>
      <c r="H2436">
        <v>20.39</v>
      </c>
      <c r="I2436" t="s">
        <v>15</v>
      </c>
      <c r="J2436" t="s">
        <v>15</v>
      </c>
      <c r="K2436">
        <v>3.67</v>
      </c>
      <c r="L2436">
        <v>0</v>
      </c>
    </row>
    <row r="2437" spans="1:12" x14ac:dyDescent="0.3">
      <c r="A2437" t="s">
        <v>2453</v>
      </c>
      <c r="B2437" t="s">
        <v>21</v>
      </c>
      <c r="C2437">
        <v>4999</v>
      </c>
      <c r="D2437">
        <v>15</v>
      </c>
      <c r="E2437">
        <v>2.7</v>
      </c>
      <c r="F2437">
        <f>COUNTIFS(mdr_rate_cleaned!$A$2:$A$10,B2437,mdr_rate_cleaned!$B$2:$B$10,"&lt;"&amp;C2437,mdr_rate_cleaned!$F$2:$F$10,"&gt;="&amp;C2437)</f>
        <v>1</v>
      </c>
      <c r="G2437">
        <v>3.0000000000000001E-3</v>
      </c>
      <c r="H2437">
        <v>15</v>
      </c>
      <c r="I2437" t="s">
        <v>15</v>
      </c>
      <c r="J2437" t="s">
        <v>15</v>
      </c>
      <c r="K2437">
        <v>2.7</v>
      </c>
      <c r="L2437">
        <v>0</v>
      </c>
    </row>
    <row r="2438" spans="1:12" x14ac:dyDescent="0.3">
      <c r="A2438" t="s">
        <v>2454</v>
      </c>
      <c r="B2438" t="s">
        <v>21</v>
      </c>
      <c r="C2438">
        <v>1799</v>
      </c>
      <c r="D2438">
        <v>0</v>
      </c>
      <c r="E2438">
        <v>0</v>
      </c>
      <c r="F2438">
        <f>COUNTIFS(mdr_rate_cleaned!$A$2:$A$10,B2438,mdr_rate_cleaned!$B$2:$B$10,"&lt;"&amp;C2438,mdr_rate_cleaned!$F$2:$F$10,"&gt;="&amp;C2438)</f>
        <v>1</v>
      </c>
      <c r="G2438">
        <v>0</v>
      </c>
      <c r="H2438">
        <v>0</v>
      </c>
      <c r="I2438" t="s">
        <v>15</v>
      </c>
      <c r="J2438" t="s">
        <v>15</v>
      </c>
      <c r="K2438">
        <v>0</v>
      </c>
      <c r="L2438">
        <v>0</v>
      </c>
    </row>
    <row r="2439" spans="1:12" x14ac:dyDescent="0.3">
      <c r="A2439" t="s">
        <v>2455</v>
      </c>
      <c r="B2439" t="s">
        <v>21</v>
      </c>
      <c r="C2439">
        <v>14997</v>
      </c>
      <c r="D2439">
        <v>44.99</v>
      </c>
      <c r="E2439">
        <v>8.1</v>
      </c>
      <c r="F2439">
        <f>COUNTIFS(mdr_rate_cleaned!$A$2:$A$10,B2439,mdr_rate_cleaned!$B$2:$B$10,"&lt;"&amp;C2439,mdr_rate_cleaned!$F$2:$F$10,"&gt;="&amp;C2439)</f>
        <v>1</v>
      </c>
      <c r="G2439">
        <v>3.0000000000000001E-3</v>
      </c>
      <c r="H2439">
        <v>44.99</v>
      </c>
      <c r="I2439" t="s">
        <v>15</v>
      </c>
      <c r="J2439" t="s">
        <v>15</v>
      </c>
      <c r="K2439">
        <v>8.1</v>
      </c>
      <c r="L2439">
        <v>0</v>
      </c>
    </row>
    <row r="2440" spans="1:12" x14ac:dyDescent="0.3">
      <c r="A2440" t="s">
        <v>2456</v>
      </c>
      <c r="B2440" t="s">
        <v>21</v>
      </c>
      <c r="C2440">
        <v>3397</v>
      </c>
      <c r="D2440">
        <v>10.19</v>
      </c>
      <c r="E2440">
        <v>1.83</v>
      </c>
      <c r="F2440">
        <f>COUNTIFS(mdr_rate_cleaned!$A$2:$A$10,B2440,mdr_rate_cleaned!$B$2:$B$10,"&lt;"&amp;C2440,mdr_rate_cleaned!$F$2:$F$10,"&gt;="&amp;C2440)</f>
        <v>1</v>
      </c>
      <c r="G2440">
        <v>3.0000000000000001E-3</v>
      </c>
      <c r="H2440">
        <v>10.19</v>
      </c>
      <c r="I2440" t="s">
        <v>15</v>
      </c>
      <c r="J2440" t="s">
        <v>15</v>
      </c>
      <c r="K2440">
        <v>1.83</v>
      </c>
      <c r="L2440">
        <v>0</v>
      </c>
    </row>
    <row r="2441" spans="1:12" x14ac:dyDescent="0.3">
      <c r="A2441" t="s">
        <v>2457</v>
      </c>
      <c r="B2441" t="s">
        <v>21</v>
      </c>
      <c r="C2441">
        <v>299</v>
      </c>
      <c r="D2441">
        <v>0</v>
      </c>
      <c r="E2441">
        <v>0</v>
      </c>
      <c r="F2441">
        <f>COUNTIFS(mdr_rate_cleaned!$A$2:$A$10,B2441,mdr_rate_cleaned!$B$2:$B$10,"&lt;"&amp;C2441,mdr_rate_cleaned!$F$2:$F$10,"&gt;="&amp;C2441)</f>
        <v>1</v>
      </c>
      <c r="G2441">
        <v>0</v>
      </c>
      <c r="H2441">
        <v>0</v>
      </c>
      <c r="I2441" t="s">
        <v>15</v>
      </c>
      <c r="J2441" t="s">
        <v>15</v>
      </c>
      <c r="K2441">
        <v>0</v>
      </c>
      <c r="L2441">
        <v>0</v>
      </c>
    </row>
    <row r="2442" spans="1:12" x14ac:dyDescent="0.3">
      <c r="A2442" t="s">
        <v>2458</v>
      </c>
      <c r="B2442" t="s">
        <v>21</v>
      </c>
      <c r="C2442">
        <v>999</v>
      </c>
      <c r="D2442">
        <v>0</v>
      </c>
      <c r="E2442">
        <v>0</v>
      </c>
      <c r="F2442">
        <f>COUNTIFS(mdr_rate_cleaned!$A$2:$A$10,B2442,mdr_rate_cleaned!$B$2:$B$10,"&lt;"&amp;C2442,mdr_rate_cleaned!$F$2:$F$10,"&gt;="&amp;C2442)</f>
        <v>1</v>
      </c>
      <c r="G2442">
        <v>0</v>
      </c>
      <c r="H2442">
        <v>0</v>
      </c>
      <c r="I2442" t="s">
        <v>15</v>
      </c>
      <c r="J2442" t="s">
        <v>15</v>
      </c>
      <c r="K2442">
        <v>0</v>
      </c>
      <c r="L2442">
        <v>0</v>
      </c>
    </row>
    <row r="2443" spans="1:12" x14ac:dyDescent="0.3">
      <c r="A2443" t="s">
        <v>2459</v>
      </c>
      <c r="B2443" t="s">
        <v>17</v>
      </c>
      <c r="C2443">
        <v>1848</v>
      </c>
      <c r="D2443">
        <v>33.26</v>
      </c>
      <c r="E2443">
        <v>5.99</v>
      </c>
      <c r="F2443">
        <f>COUNTIFS(mdr_rate_cleaned!$A$2:$A$10,B2443,mdr_rate_cleaned!$B$2:$B$10,"&lt;"&amp;C2443,mdr_rate_cleaned!$F$2:$F$10,"&gt;="&amp;C2443)</f>
        <v>1</v>
      </c>
      <c r="G2443">
        <v>1.7999999999999999E-2</v>
      </c>
      <c r="H2443">
        <v>33.26</v>
      </c>
      <c r="I2443" t="s">
        <v>15</v>
      </c>
      <c r="J2443" t="s">
        <v>15</v>
      </c>
      <c r="K2443">
        <v>5.99</v>
      </c>
      <c r="L2443">
        <v>0</v>
      </c>
    </row>
    <row r="2444" spans="1:12" x14ac:dyDescent="0.3">
      <c r="A2444" t="s">
        <v>2460</v>
      </c>
      <c r="B2444" t="s">
        <v>21</v>
      </c>
      <c r="C2444">
        <v>598</v>
      </c>
      <c r="D2444">
        <v>0</v>
      </c>
      <c r="E2444">
        <v>0</v>
      </c>
      <c r="F2444">
        <f>COUNTIFS(mdr_rate_cleaned!$A$2:$A$10,B2444,mdr_rate_cleaned!$B$2:$B$10,"&lt;"&amp;C2444,mdr_rate_cleaned!$F$2:$F$10,"&gt;="&amp;C2444)</f>
        <v>1</v>
      </c>
      <c r="G2444">
        <v>0</v>
      </c>
      <c r="H2444">
        <v>0</v>
      </c>
      <c r="I2444" t="s">
        <v>15</v>
      </c>
      <c r="J2444" t="s">
        <v>15</v>
      </c>
      <c r="K2444">
        <v>0</v>
      </c>
      <c r="L2444">
        <v>0</v>
      </c>
    </row>
    <row r="2445" spans="1:12" x14ac:dyDescent="0.3">
      <c r="A2445" t="s">
        <v>2461</v>
      </c>
      <c r="B2445" t="s">
        <v>17</v>
      </c>
      <c r="C2445">
        <v>2499</v>
      </c>
      <c r="D2445">
        <v>39.979999999999997</v>
      </c>
      <c r="E2445">
        <v>7.2</v>
      </c>
      <c r="F2445">
        <f>COUNTIFS(mdr_rate_cleaned!$A$2:$A$10,B2445,mdr_rate_cleaned!$B$2:$B$10,"&lt;"&amp;C2445,mdr_rate_cleaned!$F$2:$F$10,"&gt;="&amp;C2445)</f>
        <v>1</v>
      </c>
      <c r="G2445">
        <v>1.6E-2</v>
      </c>
      <c r="H2445">
        <v>39.979999999999997</v>
      </c>
      <c r="I2445" t="s">
        <v>15</v>
      </c>
      <c r="J2445" t="s">
        <v>15</v>
      </c>
      <c r="K2445">
        <v>7.2</v>
      </c>
      <c r="L2445">
        <v>0</v>
      </c>
    </row>
    <row r="2446" spans="1:12" x14ac:dyDescent="0.3">
      <c r="A2446" t="s">
        <v>2462</v>
      </c>
      <c r="B2446" t="s">
        <v>21</v>
      </c>
      <c r="C2446">
        <v>599</v>
      </c>
      <c r="D2446">
        <v>0</v>
      </c>
      <c r="E2446">
        <v>0</v>
      </c>
      <c r="F2446">
        <f>COUNTIFS(mdr_rate_cleaned!$A$2:$A$10,B2446,mdr_rate_cleaned!$B$2:$B$10,"&lt;"&amp;C2446,mdr_rate_cleaned!$F$2:$F$10,"&gt;="&amp;C2446)</f>
        <v>1</v>
      </c>
      <c r="G2446">
        <v>0</v>
      </c>
      <c r="H2446">
        <v>0</v>
      </c>
      <c r="I2446" t="s">
        <v>15</v>
      </c>
      <c r="J2446" t="s">
        <v>15</v>
      </c>
      <c r="K2446">
        <v>0</v>
      </c>
      <c r="L2446">
        <v>0</v>
      </c>
    </row>
    <row r="2447" spans="1:12" x14ac:dyDescent="0.3">
      <c r="A2447" t="s">
        <v>2463</v>
      </c>
      <c r="B2447" t="s">
        <v>21</v>
      </c>
      <c r="C2447">
        <v>6498</v>
      </c>
      <c r="D2447">
        <v>19.489999999999998</v>
      </c>
      <c r="E2447">
        <v>3.51</v>
      </c>
      <c r="F2447">
        <f>COUNTIFS(mdr_rate_cleaned!$A$2:$A$10,B2447,mdr_rate_cleaned!$B$2:$B$10,"&lt;"&amp;C2447,mdr_rate_cleaned!$F$2:$F$10,"&gt;="&amp;C2447)</f>
        <v>1</v>
      </c>
      <c r="G2447">
        <v>3.0000000000000001E-3</v>
      </c>
      <c r="H2447">
        <v>19.489999999999998</v>
      </c>
      <c r="I2447" t="s">
        <v>15</v>
      </c>
      <c r="J2447" t="s">
        <v>15</v>
      </c>
      <c r="K2447">
        <v>3.51</v>
      </c>
      <c r="L2447">
        <v>0</v>
      </c>
    </row>
    <row r="2448" spans="1:12" x14ac:dyDescent="0.3">
      <c r="A2448" t="s">
        <v>2464</v>
      </c>
      <c r="B2448" t="s">
        <v>21</v>
      </c>
      <c r="C2448">
        <v>1299</v>
      </c>
      <c r="D2448">
        <v>0</v>
      </c>
      <c r="E2448">
        <v>0</v>
      </c>
      <c r="F2448">
        <f>COUNTIFS(mdr_rate_cleaned!$A$2:$A$10,B2448,mdr_rate_cleaned!$B$2:$B$10,"&lt;"&amp;C2448,mdr_rate_cleaned!$F$2:$F$10,"&gt;="&amp;C2448)</f>
        <v>1</v>
      </c>
      <c r="G2448">
        <v>0</v>
      </c>
      <c r="H2448">
        <v>0</v>
      </c>
      <c r="I2448" t="s">
        <v>15</v>
      </c>
      <c r="J2448" t="s">
        <v>15</v>
      </c>
      <c r="K2448">
        <v>0</v>
      </c>
      <c r="L2448">
        <v>0</v>
      </c>
    </row>
    <row r="2449" spans="1:12" x14ac:dyDescent="0.3">
      <c r="A2449" t="s">
        <v>2465</v>
      </c>
      <c r="B2449" t="s">
        <v>13</v>
      </c>
      <c r="C2449">
        <v>2499</v>
      </c>
      <c r="D2449">
        <v>42.48</v>
      </c>
      <c r="E2449">
        <v>7.65</v>
      </c>
      <c r="F2449">
        <f>COUNTIFS(mdr_rate_cleaned!$A$2:$A$10,B2449,mdr_rate_cleaned!$B$2:$B$10,"&lt;"&amp;C2449,mdr_rate_cleaned!$F$2:$F$10,"&gt;="&amp;C2449)</f>
        <v>1</v>
      </c>
      <c r="G2449">
        <v>1.7000000000000001E-2</v>
      </c>
      <c r="H2449">
        <v>42.48</v>
      </c>
      <c r="I2449" t="s">
        <v>15</v>
      </c>
      <c r="J2449" t="s">
        <v>15</v>
      </c>
      <c r="K2449">
        <v>7.65</v>
      </c>
      <c r="L2449">
        <v>0</v>
      </c>
    </row>
    <row r="2450" spans="1:12" x14ac:dyDescent="0.3">
      <c r="A2450" t="s">
        <v>2466</v>
      </c>
      <c r="B2450" t="s">
        <v>39</v>
      </c>
      <c r="C2450">
        <v>499</v>
      </c>
      <c r="D2450">
        <v>7.49</v>
      </c>
      <c r="E2450">
        <v>1.35</v>
      </c>
      <c r="F2450">
        <f>COUNTIFS(mdr_rate_cleaned!$A$2:$A$10,B2450,mdr_rate_cleaned!$B$2:$B$10,"&lt;"&amp;C2450,mdr_rate_cleaned!$F$2:$F$10,"&gt;="&amp;C2450)</f>
        <v>1</v>
      </c>
      <c r="G2450">
        <v>1.4999999999999999E-2</v>
      </c>
      <c r="H2450">
        <v>7.49</v>
      </c>
      <c r="I2450" t="s">
        <v>15</v>
      </c>
      <c r="J2450" t="s">
        <v>15</v>
      </c>
      <c r="K2450">
        <v>1.35</v>
      </c>
      <c r="L2450">
        <v>0</v>
      </c>
    </row>
    <row r="2451" spans="1:12" x14ac:dyDescent="0.3">
      <c r="A2451" t="s">
        <v>2467</v>
      </c>
      <c r="B2451" t="s">
        <v>21</v>
      </c>
      <c r="C2451">
        <v>7999</v>
      </c>
      <c r="D2451">
        <v>24</v>
      </c>
      <c r="E2451">
        <v>4.32</v>
      </c>
      <c r="F2451">
        <f>COUNTIFS(mdr_rate_cleaned!$A$2:$A$10,B2451,mdr_rate_cleaned!$B$2:$B$10,"&lt;"&amp;C2451,mdr_rate_cleaned!$F$2:$F$10,"&gt;="&amp;C2451)</f>
        <v>1</v>
      </c>
      <c r="G2451">
        <v>3.0000000000000001E-3</v>
      </c>
      <c r="H2451">
        <v>24</v>
      </c>
      <c r="I2451" t="s">
        <v>15</v>
      </c>
      <c r="J2451" t="s">
        <v>15</v>
      </c>
      <c r="K2451">
        <v>4.32</v>
      </c>
      <c r="L2451">
        <v>0</v>
      </c>
    </row>
    <row r="2452" spans="1:12" x14ac:dyDescent="0.3">
      <c r="A2452" t="s">
        <v>2468</v>
      </c>
      <c r="B2452" t="s">
        <v>21</v>
      </c>
      <c r="C2452">
        <v>2499</v>
      </c>
      <c r="D2452">
        <v>7.5</v>
      </c>
      <c r="E2452">
        <v>1.35</v>
      </c>
      <c r="F2452">
        <f>COUNTIFS(mdr_rate_cleaned!$A$2:$A$10,B2452,mdr_rate_cleaned!$B$2:$B$10,"&lt;"&amp;C2452,mdr_rate_cleaned!$F$2:$F$10,"&gt;="&amp;C2452)</f>
        <v>1</v>
      </c>
      <c r="G2452">
        <v>3.0000000000000001E-3</v>
      </c>
      <c r="H2452">
        <v>7.5</v>
      </c>
      <c r="I2452" t="s">
        <v>15</v>
      </c>
      <c r="J2452" t="s">
        <v>15</v>
      </c>
      <c r="K2452">
        <v>1.35</v>
      </c>
      <c r="L2452">
        <v>0</v>
      </c>
    </row>
    <row r="2453" spans="1:12" x14ac:dyDescent="0.3">
      <c r="A2453" t="s">
        <v>2469</v>
      </c>
      <c r="B2453" t="s">
        <v>17</v>
      </c>
      <c r="C2453">
        <v>1798</v>
      </c>
      <c r="D2453">
        <v>32.36</v>
      </c>
      <c r="E2453">
        <v>5.82</v>
      </c>
      <c r="F2453">
        <f>COUNTIFS(mdr_rate_cleaned!$A$2:$A$10,B2453,mdr_rate_cleaned!$B$2:$B$10,"&lt;"&amp;C2453,mdr_rate_cleaned!$F$2:$F$10,"&gt;="&amp;C2453)</f>
        <v>1</v>
      </c>
      <c r="G2453">
        <v>1.7999999999999999E-2</v>
      </c>
      <c r="H2453">
        <v>32.36</v>
      </c>
      <c r="I2453" t="s">
        <v>15</v>
      </c>
      <c r="J2453" t="s">
        <v>15</v>
      </c>
      <c r="K2453">
        <v>5.82</v>
      </c>
      <c r="L2453">
        <v>0</v>
      </c>
    </row>
    <row r="2454" spans="1:12" x14ac:dyDescent="0.3">
      <c r="A2454" t="s">
        <v>2470</v>
      </c>
      <c r="B2454" t="s">
        <v>17</v>
      </c>
      <c r="C2454">
        <v>349</v>
      </c>
      <c r="D2454">
        <v>6.28</v>
      </c>
      <c r="E2454">
        <v>1.1299999999999999</v>
      </c>
      <c r="F2454">
        <f>COUNTIFS(mdr_rate_cleaned!$A$2:$A$10,B2454,mdr_rate_cleaned!$B$2:$B$10,"&lt;"&amp;C2454,mdr_rate_cleaned!$F$2:$F$10,"&gt;="&amp;C2454)</f>
        <v>1</v>
      </c>
      <c r="G2454">
        <v>1.7999999999999999E-2</v>
      </c>
      <c r="H2454">
        <v>6.28</v>
      </c>
      <c r="I2454" t="s">
        <v>15</v>
      </c>
      <c r="J2454" t="s">
        <v>15</v>
      </c>
      <c r="K2454">
        <v>1.1299999999999999</v>
      </c>
      <c r="L2454">
        <v>0</v>
      </c>
    </row>
    <row r="2455" spans="1:12" x14ac:dyDescent="0.3">
      <c r="A2455" t="s">
        <v>2471</v>
      </c>
      <c r="B2455" t="s">
        <v>21</v>
      </c>
      <c r="C2455">
        <v>7497</v>
      </c>
      <c r="D2455">
        <v>22.49</v>
      </c>
      <c r="E2455">
        <v>4.05</v>
      </c>
      <c r="F2455">
        <f>COUNTIFS(mdr_rate_cleaned!$A$2:$A$10,B2455,mdr_rate_cleaned!$B$2:$B$10,"&lt;"&amp;C2455,mdr_rate_cleaned!$F$2:$F$10,"&gt;="&amp;C2455)</f>
        <v>1</v>
      </c>
      <c r="G2455">
        <v>3.0000000000000001E-3</v>
      </c>
      <c r="H2455">
        <v>22.49</v>
      </c>
      <c r="I2455" t="s">
        <v>15</v>
      </c>
      <c r="J2455" t="s">
        <v>15</v>
      </c>
      <c r="K2455">
        <v>4.05</v>
      </c>
      <c r="L2455">
        <v>0</v>
      </c>
    </row>
    <row r="2456" spans="1:12" x14ac:dyDescent="0.3">
      <c r="A2456" t="s">
        <v>2472</v>
      </c>
      <c r="B2456" t="s">
        <v>17</v>
      </c>
      <c r="C2456">
        <v>3499</v>
      </c>
      <c r="D2456">
        <v>55.98</v>
      </c>
      <c r="E2456">
        <v>10.08</v>
      </c>
      <c r="F2456">
        <f>COUNTIFS(mdr_rate_cleaned!$A$2:$A$10,B2456,mdr_rate_cleaned!$B$2:$B$10,"&lt;"&amp;C2456,mdr_rate_cleaned!$F$2:$F$10,"&gt;="&amp;C2456)</f>
        <v>1</v>
      </c>
      <c r="G2456">
        <v>1.6E-2</v>
      </c>
      <c r="H2456">
        <v>55.98</v>
      </c>
      <c r="I2456" t="s">
        <v>15</v>
      </c>
      <c r="J2456" t="s">
        <v>15</v>
      </c>
      <c r="K2456">
        <v>10.08</v>
      </c>
      <c r="L2456">
        <v>0</v>
      </c>
    </row>
    <row r="2457" spans="1:12" x14ac:dyDescent="0.3">
      <c r="A2457" t="s">
        <v>2473</v>
      </c>
      <c r="B2457" t="s">
        <v>17</v>
      </c>
      <c r="C2457">
        <v>1799</v>
      </c>
      <c r="D2457">
        <v>32.380000000000003</v>
      </c>
      <c r="E2457">
        <v>5.83</v>
      </c>
      <c r="F2457">
        <f>COUNTIFS(mdr_rate_cleaned!$A$2:$A$10,B2457,mdr_rate_cleaned!$B$2:$B$10,"&lt;"&amp;C2457,mdr_rate_cleaned!$F$2:$F$10,"&gt;="&amp;C2457)</f>
        <v>1</v>
      </c>
      <c r="G2457">
        <v>1.7999999999999999E-2</v>
      </c>
      <c r="H2457">
        <v>32.380000000000003</v>
      </c>
      <c r="I2457" t="s">
        <v>15</v>
      </c>
      <c r="J2457" t="s">
        <v>15</v>
      </c>
      <c r="K2457">
        <v>5.83</v>
      </c>
      <c r="L2457">
        <v>0</v>
      </c>
    </row>
    <row r="2458" spans="1:12" x14ac:dyDescent="0.3">
      <c r="A2458" t="s">
        <v>2474</v>
      </c>
      <c r="B2458" t="s">
        <v>17</v>
      </c>
      <c r="C2458">
        <v>799</v>
      </c>
      <c r="D2458">
        <v>14.38</v>
      </c>
      <c r="E2458">
        <v>2.59</v>
      </c>
      <c r="F2458">
        <f>COUNTIFS(mdr_rate_cleaned!$A$2:$A$10,B2458,mdr_rate_cleaned!$B$2:$B$10,"&lt;"&amp;C2458,mdr_rate_cleaned!$F$2:$F$10,"&gt;="&amp;C2458)</f>
        <v>1</v>
      </c>
      <c r="G2458">
        <v>1.7999999999999999E-2</v>
      </c>
      <c r="H2458">
        <v>14.38</v>
      </c>
      <c r="I2458" t="s">
        <v>15</v>
      </c>
      <c r="J2458" t="s">
        <v>15</v>
      </c>
      <c r="K2458">
        <v>2.59</v>
      </c>
      <c r="L2458">
        <v>0</v>
      </c>
    </row>
    <row r="2459" spans="1:12" x14ac:dyDescent="0.3">
      <c r="A2459" t="s">
        <v>2475</v>
      </c>
      <c r="B2459" t="s">
        <v>21</v>
      </c>
      <c r="C2459">
        <v>499</v>
      </c>
      <c r="D2459">
        <v>0</v>
      </c>
      <c r="E2459">
        <v>0</v>
      </c>
      <c r="F2459">
        <f>COUNTIFS(mdr_rate_cleaned!$A$2:$A$10,B2459,mdr_rate_cleaned!$B$2:$B$10,"&lt;"&amp;C2459,mdr_rate_cleaned!$F$2:$F$10,"&gt;="&amp;C2459)</f>
        <v>1</v>
      </c>
      <c r="G2459">
        <v>0</v>
      </c>
      <c r="H2459">
        <v>0</v>
      </c>
      <c r="I2459" t="s">
        <v>15</v>
      </c>
      <c r="J2459" t="s">
        <v>15</v>
      </c>
      <c r="K2459">
        <v>0</v>
      </c>
      <c r="L2459">
        <v>0</v>
      </c>
    </row>
    <row r="2460" spans="1:12" x14ac:dyDescent="0.3">
      <c r="A2460" t="s">
        <v>2476</v>
      </c>
      <c r="B2460" t="s">
        <v>21</v>
      </c>
      <c r="C2460">
        <v>299</v>
      </c>
      <c r="D2460">
        <v>0</v>
      </c>
      <c r="E2460">
        <v>0</v>
      </c>
      <c r="F2460">
        <f>COUNTIFS(mdr_rate_cleaned!$A$2:$A$10,B2460,mdr_rate_cleaned!$B$2:$B$10,"&lt;"&amp;C2460,mdr_rate_cleaned!$F$2:$F$10,"&gt;="&amp;C2460)</f>
        <v>1</v>
      </c>
      <c r="G2460">
        <v>0</v>
      </c>
      <c r="H2460">
        <v>0</v>
      </c>
      <c r="I2460" t="s">
        <v>15</v>
      </c>
      <c r="J2460" t="s">
        <v>15</v>
      </c>
      <c r="K2460">
        <v>0</v>
      </c>
      <c r="L2460">
        <v>0</v>
      </c>
    </row>
    <row r="2461" spans="1:12" x14ac:dyDescent="0.3">
      <c r="A2461" t="s">
        <v>2477</v>
      </c>
      <c r="B2461" t="s">
        <v>21</v>
      </c>
      <c r="C2461">
        <v>798</v>
      </c>
      <c r="D2461">
        <v>0</v>
      </c>
      <c r="E2461">
        <v>0</v>
      </c>
      <c r="F2461">
        <f>COUNTIFS(mdr_rate_cleaned!$A$2:$A$10,B2461,mdr_rate_cleaned!$B$2:$B$10,"&lt;"&amp;C2461,mdr_rate_cleaned!$F$2:$F$10,"&gt;="&amp;C2461)</f>
        <v>1</v>
      </c>
      <c r="G2461">
        <v>0</v>
      </c>
      <c r="H2461">
        <v>0</v>
      </c>
      <c r="I2461" t="s">
        <v>15</v>
      </c>
      <c r="J2461" t="s">
        <v>15</v>
      </c>
      <c r="K2461">
        <v>0</v>
      </c>
      <c r="L2461">
        <v>0</v>
      </c>
    </row>
    <row r="2462" spans="1:12" x14ac:dyDescent="0.3">
      <c r="A2462" t="s">
        <v>2478</v>
      </c>
      <c r="B2462" t="s">
        <v>17</v>
      </c>
      <c r="C2462">
        <v>599</v>
      </c>
      <c r="D2462">
        <v>10.78</v>
      </c>
      <c r="E2462">
        <v>1.94</v>
      </c>
      <c r="F2462">
        <f>COUNTIFS(mdr_rate_cleaned!$A$2:$A$10,B2462,mdr_rate_cleaned!$B$2:$B$10,"&lt;"&amp;C2462,mdr_rate_cleaned!$F$2:$F$10,"&gt;="&amp;C2462)</f>
        <v>1</v>
      </c>
      <c r="G2462">
        <v>1.7999999999999999E-2</v>
      </c>
      <c r="H2462">
        <v>10.78</v>
      </c>
      <c r="I2462" t="s">
        <v>15</v>
      </c>
      <c r="J2462" t="s">
        <v>15</v>
      </c>
      <c r="K2462">
        <v>1.94</v>
      </c>
      <c r="L2462">
        <v>0</v>
      </c>
    </row>
    <row r="2463" spans="1:12" x14ac:dyDescent="0.3">
      <c r="A2463" t="s">
        <v>2479</v>
      </c>
      <c r="B2463" t="s">
        <v>21</v>
      </c>
      <c r="C2463">
        <v>3297</v>
      </c>
      <c r="D2463">
        <v>9.89</v>
      </c>
      <c r="E2463">
        <v>1.78</v>
      </c>
      <c r="F2463">
        <f>COUNTIFS(mdr_rate_cleaned!$A$2:$A$10,B2463,mdr_rate_cleaned!$B$2:$B$10,"&lt;"&amp;C2463,mdr_rate_cleaned!$F$2:$F$10,"&gt;="&amp;C2463)</f>
        <v>1</v>
      </c>
      <c r="G2463">
        <v>3.0000000000000001E-3</v>
      </c>
      <c r="H2463">
        <v>9.89</v>
      </c>
      <c r="I2463" t="s">
        <v>15</v>
      </c>
      <c r="J2463" t="s">
        <v>15</v>
      </c>
      <c r="K2463">
        <v>1.78</v>
      </c>
      <c r="L2463">
        <v>0</v>
      </c>
    </row>
    <row r="2464" spans="1:12" x14ac:dyDescent="0.3">
      <c r="A2464" t="s">
        <v>2480</v>
      </c>
      <c r="B2464" t="s">
        <v>21</v>
      </c>
      <c r="C2464">
        <v>6097</v>
      </c>
      <c r="D2464">
        <v>18.29</v>
      </c>
      <c r="E2464">
        <v>3.29</v>
      </c>
      <c r="F2464">
        <f>COUNTIFS(mdr_rate_cleaned!$A$2:$A$10,B2464,mdr_rate_cleaned!$B$2:$B$10,"&lt;"&amp;C2464,mdr_rate_cleaned!$F$2:$F$10,"&gt;="&amp;C2464)</f>
        <v>1</v>
      </c>
      <c r="G2464">
        <v>3.0000000000000001E-3</v>
      </c>
      <c r="H2464">
        <v>18.29</v>
      </c>
      <c r="I2464" t="s">
        <v>15</v>
      </c>
      <c r="J2464" t="s">
        <v>15</v>
      </c>
      <c r="K2464">
        <v>3.29</v>
      </c>
      <c r="L2464">
        <v>0</v>
      </c>
    </row>
    <row r="2465" spans="1:12" x14ac:dyDescent="0.3">
      <c r="A2465" t="s">
        <v>2481</v>
      </c>
      <c r="B2465" t="s">
        <v>21</v>
      </c>
      <c r="C2465">
        <v>1598</v>
      </c>
      <c r="D2465">
        <v>0</v>
      </c>
      <c r="E2465">
        <v>0</v>
      </c>
      <c r="F2465">
        <f>COUNTIFS(mdr_rate_cleaned!$A$2:$A$10,B2465,mdr_rate_cleaned!$B$2:$B$10,"&lt;"&amp;C2465,mdr_rate_cleaned!$F$2:$F$10,"&gt;="&amp;C2465)</f>
        <v>1</v>
      </c>
      <c r="G2465">
        <v>0</v>
      </c>
      <c r="H2465">
        <v>0</v>
      </c>
      <c r="I2465" t="s">
        <v>15</v>
      </c>
      <c r="J2465" t="s">
        <v>15</v>
      </c>
      <c r="K2465">
        <v>0</v>
      </c>
      <c r="L2465">
        <v>0</v>
      </c>
    </row>
    <row r="2466" spans="1:12" x14ac:dyDescent="0.3">
      <c r="A2466" t="s">
        <v>2482</v>
      </c>
      <c r="B2466" t="s">
        <v>17</v>
      </c>
      <c r="C2466">
        <v>1098</v>
      </c>
      <c r="D2466">
        <v>19.760000000000002</v>
      </c>
      <c r="E2466">
        <v>3.56</v>
      </c>
      <c r="F2466">
        <f>COUNTIFS(mdr_rate_cleaned!$A$2:$A$10,B2466,mdr_rate_cleaned!$B$2:$B$10,"&lt;"&amp;C2466,mdr_rate_cleaned!$F$2:$F$10,"&gt;="&amp;C2466)</f>
        <v>1</v>
      </c>
      <c r="G2466">
        <v>1.7999999999999999E-2</v>
      </c>
      <c r="H2466">
        <v>19.760000000000002</v>
      </c>
      <c r="I2466" t="s">
        <v>15</v>
      </c>
      <c r="J2466" t="s">
        <v>15</v>
      </c>
      <c r="K2466">
        <v>3.56</v>
      </c>
      <c r="L2466">
        <v>0</v>
      </c>
    </row>
    <row r="2467" spans="1:12" x14ac:dyDescent="0.3">
      <c r="A2467" t="s">
        <v>2483</v>
      </c>
      <c r="B2467" t="s">
        <v>17</v>
      </c>
      <c r="C2467">
        <v>799</v>
      </c>
      <c r="D2467">
        <v>14.38</v>
      </c>
      <c r="E2467">
        <v>2.59</v>
      </c>
      <c r="F2467">
        <f>COUNTIFS(mdr_rate_cleaned!$A$2:$A$10,B2467,mdr_rate_cleaned!$B$2:$B$10,"&lt;"&amp;C2467,mdr_rate_cleaned!$F$2:$F$10,"&gt;="&amp;C2467)</f>
        <v>1</v>
      </c>
      <c r="G2467">
        <v>1.7999999999999999E-2</v>
      </c>
      <c r="H2467">
        <v>14.38</v>
      </c>
      <c r="I2467" t="s">
        <v>15</v>
      </c>
      <c r="J2467" t="s">
        <v>15</v>
      </c>
      <c r="K2467">
        <v>2.59</v>
      </c>
      <c r="L2467">
        <v>0</v>
      </c>
    </row>
    <row r="2468" spans="1:12" x14ac:dyDescent="0.3">
      <c r="A2468" t="s">
        <v>2484</v>
      </c>
      <c r="B2468" t="s">
        <v>13</v>
      </c>
      <c r="C2468">
        <v>1098</v>
      </c>
      <c r="D2468">
        <v>20.86</v>
      </c>
      <c r="E2468">
        <v>3.75</v>
      </c>
      <c r="F2468">
        <f>COUNTIFS(mdr_rate_cleaned!$A$2:$A$10,B2468,mdr_rate_cleaned!$B$2:$B$10,"&lt;"&amp;C2468,mdr_rate_cleaned!$F$2:$F$10,"&gt;="&amp;C2468)</f>
        <v>1</v>
      </c>
      <c r="G2468">
        <v>1.9E-2</v>
      </c>
      <c r="H2468">
        <v>20.86</v>
      </c>
      <c r="I2468" t="s">
        <v>15</v>
      </c>
      <c r="J2468" t="s">
        <v>15</v>
      </c>
      <c r="K2468">
        <v>3.75</v>
      </c>
      <c r="L2468">
        <v>0</v>
      </c>
    </row>
    <row r="2469" spans="1:12" x14ac:dyDescent="0.3">
      <c r="A2469" t="s">
        <v>2485</v>
      </c>
      <c r="B2469" t="s">
        <v>21</v>
      </c>
      <c r="C2469">
        <v>3499</v>
      </c>
      <c r="D2469">
        <v>10.5</v>
      </c>
      <c r="E2469">
        <v>1.89</v>
      </c>
      <c r="F2469">
        <f>COUNTIFS(mdr_rate_cleaned!$A$2:$A$10,B2469,mdr_rate_cleaned!$B$2:$B$10,"&lt;"&amp;C2469,mdr_rate_cleaned!$F$2:$F$10,"&gt;="&amp;C2469)</f>
        <v>1</v>
      </c>
      <c r="G2469">
        <v>3.0000000000000001E-3</v>
      </c>
      <c r="H2469">
        <v>10.5</v>
      </c>
      <c r="I2469" t="s">
        <v>15</v>
      </c>
      <c r="J2469" t="s">
        <v>15</v>
      </c>
      <c r="K2469">
        <v>1.89</v>
      </c>
      <c r="L2469">
        <v>0</v>
      </c>
    </row>
    <row r="2470" spans="1:12" x14ac:dyDescent="0.3">
      <c r="A2470" t="s">
        <v>2486</v>
      </c>
      <c r="B2470" t="s">
        <v>39</v>
      </c>
      <c r="C2470">
        <v>2999</v>
      </c>
      <c r="D2470">
        <v>35.99</v>
      </c>
      <c r="E2470">
        <v>6.48</v>
      </c>
      <c r="F2470">
        <f>COUNTIFS(mdr_rate_cleaned!$A$2:$A$10,B2470,mdr_rate_cleaned!$B$2:$B$10,"&lt;"&amp;C2470,mdr_rate_cleaned!$F$2:$F$10,"&gt;="&amp;C2470)</f>
        <v>1</v>
      </c>
      <c r="G2470">
        <v>1.2E-2</v>
      </c>
      <c r="H2470">
        <v>35.99</v>
      </c>
      <c r="I2470" t="s">
        <v>15</v>
      </c>
      <c r="J2470" t="s">
        <v>15</v>
      </c>
      <c r="K2470">
        <v>6.48</v>
      </c>
      <c r="L2470">
        <v>0</v>
      </c>
    </row>
    <row r="2471" spans="1:12" x14ac:dyDescent="0.3">
      <c r="A2471" t="s">
        <v>2487</v>
      </c>
      <c r="B2471" t="s">
        <v>17</v>
      </c>
      <c r="C2471">
        <v>3797</v>
      </c>
      <c r="D2471">
        <v>60.75</v>
      </c>
      <c r="E2471">
        <v>10.94</v>
      </c>
      <c r="F2471">
        <f>COUNTIFS(mdr_rate_cleaned!$A$2:$A$10,B2471,mdr_rate_cleaned!$B$2:$B$10,"&lt;"&amp;C2471,mdr_rate_cleaned!$F$2:$F$10,"&gt;="&amp;C2471)</f>
        <v>1</v>
      </c>
      <c r="G2471">
        <v>1.6E-2</v>
      </c>
      <c r="H2471">
        <v>60.75</v>
      </c>
      <c r="I2471" t="s">
        <v>15</v>
      </c>
      <c r="J2471" t="s">
        <v>15</v>
      </c>
      <c r="K2471">
        <v>10.94</v>
      </c>
      <c r="L2471">
        <v>0</v>
      </c>
    </row>
    <row r="2472" spans="1:12" x14ac:dyDescent="0.3">
      <c r="A2472" t="s">
        <v>2488</v>
      </c>
      <c r="B2472" t="s">
        <v>21</v>
      </c>
      <c r="C2472">
        <v>1998</v>
      </c>
      <c r="D2472">
        <v>0</v>
      </c>
      <c r="E2472">
        <v>0</v>
      </c>
      <c r="F2472">
        <f>COUNTIFS(mdr_rate_cleaned!$A$2:$A$10,B2472,mdr_rate_cleaned!$B$2:$B$10,"&lt;"&amp;C2472,mdr_rate_cleaned!$F$2:$F$10,"&gt;="&amp;C2472)</f>
        <v>1</v>
      </c>
      <c r="G2472">
        <v>0</v>
      </c>
      <c r="H2472">
        <v>0</v>
      </c>
      <c r="I2472" t="s">
        <v>15</v>
      </c>
      <c r="J2472" t="s">
        <v>15</v>
      </c>
      <c r="K2472">
        <v>0</v>
      </c>
      <c r="L2472">
        <v>0</v>
      </c>
    </row>
    <row r="2473" spans="1:12" x14ac:dyDescent="0.3">
      <c r="A2473" t="s">
        <v>2489</v>
      </c>
      <c r="B2473" t="s">
        <v>21</v>
      </c>
      <c r="C2473">
        <v>2499</v>
      </c>
      <c r="D2473">
        <v>7.5</v>
      </c>
      <c r="E2473">
        <v>1.35</v>
      </c>
      <c r="F2473">
        <f>COUNTIFS(mdr_rate_cleaned!$A$2:$A$10,B2473,mdr_rate_cleaned!$B$2:$B$10,"&lt;"&amp;C2473,mdr_rate_cleaned!$F$2:$F$10,"&gt;="&amp;C2473)</f>
        <v>1</v>
      </c>
      <c r="G2473">
        <v>3.0000000000000001E-3</v>
      </c>
      <c r="H2473">
        <v>7.5</v>
      </c>
      <c r="I2473" t="s">
        <v>15</v>
      </c>
      <c r="J2473" t="s">
        <v>15</v>
      </c>
      <c r="K2473">
        <v>1.35</v>
      </c>
      <c r="L2473">
        <v>0</v>
      </c>
    </row>
    <row r="2474" spans="1:12" x14ac:dyDescent="0.3">
      <c r="A2474" t="s">
        <v>2490</v>
      </c>
      <c r="B2474" t="s">
        <v>17</v>
      </c>
      <c r="C2474">
        <v>799</v>
      </c>
      <c r="D2474">
        <v>14.38</v>
      </c>
      <c r="E2474">
        <v>2.59</v>
      </c>
      <c r="F2474">
        <f>COUNTIFS(mdr_rate_cleaned!$A$2:$A$10,B2474,mdr_rate_cleaned!$B$2:$B$10,"&lt;"&amp;C2474,mdr_rate_cleaned!$F$2:$F$10,"&gt;="&amp;C2474)</f>
        <v>1</v>
      </c>
      <c r="G2474">
        <v>1.7999999999999999E-2</v>
      </c>
      <c r="H2474">
        <v>14.38</v>
      </c>
      <c r="I2474" t="s">
        <v>15</v>
      </c>
      <c r="J2474" t="s">
        <v>15</v>
      </c>
      <c r="K2474">
        <v>2.59</v>
      </c>
      <c r="L2474">
        <v>0</v>
      </c>
    </row>
    <row r="2475" spans="1:12" x14ac:dyDescent="0.3">
      <c r="A2475" t="s">
        <v>2491</v>
      </c>
      <c r="B2475" t="s">
        <v>39</v>
      </c>
      <c r="C2475">
        <v>2999</v>
      </c>
      <c r="D2475">
        <v>35.99</v>
      </c>
      <c r="E2475">
        <v>6.48</v>
      </c>
      <c r="F2475">
        <f>COUNTIFS(mdr_rate_cleaned!$A$2:$A$10,B2475,mdr_rate_cleaned!$B$2:$B$10,"&lt;"&amp;C2475,mdr_rate_cleaned!$F$2:$F$10,"&gt;="&amp;C2475)</f>
        <v>1</v>
      </c>
      <c r="G2475">
        <v>1.2E-2</v>
      </c>
      <c r="H2475">
        <v>35.99</v>
      </c>
      <c r="I2475" t="s">
        <v>15</v>
      </c>
      <c r="J2475" t="s">
        <v>15</v>
      </c>
      <c r="K2475">
        <v>6.48</v>
      </c>
      <c r="L2475">
        <v>0</v>
      </c>
    </row>
    <row r="2476" spans="1:12" x14ac:dyDescent="0.3">
      <c r="A2476" t="s">
        <v>2492</v>
      </c>
      <c r="B2476" t="s">
        <v>17</v>
      </c>
      <c r="C2476">
        <v>999</v>
      </c>
      <c r="D2476">
        <v>17.98</v>
      </c>
      <c r="E2476">
        <v>3.24</v>
      </c>
      <c r="F2476">
        <f>COUNTIFS(mdr_rate_cleaned!$A$2:$A$10,B2476,mdr_rate_cleaned!$B$2:$B$10,"&lt;"&amp;C2476,mdr_rate_cleaned!$F$2:$F$10,"&gt;="&amp;C2476)</f>
        <v>1</v>
      </c>
      <c r="G2476">
        <v>1.7999999999999999E-2</v>
      </c>
      <c r="H2476">
        <v>17.98</v>
      </c>
      <c r="I2476" t="s">
        <v>15</v>
      </c>
      <c r="J2476" t="s">
        <v>15</v>
      </c>
      <c r="K2476">
        <v>3.24</v>
      </c>
      <c r="L2476">
        <v>0</v>
      </c>
    </row>
    <row r="2477" spans="1:12" x14ac:dyDescent="0.3">
      <c r="A2477" t="s">
        <v>2493</v>
      </c>
      <c r="B2477" t="s">
        <v>13</v>
      </c>
      <c r="C2477">
        <v>5297</v>
      </c>
      <c r="D2477">
        <v>90.05</v>
      </c>
      <c r="E2477">
        <v>16.21</v>
      </c>
      <c r="F2477">
        <f>COUNTIFS(mdr_rate_cleaned!$A$2:$A$10,B2477,mdr_rate_cleaned!$B$2:$B$10,"&lt;"&amp;C2477,mdr_rate_cleaned!$F$2:$F$10,"&gt;="&amp;C2477)</f>
        <v>1</v>
      </c>
      <c r="G2477">
        <v>1.7000000000000001E-2</v>
      </c>
      <c r="H2477">
        <v>90.05</v>
      </c>
      <c r="I2477" t="s">
        <v>15</v>
      </c>
      <c r="J2477" t="s">
        <v>15</v>
      </c>
      <c r="K2477">
        <v>16.21</v>
      </c>
      <c r="L2477">
        <v>0</v>
      </c>
    </row>
    <row r="2478" spans="1:12" x14ac:dyDescent="0.3">
      <c r="A2478" t="s">
        <v>2494</v>
      </c>
      <c r="B2478" t="s">
        <v>13</v>
      </c>
      <c r="C2478">
        <v>1299</v>
      </c>
      <c r="D2478">
        <v>24.68</v>
      </c>
      <c r="E2478">
        <v>4.4400000000000004</v>
      </c>
      <c r="F2478">
        <f>COUNTIFS(mdr_rate_cleaned!$A$2:$A$10,B2478,mdr_rate_cleaned!$B$2:$B$10,"&lt;"&amp;C2478,mdr_rate_cleaned!$F$2:$F$10,"&gt;="&amp;C2478)</f>
        <v>1</v>
      </c>
      <c r="G2478">
        <v>1.9E-2</v>
      </c>
      <c r="H2478">
        <v>24.68</v>
      </c>
      <c r="I2478" t="s">
        <v>15</v>
      </c>
      <c r="J2478" t="s">
        <v>15</v>
      </c>
      <c r="K2478">
        <v>4.4400000000000004</v>
      </c>
      <c r="L2478">
        <v>0</v>
      </c>
    </row>
    <row r="2479" spans="1:12" x14ac:dyDescent="0.3">
      <c r="A2479" t="s">
        <v>2495</v>
      </c>
      <c r="B2479" t="s">
        <v>21</v>
      </c>
      <c r="C2479">
        <v>5298</v>
      </c>
      <c r="D2479">
        <v>15.89</v>
      </c>
      <c r="E2479">
        <v>2.86</v>
      </c>
      <c r="F2479">
        <f>COUNTIFS(mdr_rate_cleaned!$A$2:$A$10,B2479,mdr_rate_cleaned!$B$2:$B$10,"&lt;"&amp;C2479,mdr_rate_cleaned!$F$2:$F$10,"&gt;="&amp;C2479)</f>
        <v>1</v>
      </c>
      <c r="G2479">
        <v>3.0000000000000001E-3</v>
      </c>
      <c r="H2479">
        <v>15.89</v>
      </c>
      <c r="I2479" t="s">
        <v>15</v>
      </c>
      <c r="J2479" t="s">
        <v>15</v>
      </c>
      <c r="K2479">
        <v>2.86</v>
      </c>
      <c r="L2479">
        <v>0</v>
      </c>
    </row>
    <row r="2480" spans="1:12" x14ac:dyDescent="0.3">
      <c r="A2480" t="s">
        <v>2496</v>
      </c>
      <c r="B2480" t="s">
        <v>17</v>
      </c>
      <c r="C2480">
        <v>3998</v>
      </c>
      <c r="D2480">
        <v>63.97</v>
      </c>
      <c r="E2480">
        <v>11.51</v>
      </c>
      <c r="F2480">
        <f>COUNTIFS(mdr_rate_cleaned!$A$2:$A$10,B2480,mdr_rate_cleaned!$B$2:$B$10,"&lt;"&amp;C2480,mdr_rate_cleaned!$F$2:$F$10,"&gt;="&amp;C2480)</f>
        <v>1</v>
      </c>
      <c r="G2480">
        <v>1.6E-2</v>
      </c>
      <c r="H2480">
        <v>63.97</v>
      </c>
      <c r="I2480" t="s">
        <v>15</v>
      </c>
      <c r="J2480" t="s">
        <v>15</v>
      </c>
      <c r="K2480">
        <v>11.51</v>
      </c>
      <c r="L2480">
        <v>0</v>
      </c>
    </row>
    <row r="2481" spans="1:12" x14ac:dyDescent="0.3">
      <c r="A2481" t="s">
        <v>2497</v>
      </c>
      <c r="B2481" t="s">
        <v>17</v>
      </c>
      <c r="C2481">
        <v>599</v>
      </c>
      <c r="D2481">
        <v>10.78</v>
      </c>
      <c r="E2481">
        <v>1.94</v>
      </c>
      <c r="F2481">
        <f>COUNTIFS(mdr_rate_cleaned!$A$2:$A$10,B2481,mdr_rate_cleaned!$B$2:$B$10,"&lt;"&amp;C2481,mdr_rate_cleaned!$F$2:$F$10,"&gt;="&amp;C2481)</f>
        <v>1</v>
      </c>
      <c r="G2481">
        <v>1.7999999999999999E-2</v>
      </c>
      <c r="H2481">
        <v>10.78</v>
      </c>
      <c r="I2481" t="s">
        <v>15</v>
      </c>
      <c r="J2481" t="s">
        <v>15</v>
      </c>
      <c r="K2481">
        <v>1.94</v>
      </c>
      <c r="L2481">
        <v>0</v>
      </c>
    </row>
    <row r="2482" spans="1:12" x14ac:dyDescent="0.3">
      <c r="A2482" t="s">
        <v>2498</v>
      </c>
      <c r="B2482" t="s">
        <v>13</v>
      </c>
      <c r="C2482">
        <v>299</v>
      </c>
      <c r="D2482">
        <v>5.68</v>
      </c>
      <c r="E2482">
        <v>1.02</v>
      </c>
      <c r="F2482">
        <f>COUNTIFS(mdr_rate_cleaned!$A$2:$A$10,B2482,mdr_rate_cleaned!$B$2:$B$10,"&lt;"&amp;C2482,mdr_rate_cleaned!$F$2:$F$10,"&gt;="&amp;C2482)</f>
        <v>1</v>
      </c>
      <c r="G2482">
        <v>1.9E-2</v>
      </c>
      <c r="H2482">
        <v>5.68</v>
      </c>
      <c r="I2482" t="s">
        <v>15</v>
      </c>
      <c r="J2482" t="s">
        <v>15</v>
      </c>
      <c r="K2482">
        <v>1.02</v>
      </c>
      <c r="L2482">
        <v>0</v>
      </c>
    </row>
    <row r="2483" spans="1:12" x14ac:dyDescent="0.3">
      <c r="A2483" t="s">
        <v>2499</v>
      </c>
      <c r="B2483" t="s">
        <v>17</v>
      </c>
      <c r="C2483">
        <v>2497</v>
      </c>
      <c r="D2483">
        <v>39.950000000000003</v>
      </c>
      <c r="E2483">
        <v>7.19</v>
      </c>
      <c r="F2483">
        <f>COUNTIFS(mdr_rate_cleaned!$A$2:$A$10,B2483,mdr_rate_cleaned!$B$2:$B$10,"&lt;"&amp;C2483,mdr_rate_cleaned!$F$2:$F$10,"&gt;="&amp;C2483)</f>
        <v>1</v>
      </c>
      <c r="G2483">
        <v>1.6E-2</v>
      </c>
      <c r="H2483">
        <v>39.950000000000003</v>
      </c>
      <c r="I2483" t="s">
        <v>15</v>
      </c>
      <c r="J2483" t="s">
        <v>15</v>
      </c>
      <c r="K2483">
        <v>7.19</v>
      </c>
      <c r="L2483">
        <v>0</v>
      </c>
    </row>
    <row r="2484" spans="1:12" x14ac:dyDescent="0.3">
      <c r="A2484" t="s">
        <v>2500</v>
      </c>
      <c r="B2484" t="s">
        <v>21</v>
      </c>
      <c r="C2484">
        <v>2848</v>
      </c>
      <c r="D2484">
        <v>8.5399999999999991</v>
      </c>
      <c r="E2484">
        <v>1.54</v>
      </c>
      <c r="F2484">
        <f>COUNTIFS(mdr_rate_cleaned!$A$2:$A$10,B2484,mdr_rate_cleaned!$B$2:$B$10,"&lt;"&amp;C2484,mdr_rate_cleaned!$F$2:$F$10,"&gt;="&amp;C2484)</f>
        <v>1</v>
      </c>
      <c r="G2484">
        <v>3.0000000000000001E-3</v>
      </c>
      <c r="H2484">
        <v>8.5399999999999991</v>
      </c>
      <c r="I2484" t="s">
        <v>15</v>
      </c>
      <c r="J2484" t="s">
        <v>15</v>
      </c>
      <c r="K2484">
        <v>1.54</v>
      </c>
      <c r="L2484">
        <v>0</v>
      </c>
    </row>
    <row r="2485" spans="1:12" x14ac:dyDescent="0.3">
      <c r="A2485" t="s">
        <v>2501</v>
      </c>
      <c r="B2485" t="s">
        <v>21</v>
      </c>
      <c r="C2485">
        <v>4097</v>
      </c>
      <c r="D2485">
        <v>12.29</v>
      </c>
      <c r="E2485">
        <v>2.21</v>
      </c>
      <c r="F2485">
        <f>COUNTIFS(mdr_rate_cleaned!$A$2:$A$10,B2485,mdr_rate_cleaned!$B$2:$B$10,"&lt;"&amp;C2485,mdr_rate_cleaned!$F$2:$F$10,"&gt;="&amp;C2485)</f>
        <v>1</v>
      </c>
      <c r="G2485">
        <v>3.0000000000000001E-3</v>
      </c>
      <c r="H2485">
        <v>12.29</v>
      </c>
      <c r="I2485" t="s">
        <v>15</v>
      </c>
      <c r="J2485" t="s">
        <v>15</v>
      </c>
      <c r="K2485">
        <v>2.21</v>
      </c>
      <c r="L2485">
        <v>0</v>
      </c>
    </row>
    <row r="2486" spans="1:12" x14ac:dyDescent="0.3">
      <c r="A2486" t="s">
        <v>2502</v>
      </c>
      <c r="B2486" t="s">
        <v>21</v>
      </c>
      <c r="C2486">
        <v>3147</v>
      </c>
      <c r="D2486">
        <v>9.44</v>
      </c>
      <c r="E2486">
        <v>1.7</v>
      </c>
      <c r="F2486">
        <f>COUNTIFS(mdr_rate_cleaned!$A$2:$A$10,B2486,mdr_rate_cleaned!$B$2:$B$10,"&lt;"&amp;C2486,mdr_rate_cleaned!$F$2:$F$10,"&gt;="&amp;C2486)</f>
        <v>1</v>
      </c>
      <c r="G2486">
        <v>3.0000000000000001E-3</v>
      </c>
      <c r="H2486">
        <v>9.44</v>
      </c>
      <c r="I2486" t="s">
        <v>15</v>
      </c>
      <c r="J2486" t="s">
        <v>15</v>
      </c>
      <c r="K2486">
        <v>1.7</v>
      </c>
      <c r="L2486">
        <v>0</v>
      </c>
    </row>
    <row r="2487" spans="1:12" x14ac:dyDescent="0.3">
      <c r="A2487" t="s">
        <v>2503</v>
      </c>
      <c r="B2487" t="s">
        <v>17</v>
      </c>
      <c r="C2487">
        <v>6997</v>
      </c>
      <c r="D2487">
        <v>111.95</v>
      </c>
      <c r="E2487">
        <v>20.149999999999999</v>
      </c>
      <c r="F2487">
        <f>COUNTIFS(mdr_rate_cleaned!$A$2:$A$10,B2487,mdr_rate_cleaned!$B$2:$B$10,"&lt;"&amp;C2487,mdr_rate_cleaned!$F$2:$F$10,"&gt;="&amp;C2487)</f>
        <v>1</v>
      </c>
      <c r="G2487">
        <v>1.6E-2</v>
      </c>
      <c r="H2487">
        <v>111.95</v>
      </c>
      <c r="I2487" t="s">
        <v>15</v>
      </c>
      <c r="J2487" t="s">
        <v>15</v>
      </c>
      <c r="K2487">
        <v>20.149999999999999</v>
      </c>
      <c r="L2487">
        <v>0</v>
      </c>
    </row>
    <row r="2488" spans="1:12" x14ac:dyDescent="0.3">
      <c r="A2488" t="s">
        <v>2504</v>
      </c>
      <c r="B2488" t="s">
        <v>21</v>
      </c>
      <c r="C2488">
        <v>1798</v>
      </c>
      <c r="D2488">
        <v>0</v>
      </c>
      <c r="E2488">
        <v>0</v>
      </c>
      <c r="F2488">
        <f>COUNTIFS(mdr_rate_cleaned!$A$2:$A$10,B2488,mdr_rate_cleaned!$B$2:$B$10,"&lt;"&amp;C2488,mdr_rate_cleaned!$F$2:$F$10,"&gt;="&amp;C2488)</f>
        <v>1</v>
      </c>
      <c r="G2488">
        <v>0</v>
      </c>
      <c r="H2488">
        <v>0</v>
      </c>
      <c r="I2488" t="s">
        <v>15</v>
      </c>
      <c r="J2488" t="s">
        <v>15</v>
      </c>
      <c r="K2488">
        <v>0</v>
      </c>
      <c r="L2488">
        <v>0</v>
      </c>
    </row>
    <row r="2489" spans="1:12" x14ac:dyDescent="0.3">
      <c r="A2489" t="s">
        <v>2505</v>
      </c>
      <c r="B2489" t="s">
        <v>39</v>
      </c>
      <c r="C2489">
        <v>1598</v>
      </c>
      <c r="D2489">
        <v>23.97</v>
      </c>
      <c r="E2489">
        <v>4.3099999999999996</v>
      </c>
      <c r="F2489">
        <f>COUNTIFS(mdr_rate_cleaned!$A$2:$A$10,B2489,mdr_rate_cleaned!$B$2:$B$10,"&lt;"&amp;C2489,mdr_rate_cleaned!$F$2:$F$10,"&gt;="&amp;C2489)</f>
        <v>1</v>
      </c>
      <c r="G2489">
        <v>1.4999999999999999E-2</v>
      </c>
      <c r="H2489">
        <v>23.97</v>
      </c>
      <c r="I2489" t="s">
        <v>15</v>
      </c>
      <c r="J2489" t="s">
        <v>15</v>
      </c>
      <c r="K2489">
        <v>4.3099999999999996</v>
      </c>
      <c r="L2489">
        <v>0</v>
      </c>
    </row>
    <row r="2490" spans="1:12" x14ac:dyDescent="0.3">
      <c r="A2490" t="s">
        <v>2506</v>
      </c>
      <c r="B2490" t="s">
        <v>21</v>
      </c>
      <c r="C2490">
        <v>4798</v>
      </c>
      <c r="D2490">
        <v>14.39</v>
      </c>
      <c r="E2490">
        <v>2.59</v>
      </c>
      <c r="F2490">
        <f>COUNTIFS(mdr_rate_cleaned!$A$2:$A$10,B2490,mdr_rate_cleaned!$B$2:$B$10,"&lt;"&amp;C2490,mdr_rate_cleaned!$F$2:$F$10,"&gt;="&amp;C2490)</f>
        <v>1</v>
      </c>
      <c r="G2490">
        <v>3.0000000000000001E-3</v>
      </c>
      <c r="H2490">
        <v>14.39</v>
      </c>
      <c r="I2490" t="s">
        <v>15</v>
      </c>
      <c r="J2490" t="s">
        <v>15</v>
      </c>
      <c r="K2490">
        <v>2.59</v>
      </c>
      <c r="L2490">
        <v>0</v>
      </c>
    </row>
    <row r="2491" spans="1:12" x14ac:dyDescent="0.3">
      <c r="A2491" t="s">
        <v>2507</v>
      </c>
      <c r="B2491" t="s">
        <v>17</v>
      </c>
      <c r="C2491">
        <v>6997</v>
      </c>
      <c r="D2491">
        <v>111.95</v>
      </c>
      <c r="E2491">
        <v>20.149999999999999</v>
      </c>
      <c r="F2491">
        <f>COUNTIFS(mdr_rate_cleaned!$A$2:$A$10,B2491,mdr_rate_cleaned!$B$2:$B$10,"&lt;"&amp;C2491,mdr_rate_cleaned!$F$2:$F$10,"&gt;="&amp;C2491)</f>
        <v>1</v>
      </c>
      <c r="G2491">
        <v>1.6E-2</v>
      </c>
      <c r="H2491">
        <v>111.95</v>
      </c>
      <c r="I2491" t="s">
        <v>15</v>
      </c>
      <c r="J2491" t="s">
        <v>15</v>
      </c>
      <c r="K2491">
        <v>20.149999999999999</v>
      </c>
      <c r="L2491">
        <v>0</v>
      </c>
    </row>
    <row r="2492" spans="1:12" x14ac:dyDescent="0.3">
      <c r="A2492" t="s">
        <v>2508</v>
      </c>
      <c r="B2492" t="s">
        <v>39</v>
      </c>
      <c r="C2492">
        <v>15998</v>
      </c>
      <c r="D2492">
        <v>143.97999999999999</v>
      </c>
      <c r="E2492">
        <v>25.92</v>
      </c>
      <c r="F2492">
        <f>COUNTIFS(mdr_rate_cleaned!$A$2:$A$10,B2492,mdr_rate_cleaned!$B$2:$B$10,"&lt;"&amp;C2492,mdr_rate_cleaned!$F$2:$F$10,"&gt;="&amp;C2492)</f>
        <v>1</v>
      </c>
      <c r="G2492">
        <v>8.9999999999999993E-3</v>
      </c>
      <c r="H2492">
        <v>143.97999999999999</v>
      </c>
      <c r="I2492" t="s">
        <v>15</v>
      </c>
      <c r="J2492" t="s">
        <v>15</v>
      </c>
      <c r="K2492">
        <v>25.92</v>
      </c>
      <c r="L2492">
        <v>0</v>
      </c>
    </row>
    <row r="2493" spans="1:12" x14ac:dyDescent="0.3">
      <c r="A2493" t="s">
        <v>2509</v>
      </c>
      <c r="B2493" t="s">
        <v>39</v>
      </c>
      <c r="C2493">
        <v>499</v>
      </c>
      <c r="D2493">
        <v>7.49</v>
      </c>
      <c r="E2493">
        <v>1.35</v>
      </c>
      <c r="F2493">
        <f>COUNTIFS(mdr_rate_cleaned!$A$2:$A$10,B2493,mdr_rate_cleaned!$B$2:$B$10,"&lt;"&amp;C2493,mdr_rate_cleaned!$F$2:$F$10,"&gt;="&amp;C2493)</f>
        <v>1</v>
      </c>
      <c r="G2493">
        <v>1.4999999999999999E-2</v>
      </c>
      <c r="H2493">
        <v>7.49</v>
      </c>
      <c r="I2493" t="s">
        <v>15</v>
      </c>
      <c r="J2493" t="s">
        <v>15</v>
      </c>
      <c r="K2493">
        <v>1.35</v>
      </c>
      <c r="L2493">
        <v>0</v>
      </c>
    </row>
    <row r="2494" spans="1:12" x14ac:dyDescent="0.3">
      <c r="A2494" t="s">
        <v>2510</v>
      </c>
      <c r="B2494" t="s">
        <v>39</v>
      </c>
      <c r="C2494">
        <v>1299</v>
      </c>
      <c r="D2494">
        <v>19.489999999999998</v>
      </c>
      <c r="E2494">
        <v>3.51</v>
      </c>
      <c r="F2494">
        <f>COUNTIFS(mdr_rate_cleaned!$A$2:$A$10,B2494,mdr_rate_cleaned!$B$2:$B$10,"&lt;"&amp;C2494,mdr_rate_cleaned!$F$2:$F$10,"&gt;="&amp;C2494)</f>
        <v>1</v>
      </c>
      <c r="G2494">
        <v>1.4999999999999999E-2</v>
      </c>
      <c r="H2494">
        <v>19.489999999999998</v>
      </c>
      <c r="I2494" t="s">
        <v>15</v>
      </c>
      <c r="J2494" t="s">
        <v>15</v>
      </c>
      <c r="K2494">
        <v>3.51</v>
      </c>
      <c r="L2494">
        <v>0</v>
      </c>
    </row>
    <row r="2495" spans="1:12" x14ac:dyDescent="0.3">
      <c r="A2495" t="s">
        <v>2511</v>
      </c>
      <c r="B2495" t="s">
        <v>21</v>
      </c>
      <c r="C2495">
        <v>2598</v>
      </c>
      <c r="D2495">
        <v>7.79</v>
      </c>
      <c r="E2495">
        <v>1.4</v>
      </c>
      <c r="F2495">
        <f>COUNTIFS(mdr_rate_cleaned!$A$2:$A$10,B2495,mdr_rate_cleaned!$B$2:$B$10,"&lt;"&amp;C2495,mdr_rate_cleaned!$F$2:$F$10,"&gt;="&amp;C2495)</f>
        <v>1</v>
      </c>
      <c r="G2495">
        <v>3.0000000000000001E-3</v>
      </c>
      <c r="H2495">
        <v>7.79</v>
      </c>
      <c r="I2495" t="s">
        <v>15</v>
      </c>
      <c r="J2495" t="s">
        <v>15</v>
      </c>
      <c r="K2495">
        <v>1.4</v>
      </c>
      <c r="L2495">
        <v>0</v>
      </c>
    </row>
    <row r="2496" spans="1:12" x14ac:dyDescent="0.3">
      <c r="A2496" t="s">
        <v>2512</v>
      </c>
      <c r="B2496" t="s">
        <v>39</v>
      </c>
      <c r="C2496">
        <v>1898</v>
      </c>
      <c r="D2496">
        <v>28.47</v>
      </c>
      <c r="E2496">
        <v>5.12</v>
      </c>
      <c r="F2496">
        <f>COUNTIFS(mdr_rate_cleaned!$A$2:$A$10,B2496,mdr_rate_cleaned!$B$2:$B$10,"&lt;"&amp;C2496,mdr_rate_cleaned!$F$2:$F$10,"&gt;="&amp;C2496)</f>
        <v>1</v>
      </c>
      <c r="G2496">
        <v>1.4999999999999999E-2</v>
      </c>
      <c r="H2496">
        <v>28.47</v>
      </c>
      <c r="I2496" t="s">
        <v>15</v>
      </c>
      <c r="J2496" t="s">
        <v>15</v>
      </c>
      <c r="K2496">
        <v>5.12</v>
      </c>
      <c r="L2496">
        <v>0</v>
      </c>
    </row>
    <row r="2497" spans="1:12" x14ac:dyDescent="0.3">
      <c r="A2497" t="s">
        <v>2513</v>
      </c>
      <c r="B2497" t="s">
        <v>21</v>
      </c>
      <c r="C2497">
        <v>3397</v>
      </c>
      <c r="D2497">
        <v>10.19</v>
      </c>
      <c r="E2497">
        <v>1.83</v>
      </c>
      <c r="F2497">
        <f>COUNTIFS(mdr_rate_cleaned!$A$2:$A$10,B2497,mdr_rate_cleaned!$B$2:$B$10,"&lt;"&amp;C2497,mdr_rate_cleaned!$F$2:$F$10,"&gt;="&amp;C2497)</f>
        <v>1</v>
      </c>
      <c r="G2497">
        <v>3.0000000000000001E-3</v>
      </c>
      <c r="H2497">
        <v>10.19</v>
      </c>
      <c r="I2497" t="s">
        <v>15</v>
      </c>
      <c r="J2497" t="s">
        <v>15</v>
      </c>
      <c r="K2497">
        <v>1.83</v>
      </c>
      <c r="L2497">
        <v>0</v>
      </c>
    </row>
    <row r="2498" spans="1:12" x14ac:dyDescent="0.3">
      <c r="A2498" t="s">
        <v>2514</v>
      </c>
      <c r="B2498" t="s">
        <v>13</v>
      </c>
      <c r="C2498">
        <v>7847</v>
      </c>
      <c r="D2498">
        <v>133.4</v>
      </c>
      <c r="E2498">
        <v>24.01</v>
      </c>
      <c r="F2498">
        <f>COUNTIFS(mdr_rate_cleaned!$A$2:$A$10,B2498,mdr_rate_cleaned!$B$2:$B$10,"&lt;"&amp;C2498,mdr_rate_cleaned!$F$2:$F$10,"&gt;="&amp;C2498)</f>
        <v>1</v>
      </c>
      <c r="G2498">
        <v>1.7000000000000001E-2</v>
      </c>
      <c r="H2498">
        <v>133.4</v>
      </c>
      <c r="I2498" t="s">
        <v>15</v>
      </c>
      <c r="J2498" t="s">
        <v>15</v>
      </c>
      <c r="K2498">
        <v>24.01</v>
      </c>
      <c r="L2498">
        <v>0</v>
      </c>
    </row>
    <row r="2499" spans="1:12" x14ac:dyDescent="0.3">
      <c r="A2499" t="s">
        <v>2515</v>
      </c>
      <c r="B2499" t="s">
        <v>21</v>
      </c>
      <c r="C2499">
        <v>4998</v>
      </c>
      <c r="D2499">
        <v>14.99</v>
      </c>
      <c r="E2499">
        <v>2.7</v>
      </c>
      <c r="F2499">
        <f>COUNTIFS(mdr_rate_cleaned!$A$2:$A$10,B2499,mdr_rate_cleaned!$B$2:$B$10,"&lt;"&amp;C2499,mdr_rate_cleaned!$F$2:$F$10,"&gt;="&amp;C2499)</f>
        <v>1</v>
      </c>
      <c r="G2499">
        <v>3.0000000000000001E-3</v>
      </c>
      <c r="H2499">
        <v>14.99</v>
      </c>
      <c r="I2499" t="s">
        <v>15</v>
      </c>
      <c r="J2499" t="s">
        <v>15</v>
      </c>
      <c r="K2499">
        <v>2.7</v>
      </c>
      <c r="L2499">
        <v>0</v>
      </c>
    </row>
    <row r="2500" spans="1:12" x14ac:dyDescent="0.3">
      <c r="A2500" t="s">
        <v>2516</v>
      </c>
      <c r="B2500" t="s">
        <v>13</v>
      </c>
      <c r="C2500">
        <v>8998</v>
      </c>
      <c r="D2500">
        <v>152.97</v>
      </c>
      <c r="E2500">
        <v>27.53</v>
      </c>
      <c r="F2500">
        <f>COUNTIFS(mdr_rate_cleaned!$A$2:$A$10,B2500,mdr_rate_cleaned!$B$2:$B$10,"&lt;"&amp;C2500,mdr_rate_cleaned!$F$2:$F$10,"&gt;="&amp;C2500)</f>
        <v>1</v>
      </c>
      <c r="G2500">
        <v>1.7000000000000001E-2</v>
      </c>
      <c r="H2500">
        <v>152.97</v>
      </c>
      <c r="I2500" t="s">
        <v>15</v>
      </c>
      <c r="J2500" t="s">
        <v>15</v>
      </c>
      <c r="K2500">
        <v>27.53</v>
      </c>
      <c r="L2500">
        <v>0</v>
      </c>
    </row>
    <row r="2501" spans="1:12" x14ac:dyDescent="0.3">
      <c r="A2501" t="s">
        <v>2517</v>
      </c>
      <c r="B2501" t="s">
        <v>21</v>
      </c>
      <c r="C2501">
        <v>999</v>
      </c>
      <c r="D2501">
        <v>0</v>
      </c>
      <c r="E2501">
        <v>0</v>
      </c>
      <c r="F2501">
        <f>COUNTIFS(mdr_rate_cleaned!$A$2:$A$10,B2501,mdr_rate_cleaned!$B$2:$B$10,"&lt;"&amp;C2501,mdr_rate_cleaned!$F$2:$F$10,"&gt;="&amp;C2501)</f>
        <v>1</v>
      </c>
      <c r="G2501">
        <v>0</v>
      </c>
      <c r="H2501">
        <v>0</v>
      </c>
      <c r="I2501" t="s">
        <v>15</v>
      </c>
      <c r="J2501" t="s">
        <v>15</v>
      </c>
      <c r="K2501">
        <v>0</v>
      </c>
      <c r="L2501">
        <v>0</v>
      </c>
    </row>
    <row r="2502" spans="1:12" x14ac:dyDescent="0.3">
      <c r="A2502" t="s">
        <v>2518</v>
      </c>
      <c r="B2502" t="s">
        <v>21</v>
      </c>
      <c r="C2502">
        <v>2999</v>
      </c>
      <c r="D2502">
        <v>9</v>
      </c>
      <c r="E2502">
        <v>1.62</v>
      </c>
      <c r="F2502">
        <f>COUNTIFS(mdr_rate_cleaned!$A$2:$A$10,B2502,mdr_rate_cleaned!$B$2:$B$10,"&lt;"&amp;C2502,mdr_rate_cleaned!$F$2:$F$10,"&gt;="&amp;C2502)</f>
        <v>1</v>
      </c>
      <c r="G2502">
        <v>3.0000000000000001E-3</v>
      </c>
      <c r="H2502">
        <v>9</v>
      </c>
      <c r="I2502" t="s">
        <v>15</v>
      </c>
      <c r="J2502" t="s">
        <v>15</v>
      </c>
      <c r="K2502">
        <v>1.62</v>
      </c>
      <c r="L2502">
        <v>0</v>
      </c>
    </row>
    <row r="2503" spans="1:12" x14ac:dyDescent="0.3">
      <c r="A2503" t="s">
        <v>2519</v>
      </c>
      <c r="B2503" t="s">
        <v>21</v>
      </c>
      <c r="C2503">
        <v>599</v>
      </c>
      <c r="D2503">
        <v>0</v>
      </c>
      <c r="E2503">
        <v>0</v>
      </c>
      <c r="F2503">
        <f>COUNTIFS(mdr_rate_cleaned!$A$2:$A$10,B2503,mdr_rate_cleaned!$B$2:$B$10,"&lt;"&amp;C2503,mdr_rate_cleaned!$F$2:$F$10,"&gt;="&amp;C2503)</f>
        <v>1</v>
      </c>
      <c r="G2503">
        <v>0</v>
      </c>
      <c r="H2503">
        <v>0</v>
      </c>
      <c r="I2503" t="s">
        <v>15</v>
      </c>
      <c r="J2503" t="s">
        <v>15</v>
      </c>
      <c r="K2503">
        <v>0</v>
      </c>
      <c r="L2503">
        <v>0</v>
      </c>
    </row>
    <row r="2504" spans="1:12" x14ac:dyDescent="0.3">
      <c r="A2504" t="s">
        <v>2520</v>
      </c>
      <c r="B2504" t="s">
        <v>13</v>
      </c>
      <c r="C2504">
        <v>2499</v>
      </c>
      <c r="D2504">
        <v>42.48</v>
      </c>
      <c r="E2504">
        <v>7.65</v>
      </c>
      <c r="F2504">
        <f>COUNTIFS(mdr_rate_cleaned!$A$2:$A$10,B2504,mdr_rate_cleaned!$B$2:$B$10,"&lt;"&amp;C2504,mdr_rate_cleaned!$F$2:$F$10,"&gt;="&amp;C2504)</f>
        <v>1</v>
      </c>
      <c r="G2504">
        <v>1.7000000000000001E-2</v>
      </c>
      <c r="H2504">
        <v>42.48</v>
      </c>
      <c r="I2504" t="s">
        <v>15</v>
      </c>
      <c r="J2504" t="s">
        <v>15</v>
      </c>
      <c r="K2504">
        <v>7.65</v>
      </c>
      <c r="L2504">
        <v>0</v>
      </c>
    </row>
    <row r="2505" spans="1:12" x14ac:dyDescent="0.3">
      <c r="A2505" t="s">
        <v>2521</v>
      </c>
      <c r="B2505" t="s">
        <v>21</v>
      </c>
      <c r="C2505">
        <v>2798</v>
      </c>
      <c r="D2505">
        <v>8.39</v>
      </c>
      <c r="E2505">
        <v>1.51</v>
      </c>
      <c r="F2505">
        <f>COUNTIFS(mdr_rate_cleaned!$A$2:$A$10,B2505,mdr_rate_cleaned!$B$2:$B$10,"&lt;"&amp;C2505,mdr_rate_cleaned!$F$2:$F$10,"&gt;="&amp;C2505)</f>
        <v>1</v>
      </c>
      <c r="G2505">
        <v>3.0000000000000001E-3</v>
      </c>
      <c r="H2505">
        <v>8.39</v>
      </c>
      <c r="I2505" t="s">
        <v>15</v>
      </c>
      <c r="J2505" t="s">
        <v>15</v>
      </c>
      <c r="K2505">
        <v>1.51</v>
      </c>
      <c r="L2505">
        <v>0</v>
      </c>
    </row>
    <row r="2506" spans="1:12" x14ac:dyDescent="0.3">
      <c r="A2506" t="s">
        <v>2522</v>
      </c>
      <c r="B2506" t="s">
        <v>21</v>
      </c>
      <c r="C2506">
        <v>1998</v>
      </c>
      <c r="D2506">
        <v>0</v>
      </c>
      <c r="E2506">
        <v>0</v>
      </c>
      <c r="F2506">
        <f>COUNTIFS(mdr_rate_cleaned!$A$2:$A$10,B2506,mdr_rate_cleaned!$B$2:$B$10,"&lt;"&amp;C2506,mdr_rate_cleaned!$F$2:$F$10,"&gt;="&amp;C2506)</f>
        <v>1</v>
      </c>
      <c r="G2506">
        <v>0</v>
      </c>
      <c r="H2506">
        <v>0</v>
      </c>
      <c r="I2506" t="s">
        <v>15</v>
      </c>
      <c r="J2506" t="s">
        <v>15</v>
      </c>
      <c r="K2506">
        <v>0</v>
      </c>
      <c r="L2506">
        <v>0</v>
      </c>
    </row>
    <row r="2507" spans="1:12" x14ac:dyDescent="0.3">
      <c r="A2507" t="s">
        <v>2523</v>
      </c>
      <c r="B2507" t="s">
        <v>21</v>
      </c>
      <c r="C2507">
        <v>499</v>
      </c>
      <c r="D2507">
        <v>1.5</v>
      </c>
      <c r="E2507">
        <v>0.27</v>
      </c>
      <c r="F2507">
        <f>COUNTIFS(mdr_rate_cleaned!$A$2:$A$10,B2507,mdr_rate_cleaned!$B$2:$B$10,"&lt;"&amp;C2507,mdr_rate_cleaned!$F$2:$F$10,"&gt;="&amp;C2507)</f>
        <v>1</v>
      </c>
      <c r="G2507">
        <v>0</v>
      </c>
      <c r="H2507">
        <v>0</v>
      </c>
      <c r="I2507" t="s">
        <v>14</v>
      </c>
      <c r="J2507" t="s">
        <v>15</v>
      </c>
      <c r="K2507">
        <v>0</v>
      </c>
      <c r="L2507">
        <v>1.77</v>
      </c>
    </row>
    <row r="2508" spans="1:12" x14ac:dyDescent="0.3">
      <c r="A2508" t="s">
        <v>2524</v>
      </c>
      <c r="B2508" t="s">
        <v>13</v>
      </c>
      <c r="C2508">
        <v>2499</v>
      </c>
      <c r="D2508">
        <v>42.48</v>
      </c>
      <c r="E2508">
        <v>7.65</v>
      </c>
      <c r="F2508">
        <f>COUNTIFS(mdr_rate_cleaned!$A$2:$A$10,B2508,mdr_rate_cleaned!$B$2:$B$10,"&lt;"&amp;C2508,mdr_rate_cleaned!$F$2:$F$10,"&gt;="&amp;C2508)</f>
        <v>1</v>
      </c>
      <c r="G2508">
        <v>1.7000000000000001E-2</v>
      </c>
      <c r="H2508">
        <v>42.48</v>
      </c>
      <c r="I2508" t="s">
        <v>15</v>
      </c>
      <c r="J2508" t="s">
        <v>15</v>
      </c>
      <c r="K2508">
        <v>7.65</v>
      </c>
      <c r="L2508">
        <v>0</v>
      </c>
    </row>
    <row r="2509" spans="1:12" x14ac:dyDescent="0.3">
      <c r="A2509" t="s">
        <v>2525</v>
      </c>
      <c r="B2509" t="s">
        <v>21</v>
      </c>
      <c r="C2509">
        <v>3798</v>
      </c>
      <c r="D2509">
        <v>11.39</v>
      </c>
      <c r="E2509">
        <v>2.0499999999999998</v>
      </c>
      <c r="F2509">
        <f>COUNTIFS(mdr_rate_cleaned!$A$2:$A$10,B2509,mdr_rate_cleaned!$B$2:$B$10,"&lt;"&amp;C2509,mdr_rate_cleaned!$F$2:$F$10,"&gt;="&amp;C2509)</f>
        <v>1</v>
      </c>
      <c r="G2509">
        <v>3.0000000000000001E-3</v>
      </c>
      <c r="H2509">
        <v>11.39</v>
      </c>
      <c r="I2509" t="s">
        <v>15</v>
      </c>
      <c r="J2509" t="s">
        <v>15</v>
      </c>
      <c r="K2509">
        <v>2.0499999999999998</v>
      </c>
      <c r="L2509">
        <v>0</v>
      </c>
    </row>
    <row r="2510" spans="1:12" x14ac:dyDescent="0.3">
      <c r="A2510" t="s">
        <v>2526</v>
      </c>
      <c r="B2510" t="s">
        <v>21</v>
      </c>
      <c r="C2510">
        <v>9798</v>
      </c>
      <c r="D2510">
        <v>29.39</v>
      </c>
      <c r="E2510">
        <v>5.29</v>
      </c>
      <c r="F2510">
        <f>COUNTIFS(mdr_rate_cleaned!$A$2:$A$10,B2510,mdr_rate_cleaned!$B$2:$B$10,"&lt;"&amp;C2510,mdr_rate_cleaned!$F$2:$F$10,"&gt;="&amp;C2510)</f>
        <v>1</v>
      </c>
      <c r="G2510">
        <v>3.0000000000000001E-3</v>
      </c>
      <c r="H2510">
        <v>29.39</v>
      </c>
      <c r="I2510" t="s">
        <v>15</v>
      </c>
      <c r="J2510" t="s">
        <v>15</v>
      </c>
      <c r="K2510">
        <v>5.29</v>
      </c>
      <c r="L2510">
        <v>0</v>
      </c>
    </row>
    <row r="2511" spans="1:12" x14ac:dyDescent="0.3">
      <c r="A2511" t="s">
        <v>2527</v>
      </c>
      <c r="B2511" t="s">
        <v>21</v>
      </c>
      <c r="C2511">
        <v>4999</v>
      </c>
      <c r="D2511">
        <v>15</v>
      </c>
      <c r="E2511">
        <v>2.7</v>
      </c>
      <c r="F2511">
        <f>COUNTIFS(mdr_rate_cleaned!$A$2:$A$10,B2511,mdr_rate_cleaned!$B$2:$B$10,"&lt;"&amp;C2511,mdr_rate_cleaned!$F$2:$F$10,"&gt;="&amp;C2511)</f>
        <v>1</v>
      </c>
      <c r="G2511">
        <v>3.0000000000000001E-3</v>
      </c>
      <c r="H2511">
        <v>15</v>
      </c>
      <c r="I2511" t="s">
        <v>15</v>
      </c>
      <c r="J2511" t="s">
        <v>15</v>
      </c>
      <c r="K2511">
        <v>2.7</v>
      </c>
      <c r="L2511">
        <v>0</v>
      </c>
    </row>
    <row r="2512" spans="1:12" x14ac:dyDescent="0.3">
      <c r="A2512" t="s">
        <v>2528</v>
      </c>
      <c r="B2512" t="s">
        <v>21</v>
      </c>
      <c r="C2512">
        <v>499</v>
      </c>
      <c r="D2512">
        <v>0</v>
      </c>
      <c r="E2512">
        <v>0</v>
      </c>
      <c r="F2512">
        <f>COUNTIFS(mdr_rate_cleaned!$A$2:$A$10,B2512,mdr_rate_cleaned!$B$2:$B$10,"&lt;"&amp;C2512,mdr_rate_cleaned!$F$2:$F$10,"&gt;="&amp;C2512)</f>
        <v>1</v>
      </c>
      <c r="G2512">
        <v>0</v>
      </c>
      <c r="H2512">
        <v>0</v>
      </c>
      <c r="I2512" t="s">
        <v>15</v>
      </c>
      <c r="J2512" t="s">
        <v>15</v>
      </c>
      <c r="K2512">
        <v>0</v>
      </c>
      <c r="L2512">
        <v>0</v>
      </c>
    </row>
    <row r="2513" spans="1:12" x14ac:dyDescent="0.3">
      <c r="A2513" t="s">
        <v>2529</v>
      </c>
      <c r="B2513" t="s">
        <v>17</v>
      </c>
      <c r="C2513">
        <v>299</v>
      </c>
      <c r="D2513">
        <v>5.38</v>
      </c>
      <c r="E2513">
        <v>0.97</v>
      </c>
      <c r="F2513">
        <f>COUNTIFS(mdr_rate_cleaned!$A$2:$A$10,B2513,mdr_rate_cleaned!$B$2:$B$10,"&lt;"&amp;C2513,mdr_rate_cleaned!$F$2:$F$10,"&gt;="&amp;C2513)</f>
        <v>1</v>
      </c>
      <c r="G2513">
        <v>1.7999999999999999E-2</v>
      </c>
      <c r="H2513">
        <v>5.38</v>
      </c>
      <c r="I2513" t="s">
        <v>15</v>
      </c>
      <c r="J2513" t="s">
        <v>15</v>
      </c>
      <c r="K2513">
        <v>0.97</v>
      </c>
      <c r="L2513">
        <v>0</v>
      </c>
    </row>
    <row r="2514" spans="1:12" x14ac:dyDescent="0.3">
      <c r="A2514" t="s">
        <v>2530</v>
      </c>
      <c r="B2514" t="s">
        <v>21</v>
      </c>
      <c r="C2514">
        <v>1499</v>
      </c>
      <c r="D2514">
        <v>0</v>
      </c>
      <c r="E2514">
        <v>0</v>
      </c>
      <c r="F2514">
        <f>COUNTIFS(mdr_rate_cleaned!$A$2:$A$10,B2514,mdr_rate_cleaned!$B$2:$B$10,"&lt;"&amp;C2514,mdr_rate_cleaned!$F$2:$F$10,"&gt;="&amp;C2514)</f>
        <v>1</v>
      </c>
      <c r="G2514">
        <v>0</v>
      </c>
      <c r="H2514">
        <v>0</v>
      </c>
      <c r="I2514" t="s">
        <v>15</v>
      </c>
      <c r="J2514" t="s">
        <v>15</v>
      </c>
      <c r="K2514">
        <v>0</v>
      </c>
      <c r="L2514">
        <v>0</v>
      </c>
    </row>
    <row r="2515" spans="1:12" x14ac:dyDescent="0.3">
      <c r="A2515" t="s">
        <v>2531</v>
      </c>
      <c r="B2515" t="s">
        <v>21</v>
      </c>
      <c r="C2515">
        <v>2098</v>
      </c>
      <c r="D2515">
        <v>6.29</v>
      </c>
      <c r="E2515">
        <v>1.1299999999999999</v>
      </c>
      <c r="F2515">
        <f>COUNTIFS(mdr_rate_cleaned!$A$2:$A$10,B2515,mdr_rate_cleaned!$B$2:$B$10,"&lt;"&amp;C2515,mdr_rate_cleaned!$F$2:$F$10,"&gt;="&amp;C2515)</f>
        <v>1</v>
      </c>
      <c r="G2515">
        <v>3.0000000000000001E-3</v>
      </c>
      <c r="H2515">
        <v>6.29</v>
      </c>
      <c r="I2515" t="s">
        <v>15</v>
      </c>
      <c r="J2515" t="s">
        <v>15</v>
      </c>
      <c r="K2515">
        <v>1.1299999999999999</v>
      </c>
      <c r="L2515">
        <v>0</v>
      </c>
    </row>
    <row r="2516" spans="1:12" x14ac:dyDescent="0.3">
      <c r="A2516" t="s">
        <v>2532</v>
      </c>
      <c r="B2516" t="s">
        <v>39</v>
      </c>
      <c r="C2516">
        <v>3848</v>
      </c>
      <c r="D2516">
        <v>46.18</v>
      </c>
      <c r="E2516">
        <v>8.31</v>
      </c>
      <c r="F2516">
        <f>COUNTIFS(mdr_rate_cleaned!$A$2:$A$10,B2516,mdr_rate_cleaned!$B$2:$B$10,"&lt;"&amp;C2516,mdr_rate_cleaned!$F$2:$F$10,"&gt;="&amp;C2516)</f>
        <v>1</v>
      </c>
      <c r="G2516">
        <v>1.2E-2</v>
      </c>
      <c r="H2516">
        <v>46.18</v>
      </c>
      <c r="I2516" t="s">
        <v>15</v>
      </c>
      <c r="J2516" t="s">
        <v>15</v>
      </c>
      <c r="K2516">
        <v>8.31</v>
      </c>
      <c r="L2516">
        <v>0</v>
      </c>
    </row>
    <row r="2517" spans="1:12" x14ac:dyDescent="0.3">
      <c r="A2517" t="s">
        <v>2533</v>
      </c>
      <c r="B2517" t="s">
        <v>17</v>
      </c>
      <c r="C2517">
        <v>3798</v>
      </c>
      <c r="D2517">
        <v>60.77</v>
      </c>
      <c r="E2517">
        <v>10.94</v>
      </c>
      <c r="F2517">
        <f>COUNTIFS(mdr_rate_cleaned!$A$2:$A$10,B2517,mdr_rate_cleaned!$B$2:$B$10,"&lt;"&amp;C2517,mdr_rate_cleaned!$F$2:$F$10,"&gt;="&amp;C2517)</f>
        <v>1</v>
      </c>
      <c r="G2517">
        <v>1.6E-2</v>
      </c>
      <c r="H2517">
        <v>60.77</v>
      </c>
      <c r="I2517" t="s">
        <v>15</v>
      </c>
      <c r="J2517" t="s">
        <v>15</v>
      </c>
      <c r="K2517">
        <v>10.94</v>
      </c>
      <c r="L2517">
        <v>0</v>
      </c>
    </row>
    <row r="2518" spans="1:12" x14ac:dyDescent="0.3">
      <c r="A2518" t="s">
        <v>2534</v>
      </c>
      <c r="B2518" t="s">
        <v>21</v>
      </c>
      <c r="C2518">
        <v>1848</v>
      </c>
      <c r="D2518">
        <v>0</v>
      </c>
      <c r="E2518">
        <v>0</v>
      </c>
      <c r="F2518">
        <f>COUNTIFS(mdr_rate_cleaned!$A$2:$A$10,B2518,mdr_rate_cleaned!$B$2:$B$10,"&lt;"&amp;C2518,mdr_rate_cleaned!$F$2:$F$10,"&gt;="&amp;C2518)</f>
        <v>1</v>
      </c>
      <c r="G2518">
        <v>0</v>
      </c>
      <c r="H2518">
        <v>0</v>
      </c>
      <c r="I2518" t="s">
        <v>15</v>
      </c>
      <c r="J2518" t="s">
        <v>15</v>
      </c>
      <c r="K2518">
        <v>0</v>
      </c>
      <c r="L2518">
        <v>0</v>
      </c>
    </row>
    <row r="2519" spans="1:12" x14ac:dyDescent="0.3">
      <c r="A2519" t="s">
        <v>2535</v>
      </c>
      <c r="B2519" t="s">
        <v>17</v>
      </c>
      <c r="C2519">
        <v>1299</v>
      </c>
      <c r="D2519">
        <v>23.38</v>
      </c>
      <c r="E2519">
        <v>4.21</v>
      </c>
      <c r="F2519">
        <f>COUNTIFS(mdr_rate_cleaned!$A$2:$A$10,B2519,mdr_rate_cleaned!$B$2:$B$10,"&lt;"&amp;C2519,mdr_rate_cleaned!$F$2:$F$10,"&gt;="&amp;C2519)</f>
        <v>1</v>
      </c>
      <c r="G2519">
        <v>1.7999999999999999E-2</v>
      </c>
      <c r="H2519">
        <v>23.38</v>
      </c>
      <c r="I2519" t="s">
        <v>15</v>
      </c>
      <c r="J2519" t="s">
        <v>15</v>
      </c>
      <c r="K2519">
        <v>4.21</v>
      </c>
      <c r="L2519">
        <v>0</v>
      </c>
    </row>
    <row r="2520" spans="1:12" x14ac:dyDescent="0.3">
      <c r="A2520" t="s">
        <v>2536</v>
      </c>
      <c r="B2520" t="s">
        <v>17</v>
      </c>
      <c r="C2520">
        <v>1499</v>
      </c>
      <c r="D2520">
        <v>26.98</v>
      </c>
      <c r="E2520">
        <v>4.8600000000000003</v>
      </c>
      <c r="F2520">
        <f>COUNTIFS(mdr_rate_cleaned!$A$2:$A$10,B2520,mdr_rate_cleaned!$B$2:$B$10,"&lt;"&amp;C2520,mdr_rate_cleaned!$F$2:$F$10,"&gt;="&amp;C2520)</f>
        <v>1</v>
      </c>
      <c r="G2520">
        <v>1.7999999999999999E-2</v>
      </c>
      <c r="H2520">
        <v>26.98</v>
      </c>
      <c r="I2520" t="s">
        <v>15</v>
      </c>
      <c r="J2520" t="s">
        <v>15</v>
      </c>
      <c r="K2520">
        <v>4.8600000000000003</v>
      </c>
      <c r="L2520">
        <v>0</v>
      </c>
    </row>
    <row r="2521" spans="1:12" x14ac:dyDescent="0.3">
      <c r="A2521" t="s">
        <v>2537</v>
      </c>
      <c r="B2521" t="s">
        <v>21</v>
      </c>
      <c r="C2521">
        <v>2798</v>
      </c>
      <c r="D2521">
        <v>8.39</v>
      </c>
      <c r="E2521">
        <v>1.51</v>
      </c>
      <c r="F2521">
        <f>COUNTIFS(mdr_rate_cleaned!$A$2:$A$10,B2521,mdr_rate_cleaned!$B$2:$B$10,"&lt;"&amp;C2521,mdr_rate_cleaned!$F$2:$F$10,"&gt;="&amp;C2521)</f>
        <v>1</v>
      </c>
      <c r="G2521">
        <v>3.0000000000000001E-3</v>
      </c>
      <c r="H2521">
        <v>8.39</v>
      </c>
      <c r="I2521" t="s">
        <v>15</v>
      </c>
      <c r="J2521" t="s">
        <v>15</v>
      </c>
      <c r="K2521">
        <v>1.51</v>
      </c>
      <c r="L2521">
        <v>0</v>
      </c>
    </row>
    <row r="2522" spans="1:12" x14ac:dyDescent="0.3">
      <c r="A2522" t="s">
        <v>2538</v>
      </c>
      <c r="B2522" t="s">
        <v>13</v>
      </c>
      <c r="C2522">
        <v>4647</v>
      </c>
      <c r="D2522">
        <v>79</v>
      </c>
      <c r="E2522">
        <v>14.22</v>
      </c>
      <c r="F2522">
        <f>COUNTIFS(mdr_rate_cleaned!$A$2:$A$10,B2522,mdr_rate_cleaned!$B$2:$B$10,"&lt;"&amp;C2522,mdr_rate_cleaned!$F$2:$F$10,"&gt;="&amp;C2522)</f>
        <v>1</v>
      </c>
      <c r="G2522">
        <v>1.7000000000000001E-2</v>
      </c>
      <c r="H2522">
        <v>79</v>
      </c>
      <c r="I2522" t="s">
        <v>15</v>
      </c>
      <c r="J2522" t="s">
        <v>15</v>
      </c>
      <c r="K2522">
        <v>14.22</v>
      </c>
      <c r="L2522">
        <v>0</v>
      </c>
    </row>
    <row r="2523" spans="1:12" x14ac:dyDescent="0.3">
      <c r="A2523" t="s">
        <v>2539</v>
      </c>
      <c r="B2523" t="s">
        <v>17</v>
      </c>
      <c r="C2523">
        <v>3499</v>
      </c>
      <c r="D2523">
        <v>55.98</v>
      </c>
      <c r="E2523">
        <v>10.08</v>
      </c>
      <c r="F2523">
        <f>COUNTIFS(mdr_rate_cleaned!$A$2:$A$10,B2523,mdr_rate_cleaned!$B$2:$B$10,"&lt;"&amp;C2523,mdr_rate_cleaned!$F$2:$F$10,"&gt;="&amp;C2523)</f>
        <v>1</v>
      </c>
      <c r="G2523">
        <v>1.6E-2</v>
      </c>
      <c r="H2523">
        <v>55.98</v>
      </c>
      <c r="I2523" t="s">
        <v>15</v>
      </c>
      <c r="J2523" t="s">
        <v>15</v>
      </c>
      <c r="K2523">
        <v>10.08</v>
      </c>
      <c r="L2523">
        <v>0</v>
      </c>
    </row>
    <row r="2524" spans="1:12" x14ac:dyDescent="0.3">
      <c r="A2524" t="s">
        <v>2540</v>
      </c>
      <c r="B2524" t="s">
        <v>17</v>
      </c>
      <c r="C2524">
        <v>1098</v>
      </c>
      <c r="D2524">
        <v>19.760000000000002</v>
      </c>
      <c r="E2524">
        <v>3.56</v>
      </c>
      <c r="F2524">
        <f>COUNTIFS(mdr_rate_cleaned!$A$2:$A$10,B2524,mdr_rate_cleaned!$B$2:$B$10,"&lt;"&amp;C2524,mdr_rate_cleaned!$F$2:$F$10,"&gt;="&amp;C2524)</f>
        <v>1</v>
      </c>
      <c r="G2524">
        <v>1.7999999999999999E-2</v>
      </c>
      <c r="H2524">
        <v>19.760000000000002</v>
      </c>
      <c r="I2524" t="s">
        <v>15</v>
      </c>
      <c r="J2524" t="s">
        <v>15</v>
      </c>
      <c r="K2524">
        <v>3.56</v>
      </c>
      <c r="L2524">
        <v>0</v>
      </c>
    </row>
    <row r="2525" spans="1:12" x14ac:dyDescent="0.3">
      <c r="A2525" t="s">
        <v>2541</v>
      </c>
      <c r="B2525" t="s">
        <v>13</v>
      </c>
      <c r="C2525">
        <v>7498</v>
      </c>
      <c r="D2525">
        <v>127.47</v>
      </c>
      <c r="E2525">
        <v>22.94</v>
      </c>
      <c r="F2525">
        <f>COUNTIFS(mdr_rate_cleaned!$A$2:$A$10,B2525,mdr_rate_cleaned!$B$2:$B$10,"&lt;"&amp;C2525,mdr_rate_cleaned!$F$2:$F$10,"&gt;="&amp;C2525)</f>
        <v>1</v>
      </c>
      <c r="G2525">
        <v>1.7000000000000001E-2</v>
      </c>
      <c r="H2525">
        <v>127.47</v>
      </c>
      <c r="I2525" t="s">
        <v>15</v>
      </c>
      <c r="J2525" t="s">
        <v>15</v>
      </c>
      <c r="K2525">
        <v>22.94</v>
      </c>
      <c r="L2525">
        <v>0</v>
      </c>
    </row>
    <row r="2526" spans="1:12" x14ac:dyDescent="0.3">
      <c r="A2526" t="s">
        <v>2542</v>
      </c>
      <c r="B2526" t="s">
        <v>21</v>
      </c>
      <c r="C2526">
        <v>1799</v>
      </c>
      <c r="D2526">
        <v>0</v>
      </c>
      <c r="E2526">
        <v>0</v>
      </c>
      <c r="F2526">
        <f>COUNTIFS(mdr_rate_cleaned!$A$2:$A$10,B2526,mdr_rate_cleaned!$B$2:$B$10,"&lt;"&amp;C2526,mdr_rate_cleaned!$F$2:$F$10,"&gt;="&amp;C2526)</f>
        <v>1</v>
      </c>
      <c r="G2526">
        <v>0</v>
      </c>
      <c r="H2526">
        <v>0</v>
      </c>
      <c r="I2526" t="s">
        <v>15</v>
      </c>
      <c r="J2526" t="s">
        <v>15</v>
      </c>
      <c r="K2526">
        <v>0</v>
      </c>
      <c r="L2526">
        <v>0</v>
      </c>
    </row>
    <row r="2527" spans="1:12" x14ac:dyDescent="0.3">
      <c r="A2527" t="s">
        <v>2543</v>
      </c>
      <c r="B2527" t="s">
        <v>21</v>
      </c>
      <c r="C2527">
        <v>349</v>
      </c>
      <c r="D2527">
        <v>0</v>
      </c>
      <c r="E2527">
        <v>0</v>
      </c>
      <c r="F2527">
        <f>COUNTIFS(mdr_rate_cleaned!$A$2:$A$10,B2527,mdr_rate_cleaned!$B$2:$B$10,"&lt;"&amp;C2527,mdr_rate_cleaned!$F$2:$F$10,"&gt;="&amp;C2527)</f>
        <v>1</v>
      </c>
      <c r="G2527">
        <v>0</v>
      </c>
      <c r="H2527">
        <v>0</v>
      </c>
      <c r="I2527" t="s">
        <v>15</v>
      </c>
      <c r="J2527" t="s">
        <v>15</v>
      </c>
      <c r="K2527">
        <v>0</v>
      </c>
      <c r="L2527">
        <v>0</v>
      </c>
    </row>
    <row r="2528" spans="1:12" x14ac:dyDescent="0.3">
      <c r="A2528" t="s">
        <v>2544</v>
      </c>
      <c r="B2528" t="s">
        <v>21</v>
      </c>
      <c r="C2528">
        <v>6298</v>
      </c>
      <c r="D2528">
        <v>18.89</v>
      </c>
      <c r="E2528">
        <v>3.4</v>
      </c>
      <c r="F2528">
        <f>COUNTIFS(mdr_rate_cleaned!$A$2:$A$10,B2528,mdr_rate_cleaned!$B$2:$B$10,"&lt;"&amp;C2528,mdr_rate_cleaned!$F$2:$F$10,"&gt;="&amp;C2528)</f>
        <v>1</v>
      </c>
      <c r="G2528">
        <v>3.0000000000000001E-3</v>
      </c>
      <c r="H2528">
        <v>18.89</v>
      </c>
      <c r="I2528" t="s">
        <v>15</v>
      </c>
      <c r="J2528" t="s">
        <v>15</v>
      </c>
      <c r="K2528">
        <v>3.4</v>
      </c>
      <c r="L2528">
        <v>0</v>
      </c>
    </row>
    <row r="2529" spans="1:12" x14ac:dyDescent="0.3">
      <c r="A2529" t="s">
        <v>2545</v>
      </c>
      <c r="B2529" t="s">
        <v>21</v>
      </c>
      <c r="C2529">
        <v>3647</v>
      </c>
      <c r="D2529">
        <v>10.94</v>
      </c>
      <c r="E2529">
        <v>1.97</v>
      </c>
      <c r="F2529">
        <f>COUNTIFS(mdr_rate_cleaned!$A$2:$A$10,B2529,mdr_rate_cleaned!$B$2:$B$10,"&lt;"&amp;C2529,mdr_rate_cleaned!$F$2:$F$10,"&gt;="&amp;C2529)</f>
        <v>1</v>
      </c>
      <c r="G2529">
        <v>3.0000000000000001E-3</v>
      </c>
      <c r="H2529">
        <v>10.94</v>
      </c>
      <c r="I2529" t="s">
        <v>15</v>
      </c>
      <c r="J2529" t="s">
        <v>15</v>
      </c>
      <c r="K2529">
        <v>1.97</v>
      </c>
      <c r="L2529">
        <v>0</v>
      </c>
    </row>
    <row r="2530" spans="1:12" x14ac:dyDescent="0.3">
      <c r="A2530" t="s">
        <v>2546</v>
      </c>
      <c r="B2530" t="s">
        <v>21</v>
      </c>
      <c r="C2530">
        <v>1848</v>
      </c>
      <c r="D2530">
        <v>0</v>
      </c>
      <c r="E2530">
        <v>0</v>
      </c>
      <c r="F2530">
        <f>COUNTIFS(mdr_rate_cleaned!$A$2:$A$10,B2530,mdr_rate_cleaned!$B$2:$B$10,"&lt;"&amp;C2530,mdr_rate_cleaned!$F$2:$F$10,"&gt;="&amp;C2530)</f>
        <v>1</v>
      </c>
      <c r="G2530">
        <v>0</v>
      </c>
      <c r="H2530">
        <v>0</v>
      </c>
      <c r="I2530" t="s">
        <v>15</v>
      </c>
      <c r="J2530" t="s">
        <v>15</v>
      </c>
      <c r="K2530">
        <v>0</v>
      </c>
      <c r="L2530">
        <v>0</v>
      </c>
    </row>
    <row r="2531" spans="1:12" x14ac:dyDescent="0.3">
      <c r="A2531" t="s">
        <v>2547</v>
      </c>
      <c r="B2531" t="s">
        <v>21</v>
      </c>
      <c r="C2531">
        <v>299</v>
      </c>
      <c r="D2531">
        <v>0</v>
      </c>
      <c r="E2531">
        <v>0</v>
      </c>
      <c r="F2531">
        <f>COUNTIFS(mdr_rate_cleaned!$A$2:$A$10,B2531,mdr_rate_cleaned!$B$2:$B$10,"&lt;"&amp;C2531,mdr_rate_cleaned!$F$2:$F$10,"&gt;="&amp;C2531)</f>
        <v>1</v>
      </c>
      <c r="G2531">
        <v>0</v>
      </c>
      <c r="H2531">
        <v>0</v>
      </c>
      <c r="I2531" t="s">
        <v>15</v>
      </c>
      <c r="J2531" t="s">
        <v>15</v>
      </c>
      <c r="K2531">
        <v>0</v>
      </c>
      <c r="L2531">
        <v>0</v>
      </c>
    </row>
    <row r="2532" spans="1:12" x14ac:dyDescent="0.3">
      <c r="A2532" t="s">
        <v>2548</v>
      </c>
      <c r="B2532" t="s">
        <v>17</v>
      </c>
      <c r="C2532">
        <v>1898</v>
      </c>
      <c r="D2532">
        <v>34.159999999999997</v>
      </c>
      <c r="E2532">
        <v>6.15</v>
      </c>
      <c r="F2532">
        <f>COUNTIFS(mdr_rate_cleaned!$A$2:$A$10,B2532,mdr_rate_cleaned!$B$2:$B$10,"&lt;"&amp;C2532,mdr_rate_cleaned!$F$2:$F$10,"&gt;="&amp;C2532)</f>
        <v>1</v>
      </c>
      <c r="G2532">
        <v>1.7999999999999999E-2</v>
      </c>
      <c r="H2532">
        <v>34.159999999999997</v>
      </c>
      <c r="I2532" t="s">
        <v>15</v>
      </c>
      <c r="J2532" t="s">
        <v>15</v>
      </c>
      <c r="K2532">
        <v>6.15</v>
      </c>
      <c r="L2532">
        <v>0</v>
      </c>
    </row>
    <row r="2533" spans="1:12" x14ac:dyDescent="0.3">
      <c r="A2533" t="s">
        <v>2549</v>
      </c>
      <c r="B2533" t="s">
        <v>21</v>
      </c>
      <c r="C2533">
        <v>1299</v>
      </c>
      <c r="D2533">
        <v>0</v>
      </c>
      <c r="E2533">
        <v>0</v>
      </c>
      <c r="F2533">
        <f>COUNTIFS(mdr_rate_cleaned!$A$2:$A$10,B2533,mdr_rate_cleaned!$B$2:$B$10,"&lt;"&amp;C2533,mdr_rate_cleaned!$F$2:$F$10,"&gt;="&amp;C2533)</f>
        <v>1</v>
      </c>
      <c r="G2533">
        <v>0</v>
      </c>
      <c r="H2533">
        <v>0</v>
      </c>
      <c r="I2533" t="s">
        <v>15</v>
      </c>
      <c r="J2533" t="s">
        <v>15</v>
      </c>
      <c r="K2533">
        <v>0</v>
      </c>
      <c r="L2533">
        <v>0</v>
      </c>
    </row>
    <row r="2534" spans="1:12" x14ac:dyDescent="0.3">
      <c r="A2534" t="s">
        <v>2550</v>
      </c>
      <c r="B2534" t="s">
        <v>39</v>
      </c>
      <c r="C2534">
        <v>999</v>
      </c>
      <c r="D2534">
        <v>14.99</v>
      </c>
      <c r="E2534">
        <v>2.7</v>
      </c>
      <c r="F2534">
        <f>COUNTIFS(mdr_rate_cleaned!$A$2:$A$10,B2534,mdr_rate_cleaned!$B$2:$B$10,"&lt;"&amp;C2534,mdr_rate_cleaned!$F$2:$F$10,"&gt;="&amp;C2534)</f>
        <v>1</v>
      </c>
      <c r="G2534">
        <v>1.4999999999999999E-2</v>
      </c>
      <c r="H2534">
        <v>14.99</v>
      </c>
      <c r="I2534" t="s">
        <v>15</v>
      </c>
      <c r="J2534" t="s">
        <v>15</v>
      </c>
      <c r="K2534">
        <v>2.7</v>
      </c>
      <c r="L2534">
        <v>0</v>
      </c>
    </row>
    <row r="2535" spans="1:12" x14ac:dyDescent="0.3">
      <c r="A2535" t="s">
        <v>2551</v>
      </c>
      <c r="B2535" t="s">
        <v>13</v>
      </c>
      <c r="C2535">
        <v>6797</v>
      </c>
      <c r="D2535">
        <v>163.13</v>
      </c>
      <c r="E2535">
        <v>29.36</v>
      </c>
      <c r="F2535">
        <f>COUNTIFS(mdr_rate_cleaned!$A$2:$A$10,B2535,mdr_rate_cleaned!$B$2:$B$10,"&lt;"&amp;C2535,mdr_rate_cleaned!$F$2:$F$10,"&gt;="&amp;C2535)</f>
        <v>1</v>
      </c>
      <c r="G2535">
        <v>1.7000000000000001E-2</v>
      </c>
      <c r="H2535">
        <v>115.55</v>
      </c>
      <c r="I2535" t="s">
        <v>14</v>
      </c>
      <c r="J2535" t="s">
        <v>15</v>
      </c>
      <c r="K2535">
        <v>20.8</v>
      </c>
      <c r="L2535">
        <v>56.14</v>
      </c>
    </row>
    <row r="2536" spans="1:12" x14ac:dyDescent="0.3">
      <c r="A2536" t="s">
        <v>2552</v>
      </c>
      <c r="B2536" t="s">
        <v>21</v>
      </c>
      <c r="C2536">
        <v>9798</v>
      </c>
      <c r="D2536">
        <v>29.39</v>
      </c>
      <c r="E2536">
        <v>5.29</v>
      </c>
      <c r="F2536">
        <f>COUNTIFS(mdr_rate_cleaned!$A$2:$A$10,B2536,mdr_rate_cleaned!$B$2:$B$10,"&lt;"&amp;C2536,mdr_rate_cleaned!$F$2:$F$10,"&gt;="&amp;C2536)</f>
        <v>1</v>
      </c>
      <c r="G2536">
        <v>3.0000000000000001E-3</v>
      </c>
      <c r="H2536">
        <v>29.39</v>
      </c>
      <c r="I2536" t="s">
        <v>15</v>
      </c>
      <c r="J2536" t="s">
        <v>15</v>
      </c>
      <c r="K2536">
        <v>5.29</v>
      </c>
      <c r="L2536">
        <v>0</v>
      </c>
    </row>
    <row r="2537" spans="1:12" x14ac:dyDescent="0.3">
      <c r="A2537" t="s">
        <v>2553</v>
      </c>
      <c r="B2537" t="s">
        <v>21</v>
      </c>
      <c r="C2537">
        <v>3998</v>
      </c>
      <c r="D2537">
        <v>11.99</v>
      </c>
      <c r="E2537">
        <v>2.16</v>
      </c>
      <c r="F2537">
        <f>COUNTIFS(mdr_rate_cleaned!$A$2:$A$10,B2537,mdr_rate_cleaned!$B$2:$B$10,"&lt;"&amp;C2537,mdr_rate_cleaned!$F$2:$F$10,"&gt;="&amp;C2537)</f>
        <v>1</v>
      </c>
      <c r="G2537">
        <v>3.0000000000000001E-3</v>
      </c>
      <c r="H2537">
        <v>11.99</v>
      </c>
      <c r="I2537" t="s">
        <v>15</v>
      </c>
      <c r="J2537" t="s">
        <v>15</v>
      </c>
      <c r="K2537">
        <v>2.16</v>
      </c>
      <c r="L2537">
        <v>0</v>
      </c>
    </row>
    <row r="2538" spans="1:12" x14ac:dyDescent="0.3">
      <c r="A2538" t="s">
        <v>2554</v>
      </c>
      <c r="B2538" t="s">
        <v>21</v>
      </c>
      <c r="C2538">
        <v>2499</v>
      </c>
      <c r="D2538">
        <v>7.5</v>
      </c>
      <c r="E2538">
        <v>1.35</v>
      </c>
      <c r="F2538">
        <f>COUNTIFS(mdr_rate_cleaned!$A$2:$A$10,B2538,mdr_rate_cleaned!$B$2:$B$10,"&lt;"&amp;C2538,mdr_rate_cleaned!$F$2:$F$10,"&gt;="&amp;C2538)</f>
        <v>1</v>
      </c>
      <c r="G2538">
        <v>3.0000000000000001E-3</v>
      </c>
      <c r="H2538">
        <v>7.5</v>
      </c>
      <c r="I2538" t="s">
        <v>15</v>
      </c>
      <c r="J2538" t="s">
        <v>15</v>
      </c>
      <c r="K2538">
        <v>1.35</v>
      </c>
      <c r="L2538">
        <v>0</v>
      </c>
    </row>
    <row r="2539" spans="1:12" x14ac:dyDescent="0.3">
      <c r="A2539" t="s">
        <v>2555</v>
      </c>
      <c r="B2539" t="s">
        <v>13</v>
      </c>
      <c r="C2539">
        <v>5498</v>
      </c>
      <c r="D2539">
        <v>93.47</v>
      </c>
      <c r="E2539">
        <v>16.82</v>
      </c>
      <c r="F2539">
        <f>COUNTIFS(mdr_rate_cleaned!$A$2:$A$10,B2539,mdr_rate_cleaned!$B$2:$B$10,"&lt;"&amp;C2539,mdr_rate_cleaned!$F$2:$F$10,"&gt;="&amp;C2539)</f>
        <v>1</v>
      </c>
      <c r="G2539">
        <v>1.7000000000000001E-2</v>
      </c>
      <c r="H2539">
        <v>93.47</v>
      </c>
      <c r="I2539" t="s">
        <v>15</v>
      </c>
      <c r="J2539" t="s">
        <v>15</v>
      </c>
      <c r="K2539">
        <v>16.82</v>
      </c>
      <c r="L2539">
        <v>0</v>
      </c>
    </row>
    <row r="2540" spans="1:12" x14ac:dyDescent="0.3">
      <c r="A2540" t="s">
        <v>2556</v>
      </c>
      <c r="B2540" t="s">
        <v>21</v>
      </c>
      <c r="C2540">
        <v>3998</v>
      </c>
      <c r="D2540">
        <v>11.99</v>
      </c>
      <c r="E2540">
        <v>2.16</v>
      </c>
      <c r="F2540">
        <f>COUNTIFS(mdr_rate_cleaned!$A$2:$A$10,B2540,mdr_rate_cleaned!$B$2:$B$10,"&lt;"&amp;C2540,mdr_rate_cleaned!$F$2:$F$10,"&gt;="&amp;C2540)</f>
        <v>1</v>
      </c>
      <c r="G2540">
        <v>3.0000000000000001E-3</v>
      </c>
      <c r="H2540">
        <v>11.99</v>
      </c>
      <c r="I2540" t="s">
        <v>15</v>
      </c>
      <c r="J2540" t="s">
        <v>15</v>
      </c>
      <c r="K2540">
        <v>2.16</v>
      </c>
      <c r="L2540">
        <v>0</v>
      </c>
    </row>
    <row r="2541" spans="1:12" x14ac:dyDescent="0.3">
      <c r="A2541" t="s">
        <v>2557</v>
      </c>
      <c r="B2541" t="s">
        <v>21</v>
      </c>
      <c r="C2541">
        <v>4999</v>
      </c>
      <c r="D2541">
        <v>15</v>
      </c>
      <c r="E2541">
        <v>2.7</v>
      </c>
      <c r="F2541">
        <f>COUNTIFS(mdr_rate_cleaned!$A$2:$A$10,B2541,mdr_rate_cleaned!$B$2:$B$10,"&lt;"&amp;C2541,mdr_rate_cleaned!$F$2:$F$10,"&gt;="&amp;C2541)</f>
        <v>1</v>
      </c>
      <c r="G2541">
        <v>3.0000000000000001E-3</v>
      </c>
      <c r="H2541">
        <v>15</v>
      </c>
      <c r="I2541" t="s">
        <v>15</v>
      </c>
      <c r="J2541" t="s">
        <v>15</v>
      </c>
      <c r="K2541">
        <v>2.7</v>
      </c>
      <c r="L2541">
        <v>0</v>
      </c>
    </row>
    <row r="2542" spans="1:12" x14ac:dyDescent="0.3">
      <c r="A2542" t="s">
        <v>2558</v>
      </c>
      <c r="B2542" t="s">
        <v>21</v>
      </c>
      <c r="C2542">
        <v>499</v>
      </c>
      <c r="D2542">
        <v>0</v>
      </c>
      <c r="E2542">
        <v>0</v>
      </c>
      <c r="F2542">
        <f>COUNTIFS(mdr_rate_cleaned!$A$2:$A$10,B2542,mdr_rate_cleaned!$B$2:$B$10,"&lt;"&amp;C2542,mdr_rate_cleaned!$F$2:$F$10,"&gt;="&amp;C2542)</f>
        <v>1</v>
      </c>
      <c r="G2542">
        <v>0</v>
      </c>
      <c r="H2542">
        <v>0</v>
      </c>
      <c r="I2542" t="s">
        <v>15</v>
      </c>
      <c r="J2542" t="s">
        <v>15</v>
      </c>
      <c r="K2542">
        <v>0</v>
      </c>
      <c r="L2542">
        <v>0</v>
      </c>
    </row>
    <row r="2543" spans="1:12" x14ac:dyDescent="0.3">
      <c r="A2543" t="s">
        <v>2559</v>
      </c>
      <c r="B2543" t="s">
        <v>13</v>
      </c>
      <c r="C2543">
        <v>1299</v>
      </c>
      <c r="D2543">
        <v>24.68</v>
      </c>
      <c r="E2543">
        <v>4.4400000000000004</v>
      </c>
      <c r="F2543">
        <f>COUNTIFS(mdr_rate_cleaned!$A$2:$A$10,B2543,mdr_rate_cleaned!$B$2:$B$10,"&lt;"&amp;C2543,mdr_rate_cleaned!$F$2:$F$10,"&gt;="&amp;C2543)</f>
        <v>1</v>
      </c>
      <c r="G2543">
        <v>1.9E-2</v>
      </c>
      <c r="H2543">
        <v>24.68</v>
      </c>
      <c r="I2543" t="s">
        <v>15</v>
      </c>
      <c r="J2543" t="s">
        <v>15</v>
      </c>
      <c r="K2543">
        <v>4.4400000000000004</v>
      </c>
      <c r="L2543">
        <v>0</v>
      </c>
    </row>
    <row r="2544" spans="1:12" x14ac:dyDescent="0.3">
      <c r="A2544" t="s">
        <v>2560</v>
      </c>
      <c r="B2544" t="s">
        <v>21</v>
      </c>
      <c r="C2544">
        <v>8798</v>
      </c>
      <c r="D2544">
        <v>26.39</v>
      </c>
      <c r="E2544">
        <v>4.75</v>
      </c>
      <c r="F2544">
        <f>COUNTIFS(mdr_rate_cleaned!$A$2:$A$10,B2544,mdr_rate_cleaned!$B$2:$B$10,"&lt;"&amp;C2544,mdr_rate_cleaned!$F$2:$F$10,"&gt;="&amp;C2544)</f>
        <v>1</v>
      </c>
      <c r="G2544">
        <v>3.0000000000000001E-3</v>
      </c>
      <c r="H2544">
        <v>26.39</v>
      </c>
      <c r="I2544" t="s">
        <v>15</v>
      </c>
      <c r="J2544" t="s">
        <v>15</v>
      </c>
      <c r="K2544">
        <v>4.75</v>
      </c>
      <c r="L2544">
        <v>0</v>
      </c>
    </row>
    <row r="2545" spans="1:12" x14ac:dyDescent="0.3">
      <c r="A2545" t="s">
        <v>2561</v>
      </c>
      <c r="B2545" t="s">
        <v>21</v>
      </c>
      <c r="C2545">
        <v>1198</v>
      </c>
      <c r="D2545">
        <v>0</v>
      </c>
      <c r="E2545">
        <v>0</v>
      </c>
      <c r="F2545">
        <f>COUNTIFS(mdr_rate_cleaned!$A$2:$A$10,B2545,mdr_rate_cleaned!$B$2:$B$10,"&lt;"&amp;C2545,mdr_rate_cleaned!$F$2:$F$10,"&gt;="&amp;C2545)</f>
        <v>1</v>
      </c>
      <c r="G2545">
        <v>0</v>
      </c>
      <c r="H2545">
        <v>0</v>
      </c>
      <c r="I2545" t="s">
        <v>15</v>
      </c>
      <c r="J2545" t="s">
        <v>15</v>
      </c>
      <c r="K2545">
        <v>0</v>
      </c>
      <c r="L2545">
        <v>0</v>
      </c>
    </row>
    <row r="2546" spans="1:12" x14ac:dyDescent="0.3">
      <c r="A2546" t="s">
        <v>2562</v>
      </c>
      <c r="B2546" t="s">
        <v>21</v>
      </c>
      <c r="C2546">
        <v>3298</v>
      </c>
      <c r="D2546">
        <v>9.89</v>
      </c>
      <c r="E2546">
        <v>1.78</v>
      </c>
      <c r="F2546">
        <f>COUNTIFS(mdr_rate_cleaned!$A$2:$A$10,B2546,mdr_rate_cleaned!$B$2:$B$10,"&lt;"&amp;C2546,mdr_rate_cleaned!$F$2:$F$10,"&gt;="&amp;C2546)</f>
        <v>1</v>
      </c>
      <c r="G2546">
        <v>3.0000000000000001E-3</v>
      </c>
      <c r="H2546">
        <v>9.89</v>
      </c>
      <c r="I2546" t="s">
        <v>15</v>
      </c>
      <c r="J2546" t="s">
        <v>15</v>
      </c>
      <c r="K2546">
        <v>1.78</v>
      </c>
      <c r="L2546">
        <v>0</v>
      </c>
    </row>
    <row r="2547" spans="1:12" x14ac:dyDescent="0.3">
      <c r="A2547" t="s">
        <v>2563</v>
      </c>
      <c r="B2547" t="s">
        <v>39</v>
      </c>
      <c r="C2547">
        <v>2499</v>
      </c>
      <c r="D2547">
        <v>29.99</v>
      </c>
      <c r="E2547">
        <v>5.4</v>
      </c>
      <c r="F2547">
        <f>COUNTIFS(mdr_rate_cleaned!$A$2:$A$10,B2547,mdr_rate_cleaned!$B$2:$B$10,"&lt;"&amp;C2547,mdr_rate_cleaned!$F$2:$F$10,"&gt;="&amp;C2547)</f>
        <v>1</v>
      </c>
      <c r="G2547">
        <v>1.2E-2</v>
      </c>
      <c r="H2547">
        <v>29.99</v>
      </c>
      <c r="I2547" t="s">
        <v>15</v>
      </c>
      <c r="J2547" t="s">
        <v>15</v>
      </c>
      <c r="K2547">
        <v>5.4</v>
      </c>
      <c r="L2547">
        <v>0</v>
      </c>
    </row>
    <row r="2548" spans="1:12" x14ac:dyDescent="0.3">
      <c r="A2548" t="s">
        <v>2564</v>
      </c>
      <c r="B2548" t="s">
        <v>21</v>
      </c>
      <c r="C2548">
        <v>5797</v>
      </c>
      <c r="D2548">
        <v>17.39</v>
      </c>
      <c r="E2548">
        <v>3.13</v>
      </c>
      <c r="F2548">
        <f>COUNTIFS(mdr_rate_cleaned!$A$2:$A$10,B2548,mdr_rate_cleaned!$B$2:$B$10,"&lt;"&amp;C2548,mdr_rate_cleaned!$F$2:$F$10,"&gt;="&amp;C2548)</f>
        <v>1</v>
      </c>
      <c r="G2548">
        <v>3.0000000000000001E-3</v>
      </c>
      <c r="H2548">
        <v>17.39</v>
      </c>
      <c r="I2548" t="s">
        <v>15</v>
      </c>
      <c r="J2548" t="s">
        <v>15</v>
      </c>
      <c r="K2548">
        <v>3.13</v>
      </c>
      <c r="L2548">
        <v>0</v>
      </c>
    </row>
    <row r="2549" spans="1:12" x14ac:dyDescent="0.3">
      <c r="A2549" t="s">
        <v>2565</v>
      </c>
      <c r="B2549" t="s">
        <v>21</v>
      </c>
      <c r="C2549">
        <v>6797</v>
      </c>
      <c r="D2549">
        <v>20.39</v>
      </c>
      <c r="E2549">
        <v>3.67</v>
      </c>
      <c r="F2549">
        <f>COUNTIFS(mdr_rate_cleaned!$A$2:$A$10,B2549,mdr_rate_cleaned!$B$2:$B$10,"&lt;"&amp;C2549,mdr_rate_cleaned!$F$2:$F$10,"&gt;="&amp;C2549)</f>
        <v>1</v>
      </c>
      <c r="G2549">
        <v>3.0000000000000001E-3</v>
      </c>
      <c r="H2549">
        <v>20.39</v>
      </c>
      <c r="I2549" t="s">
        <v>15</v>
      </c>
      <c r="J2549" t="s">
        <v>15</v>
      </c>
      <c r="K2549">
        <v>3.67</v>
      </c>
      <c r="L2549">
        <v>0</v>
      </c>
    </row>
    <row r="2550" spans="1:12" x14ac:dyDescent="0.3">
      <c r="A2550" t="s">
        <v>2566</v>
      </c>
      <c r="B2550" t="s">
        <v>21</v>
      </c>
      <c r="C2550">
        <v>799</v>
      </c>
      <c r="D2550">
        <v>0</v>
      </c>
      <c r="E2550">
        <v>0</v>
      </c>
      <c r="F2550">
        <f>COUNTIFS(mdr_rate_cleaned!$A$2:$A$10,B2550,mdr_rate_cleaned!$B$2:$B$10,"&lt;"&amp;C2550,mdr_rate_cleaned!$F$2:$F$10,"&gt;="&amp;C2550)</f>
        <v>1</v>
      </c>
      <c r="G2550">
        <v>0</v>
      </c>
      <c r="H2550">
        <v>0</v>
      </c>
      <c r="I2550" t="s">
        <v>15</v>
      </c>
      <c r="J2550" t="s">
        <v>15</v>
      </c>
      <c r="K2550">
        <v>0</v>
      </c>
      <c r="L2550">
        <v>0</v>
      </c>
    </row>
    <row r="2551" spans="1:12" x14ac:dyDescent="0.3">
      <c r="A2551" t="s">
        <v>2567</v>
      </c>
      <c r="B2551" t="s">
        <v>21</v>
      </c>
      <c r="C2551">
        <v>7999</v>
      </c>
      <c r="D2551">
        <v>24</v>
      </c>
      <c r="E2551">
        <v>4.32</v>
      </c>
      <c r="F2551">
        <f>COUNTIFS(mdr_rate_cleaned!$A$2:$A$10,B2551,mdr_rate_cleaned!$B$2:$B$10,"&lt;"&amp;C2551,mdr_rate_cleaned!$F$2:$F$10,"&gt;="&amp;C2551)</f>
        <v>1</v>
      </c>
      <c r="G2551">
        <v>3.0000000000000001E-3</v>
      </c>
      <c r="H2551">
        <v>24</v>
      </c>
      <c r="I2551" t="s">
        <v>15</v>
      </c>
      <c r="J2551" t="s">
        <v>15</v>
      </c>
      <c r="K2551">
        <v>4.32</v>
      </c>
      <c r="L2551">
        <v>0</v>
      </c>
    </row>
    <row r="2552" spans="1:12" x14ac:dyDescent="0.3">
      <c r="A2552" t="s">
        <v>2568</v>
      </c>
      <c r="B2552" t="s">
        <v>39</v>
      </c>
      <c r="C2552">
        <v>4147</v>
      </c>
      <c r="D2552">
        <v>49.76</v>
      </c>
      <c r="E2552">
        <v>8.9600000000000009</v>
      </c>
      <c r="F2552">
        <f>COUNTIFS(mdr_rate_cleaned!$A$2:$A$10,B2552,mdr_rate_cleaned!$B$2:$B$10,"&lt;"&amp;C2552,mdr_rate_cleaned!$F$2:$F$10,"&gt;="&amp;C2552)</f>
        <v>1</v>
      </c>
      <c r="G2552">
        <v>1.2E-2</v>
      </c>
      <c r="H2552">
        <v>49.76</v>
      </c>
      <c r="I2552" t="s">
        <v>15</v>
      </c>
      <c r="J2552" t="s">
        <v>15</v>
      </c>
      <c r="K2552">
        <v>8.9600000000000009</v>
      </c>
      <c r="L2552">
        <v>0</v>
      </c>
    </row>
    <row r="2553" spans="1:12" x14ac:dyDescent="0.3">
      <c r="A2553" t="s">
        <v>2569</v>
      </c>
      <c r="B2553" t="s">
        <v>21</v>
      </c>
      <c r="C2553">
        <v>2847</v>
      </c>
      <c r="D2553">
        <v>8.5399999999999991</v>
      </c>
      <c r="E2553">
        <v>1.54</v>
      </c>
      <c r="F2553">
        <f>COUNTIFS(mdr_rate_cleaned!$A$2:$A$10,B2553,mdr_rate_cleaned!$B$2:$B$10,"&lt;"&amp;C2553,mdr_rate_cleaned!$F$2:$F$10,"&gt;="&amp;C2553)</f>
        <v>1</v>
      </c>
      <c r="G2553">
        <v>3.0000000000000001E-3</v>
      </c>
      <c r="H2553">
        <v>8.5399999999999991</v>
      </c>
      <c r="I2553" t="s">
        <v>15</v>
      </c>
      <c r="J2553" t="s">
        <v>15</v>
      </c>
      <c r="K2553">
        <v>1.54</v>
      </c>
      <c r="L2553">
        <v>0</v>
      </c>
    </row>
    <row r="2554" spans="1:12" x14ac:dyDescent="0.3">
      <c r="A2554" t="s">
        <v>2570</v>
      </c>
      <c r="B2554" t="s">
        <v>17</v>
      </c>
      <c r="C2554">
        <v>2499</v>
      </c>
      <c r="D2554">
        <v>39.979999999999997</v>
      </c>
      <c r="E2554">
        <v>7.2</v>
      </c>
      <c r="F2554">
        <f>COUNTIFS(mdr_rate_cleaned!$A$2:$A$10,B2554,mdr_rate_cleaned!$B$2:$B$10,"&lt;"&amp;C2554,mdr_rate_cleaned!$F$2:$F$10,"&gt;="&amp;C2554)</f>
        <v>1</v>
      </c>
      <c r="G2554">
        <v>1.6E-2</v>
      </c>
      <c r="H2554">
        <v>39.979999999999997</v>
      </c>
      <c r="I2554" t="s">
        <v>15</v>
      </c>
      <c r="J2554" t="s">
        <v>15</v>
      </c>
      <c r="K2554">
        <v>7.2</v>
      </c>
      <c r="L2554">
        <v>0</v>
      </c>
    </row>
    <row r="2555" spans="1:12" x14ac:dyDescent="0.3">
      <c r="A2555" t="s">
        <v>2571</v>
      </c>
      <c r="B2555" t="s">
        <v>17</v>
      </c>
      <c r="C2555">
        <v>7999</v>
      </c>
      <c r="D2555">
        <v>127.98</v>
      </c>
      <c r="E2555">
        <v>23.04</v>
      </c>
      <c r="F2555">
        <f>COUNTIFS(mdr_rate_cleaned!$A$2:$A$10,B2555,mdr_rate_cleaned!$B$2:$B$10,"&lt;"&amp;C2555,mdr_rate_cleaned!$F$2:$F$10,"&gt;="&amp;C2555)</f>
        <v>1</v>
      </c>
      <c r="G2555">
        <v>1.6E-2</v>
      </c>
      <c r="H2555">
        <v>127.98</v>
      </c>
      <c r="I2555" t="s">
        <v>15</v>
      </c>
      <c r="J2555" t="s">
        <v>15</v>
      </c>
      <c r="K2555">
        <v>23.04</v>
      </c>
      <c r="L2555">
        <v>0</v>
      </c>
    </row>
    <row r="2556" spans="1:12" x14ac:dyDescent="0.3">
      <c r="A2556" t="s">
        <v>2572</v>
      </c>
      <c r="B2556" t="s">
        <v>21</v>
      </c>
      <c r="C2556">
        <v>999</v>
      </c>
      <c r="D2556">
        <v>0</v>
      </c>
      <c r="E2556">
        <v>0</v>
      </c>
      <c r="F2556">
        <f>COUNTIFS(mdr_rate_cleaned!$A$2:$A$10,B2556,mdr_rate_cleaned!$B$2:$B$10,"&lt;"&amp;C2556,mdr_rate_cleaned!$F$2:$F$10,"&gt;="&amp;C2556)</f>
        <v>1</v>
      </c>
      <c r="G2556">
        <v>0</v>
      </c>
      <c r="H2556">
        <v>0</v>
      </c>
      <c r="I2556" t="s">
        <v>15</v>
      </c>
      <c r="J2556" t="s">
        <v>15</v>
      </c>
      <c r="K2556">
        <v>0</v>
      </c>
      <c r="L2556">
        <v>0</v>
      </c>
    </row>
    <row r="2557" spans="1:12" x14ac:dyDescent="0.3">
      <c r="A2557" t="s">
        <v>2573</v>
      </c>
      <c r="B2557" t="s">
        <v>17</v>
      </c>
      <c r="C2557">
        <v>2499</v>
      </c>
      <c r="D2557">
        <v>39.979999999999997</v>
      </c>
      <c r="E2557">
        <v>7.2</v>
      </c>
      <c r="F2557">
        <f>COUNTIFS(mdr_rate_cleaned!$A$2:$A$10,B2557,mdr_rate_cleaned!$B$2:$B$10,"&lt;"&amp;C2557,mdr_rate_cleaned!$F$2:$F$10,"&gt;="&amp;C2557)</f>
        <v>1</v>
      </c>
      <c r="G2557">
        <v>1.6E-2</v>
      </c>
      <c r="H2557">
        <v>39.979999999999997</v>
      </c>
      <c r="I2557" t="s">
        <v>15</v>
      </c>
      <c r="J2557" t="s">
        <v>15</v>
      </c>
      <c r="K2557">
        <v>7.2</v>
      </c>
      <c r="L2557">
        <v>0</v>
      </c>
    </row>
    <row r="2558" spans="1:12" x14ac:dyDescent="0.3">
      <c r="A2558" t="s">
        <v>2574</v>
      </c>
      <c r="B2558" t="s">
        <v>17</v>
      </c>
      <c r="C2558">
        <v>1298</v>
      </c>
      <c r="D2558">
        <v>23.36</v>
      </c>
      <c r="E2558">
        <v>4.2</v>
      </c>
      <c r="F2558">
        <f>COUNTIFS(mdr_rate_cleaned!$A$2:$A$10,B2558,mdr_rate_cleaned!$B$2:$B$10,"&lt;"&amp;C2558,mdr_rate_cleaned!$F$2:$F$10,"&gt;="&amp;C2558)</f>
        <v>1</v>
      </c>
      <c r="G2558">
        <v>1.7999999999999999E-2</v>
      </c>
      <c r="H2558">
        <v>23.36</v>
      </c>
      <c r="I2558" t="s">
        <v>15</v>
      </c>
      <c r="J2558" t="s">
        <v>15</v>
      </c>
      <c r="K2558">
        <v>4.2</v>
      </c>
      <c r="L2558">
        <v>0</v>
      </c>
    </row>
    <row r="2559" spans="1:12" x14ac:dyDescent="0.3">
      <c r="A2559" t="s">
        <v>2575</v>
      </c>
      <c r="B2559" t="s">
        <v>17</v>
      </c>
      <c r="C2559">
        <v>1499</v>
      </c>
      <c r="D2559">
        <v>26.98</v>
      </c>
      <c r="E2559">
        <v>4.8600000000000003</v>
      </c>
      <c r="F2559">
        <f>COUNTIFS(mdr_rate_cleaned!$A$2:$A$10,B2559,mdr_rate_cleaned!$B$2:$B$10,"&lt;"&amp;C2559,mdr_rate_cleaned!$F$2:$F$10,"&gt;="&amp;C2559)</f>
        <v>1</v>
      </c>
      <c r="G2559">
        <v>1.7999999999999999E-2</v>
      </c>
      <c r="H2559">
        <v>26.98</v>
      </c>
      <c r="I2559" t="s">
        <v>15</v>
      </c>
      <c r="J2559" t="s">
        <v>15</v>
      </c>
      <c r="K2559">
        <v>4.8600000000000003</v>
      </c>
      <c r="L2559">
        <v>0</v>
      </c>
    </row>
    <row r="2560" spans="1:12" x14ac:dyDescent="0.3">
      <c r="A2560" t="s">
        <v>2576</v>
      </c>
      <c r="B2560" t="s">
        <v>17</v>
      </c>
      <c r="C2560">
        <v>499</v>
      </c>
      <c r="D2560">
        <v>8.98</v>
      </c>
      <c r="E2560">
        <v>1.62</v>
      </c>
      <c r="F2560">
        <f>COUNTIFS(mdr_rate_cleaned!$A$2:$A$10,B2560,mdr_rate_cleaned!$B$2:$B$10,"&lt;"&amp;C2560,mdr_rate_cleaned!$F$2:$F$10,"&gt;="&amp;C2560)</f>
        <v>1</v>
      </c>
      <c r="G2560">
        <v>1.7999999999999999E-2</v>
      </c>
      <c r="H2560">
        <v>8.98</v>
      </c>
      <c r="I2560" t="s">
        <v>15</v>
      </c>
      <c r="J2560" t="s">
        <v>15</v>
      </c>
      <c r="K2560">
        <v>1.62</v>
      </c>
      <c r="L2560">
        <v>0</v>
      </c>
    </row>
    <row r="2561" spans="1:12" x14ac:dyDescent="0.3">
      <c r="A2561" t="s">
        <v>2577</v>
      </c>
      <c r="B2561" t="s">
        <v>17</v>
      </c>
      <c r="C2561">
        <v>3499</v>
      </c>
      <c r="D2561">
        <v>55.98</v>
      </c>
      <c r="E2561">
        <v>10.08</v>
      </c>
      <c r="F2561">
        <f>COUNTIFS(mdr_rate_cleaned!$A$2:$A$10,B2561,mdr_rate_cleaned!$B$2:$B$10,"&lt;"&amp;C2561,mdr_rate_cleaned!$F$2:$F$10,"&gt;="&amp;C2561)</f>
        <v>1</v>
      </c>
      <c r="G2561">
        <v>1.6E-2</v>
      </c>
      <c r="H2561">
        <v>55.98</v>
      </c>
      <c r="I2561" t="s">
        <v>15</v>
      </c>
      <c r="J2561" t="s">
        <v>15</v>
      </c>
      <c r="K2561">
        <v>10.08</v>
      </c>
      <c r="L2561">
        <v>0</v>
      </c>
    </row>
    <row r="2562" spans="1:12" x14ac:dyDescent="0.3">
      <c r="A2562" t="s">
        <v>2578</v>
      </c>
      <c r="B2562" t="s">
        <v>13</v>
      </c>
      <c r="C2562">
        <v>499</v>
      </c>
      <c r="D2562">
        <v>9.48</v>
      </c>
      <c r="E2562">
        <v>1.71</v>
      </c>
      <c r="F2562">
        <f>COUNTIFS(mdr_rate_cleaned!$A$2:$A$10,B2562,mdr_rate_cleaned!$B$2:$B$10,"&lt;"&amp;C2562,mdr_rate_cleaned!$F$2:$F$10,"&gt;="&amp;C2562)</f>
        <v>1</v>
      </c>
      <c r="G2562">
        <v>1.9E-2</v>
      </c>
      <c r="H2562">
        <v>9.48</v>
      </c>
      <c r="I2562" t="s">
        <v>15</v>
      </c>
      <c r="J2562" t="s">
        <v>15</v>
      </c>
      <c r="K2562">
        <v>1.71</v>
      </c>
      <c r="L2562">
        <v>0</v>
      </c>
    </row>
    <row r="2563" spans="1:12" x14ac:dyDescent="0.3">
      <c r="A2563" t="s">
        <v>2579</v>
      </c>
      <c r="B2563" t="s">
        <v>21</v>
      </c>
      <c r="C2563">
        <v>299</v>
      </c>
      <c r="D2563">
        <v>0</v>
      </c>
      <c r="E2563">
        <v>0</v>
      </c>
      <c r="F2563">
        <f>COUNTIFS(mdr_rate_cleaned!$A$2:$A$10,B2563,mdr_rate_cleaned!$B$2:$B$10,"&lt;"&amp;C2563,mdr_rate_cleaned!$F$2:$F$10,"&gt;="&amp;C2563)</f>
        <v>1</v>
      </c>
      <c r="G2563">
        <v>0</v>
      </c>
      <c r="H2563">
        <v>0</v>
      </c>
      <c r="I2563" t="s">
        <v>15</v>
      </c>
      <c r="J2563" t="s">
        <v>15</v>
      </c>
      <c r="K2563">
        <v>0</v>
      </c>
      <c r="L2563">
        <v>0</v>
      </c>
    </row>
    <row r="2564" spans="1:12" x14ac:dyDescent="0.3">
      <c r="A2564" t="s">
        <v>2580</v>
      </c>
      <c r="B2564" t="s">
        <v>21</v>
      </c>
      <c r="C2564">
        <v>3297</v>
      </c>
      <c r="D2564">
        <v>9.89</v>
      </c>
      <c r="E2564">
        <v>1.78</v>
      </c>
      <c r="F2564">
        <f>COUNTIFS(mdr_rate_cleaned!$A$2:$A$10,B2564,mdr_rate_cleaned!$B$2:$B$10,"&lt;"&amp;C2564,mdr_rate_cleaned!$F$2:$F$10,"&gt;="&amp;C2564)</f>
        <v>1</v>
      </c>
      <c r="G2564">
        <v>3.0000000000000001E-3</v>
      </c>
      <c r="H2564">
        <v>9.89</v>
      </c>
      <c r="I2564" t="s">
        <v>15</v>
      </c>
      <c r="J2564" t="s">
        <v>15</v>
      </c>
      <c r="K2564">
        <v>1.78</v>
      </c>
      <c r="L2564">
        <v>0</v>
      </c>
    </row>
    <row r="2565" spans="1:12" x14ac:dyDescent="0.3">
      <c r="A2565" t="s">
        <v>2581</v>
      </c>
      <c r="B2565" t="s">
        <v>21</v>
      </c>
      <c r="C2565">
        <v>11498</v>
      </c>
      <c r="D2565">
        <v>34.49</v>
      </c>
      <c r="E2565">
        <v>6.21</v>
      </c>
      <c r="F2565">
        <f>COUNTIFS(mdr_rate_cleaned!$A$2:$A$10,B2565,mdr_rate_cleaned!$B$2:$B$10,"&lt;"&amp;C2565,mdr_rate_cleaned!$F$2:$F$10,"&gt;="&amp;C2565)</f>
        <v>1</v>
      </c>
      <c r="G2565">
        <v>3.0000000000000001E-3</v>
      </c>
      <c r="H2565">
        <v>34.49</v>
      </c>
      <c r="I2565" t="s">
        <v>15</v>
      </c>
      <c r="J2565" t="s">
        <v>15</v>
      </c>
      <c r="K2565">
        <v>6.21</v>
      </c>
      <c r="L2565">
        <v>0</v>
      </c>
    </row>
    <row r="2566" spans="1:12" x14ac:dyDescent="0.3">
      <c r="A2566" t="s">
        <v>2582</v>
      </c>
      <c r="B2566" t="s">
        <v>13</v>
      </c>
      <c r="C2566">
        <v>2497</v>
      </c>
      <c r="D2566">
        <v>42.45</v>
      </c>
      <c r="E2566">
        <v>7.64</v>
      </c>
      <c r="F2566">
        <f>COUNTIFS(mdr_rate_cleaned!$A$2:$A$10,B2566,mdr_rate_cleaned!$B$2:$B$10,"&lt;"&amp;C2566,mdr_rate_cleaned!$F$2:$F$10,"&gt;="&amp;C2566)</f>
        <v>1</v>
      </c>
      <c r="G2566">
        <v>1.7000000000000001E-2</v>
      </c>
      <c r="H2566">
        <v>42.45</v>
      </c>
      <c r="I2566" t="s">
        <v>15</v>
      </c>
      <c r="J2566" t="s">
        <v>15</v>
      </c>
      <c r="K2566">
        <v>7.64</v>
      </c>
      <c r="L2566">
        <v>0</v>
      </c>
    </row>
    <row r="2567" spans="1:12" x14ac:dyDescent="0.3">
      <c r="A2567" t="s">
        <v>2583</v>
      </c>
      <c r="B2567" t="s">
        <v>21</v>
      </c>
      <c r="C2567">
        <v>1798</v>
      </c>
      <c r="D2567">
        <v>0</v>
      </c>
      <c r="E2567">
        <v>0</v>
      </c>
      <c r="F2567">
        <f>COUNTIFS(mdr_rate_cleaned!$A$2:$A$10,B2567,mdr_rate_cleaned!$B$2:$B$10,"&lt;"&amp;C2567,mdr_rate_cleaned!$F$2:$F$10,"&gt;="&amp;C2567)</f>
        <v>1</v>
      </c>
      <c r="G2567">
        <v>0</v>
      </c>
      <c r="H2567">
        <v>0</v>
      </c>
      <c r="I2567" t="s">
        <v>15</v>
      </c>
      <c r="J2567" t="s">
        <v>15</v>
      </c>
      <c r="K2567">
        <v>0</v>
      </c>
      <c r="L2567">
        <v>0</v>
      </c>
    </row>
    <row r="2568" spans="1:12" x14ac:dyDescent="0.3">
      <c r="A2568" t="s">
        <v>2584</v>
      </c>
      <c r="B2568" t="s">
        <v>17</v>
      </c>
      <c r="C2568">
        <v>299</v>
      </c>
      <c r="D2568">
        <v>5.38</v>
      </c>
      <c r="E2568">
        <v>0.97</v>
      </c>
      <c r="F2568">
        <f>COUNTIFS(mdr_rate_cleaned!$A$2:$A$10,B2568,mdr_rate_cleaned!$B$2:$B$10,"&lt;"&amp;C2568,mdr_rate_cleaned!$F$2:$F$10,"&gt;="&amp;C2568)</f>
        <v>1</v>
      </c>
      <c r="G2568">
        <v>1.7999999999999999E-2</v>
      </c>
      <c r="H2568">
        <v>5.38</v>
      </c>
      <c r="I2568" t="s">
        <v>15</v>
      </c>
      <c r="J2568" t="s">
        <v>15</v>
      </c>
      <c r="K2568">
        <v>0.97</v>
      </c>
      <c r="L2568">
        <v>0</v>
      </c>
    </row>
    <row r="2569" spans="1:12" x14ac:dyDescent="0.3">
      <c r="A2569" t="s">
        <v>2585</v>
      </c>
      <c r="B2569" t="s">
        <v>21</v>
      </c>
      <c r="C2569">
        <v>8297</v>
      </c>
      <c r="D2569">
        <v>24.89</v>
      </c>
      <c r="E2569">
        <v>4.4800000000000004</v>
      </c>
      <c r="F2569">
        <f>COUNTIFS(mdr_rate_cleaned!$A$2:$A$10,B2569,mdr_rate_cleaned!$B$2:$B$10,"&lt;"&amp;C2569,mdr_rate_cleaned!$F$2:$F$10,"&gt;="&amp;C2569)</f>
        <v>1</v>
      </c>
      <c r="G2569">
        <v>3.0000000000000001E-3</v>
      </c>
      <c r="H2569">
        <v>24.89</v>
      </c>
      <c r="I2569" t="s">
        <v>15</v>
      </c>
      <c r="J2569" t="s">
        <v>15</v>
      </c>
      <c r="K2569">
        <v>4.4800000000000004</v>
      </c>
      <c r="L2569">
        <v>0</v>
      </c>
    </row>
    <row r="2570" spans="1:12" x14ac:dyDescent="0.3">
      <c r="A2570" t="s">
        <v>2586</v>
      </c>
      <c r="B2570" t="s">
        <v>17</v>
      </c>
      <c r="C2570">
        <v>8348</v>
      </c>
      <c r="D2570">
        <v>133.57</v>
      </c>
      <c r="E2570">
        <v>24.04</v>
      </c>
      <c r="F2570">
        <f>COUNTIFS(mdr_rate_cleaned!$A$2:$A$10,B2570,mdr_rate_cleaned!$B$2:$B$10,"&lt;"&amp;C2570,mdr_rate_cleaned!$F$2:$F$10,"&gt;="&amp;C2570)</f>
        <v>1</v>
      </c>
      <c r="G2570">
        <v>1.6E-2</v>
      </c>
      <c r="H2570">
        <v>133.57</v>
      </c>
      <c r="I2570" t="s">
        <v>15</v>
      </c>
      <c r="J2570" t="s">
        <v>15</v>
      </c>
      <c r="K2570">
        <v>24.04</v>
      </c>
      <c r="L2570">
        <v>0</v>
      </c>
    </row>
    <row r="2571" spans="1:12" x14ac:dyDescent="0.3">
      <c r="A2571" t="s">
        <v>2587</v>
      </c>
      <c r="B2571" t="s">
        <v>13</v>
      </c>
      <c r="C2571">
        <v>10498</v>
      </c>
      <c r="D2571">
        <v>178.47</v>
      </c>
      <c r="E2571">
        <v>32.119999999999997</v>
      </c>
      <c r="F2571">
        <f>COUNTIFS(mdr_rate_cleaned!$A$2:$A$10,B2571,mdr_rate_cleaned!$B$2:$B$10,"&lt;"&amp;C2571,mdr_rate_cleaned!$F$2:$F$10,"&gt;="&amp;C2571)</f>
        <v>1</v>
      </c>
      <c r="G2571">
        <v>1.7000000000000001E-2</v>
      </c>
      <c r="H2571">
        <v>178.47</v>
      </c>
      <c r="I2571" t="s">
        <v>15</v>
      </c>
      <c r="J2571" t="s">
        <v>15</v>
      </c>
      <c r="K2571">
        <v>32.119999999999997</v>
      </c>
      <c r="L2571">
        <v>0</v>
      </c>
    </row>
    <row r="2572" spans="1:12" x14ac:dyDescent="0.3">
      <c r="A2572" t="s">
        <v>2588</v>
      </c>
      <c r="B2572" t="s">
        <v>13</v>
      </c>
      <c r="C2572">
        <v>2098</v>
      </c>
      <c r="D2572">
        <v>35.67</v>
      </c>
      <c r="E2572">
        <v>6.42</v>
      </c>
      <c r="F2572">
        <f>COUNTIFS(mdr_rate_cleaned!$A$2:$A$10,B2572,mdr_rate_cleaned!$B$2:$B$10,"&lt;"&amp;C2572,mdr_rate_cleaned!$F$2:$F$10,"&gt;="&amp;C2572)</f>
        <v>1</v>
      </c>
      <c r="G2572">
        <v>1.7000000000000001E-2</v>
      </c>
      <c r="H2572">
        <v>35.67</v>
      </c>
      <c r="I2572" t="s">
        <v>15</v>
      </c>
      <c r="J2572" t="s">
        <v>15</v>
      </c>
      <c r="K2572">
        <v>6.42</v>
      </c>
      <c r="L2572">
        <v>0</v>
      </c>
    </row>
    <row r="2573" spans="1:12" x14ac:dyDescent="0.3">
      <c r="A2573" t="s">
        <v>2589</v>
      </c>
      <c r="B2573" t="s">
        <v>21</v>
      </c>
      <c r="C2573">
        <v>599</v>
      </c>
      <c r="D2573">
        <v>0</v>
      </c>
      <c r="E2573">
        <v>0</v>
      </c>
      <c r="F2573">
        <f>COUNTIFS(mdr_rate_cleaned!$A$2:$A$10,B2573,mdr_rate_cleaned!$B$2:$B$10,"&lt;"&amp;C2573,mdr_rate_cleaned!$F$2:$F$10,"&gt;="&amp;C2573)</f>
        <v>1</v>
      </c>
      <c r="G2573">
        <v>0</v>
      </c>
      <c r="H2573">
        <v>0</v>
      </c>
      <c r="I2573" t="s">
        <v>15</v>
      </c>
      <c r="J2573" t="s">
        <v>15</v>
      </c>
      <c r="K2573">
        <v>0</v>
      </c>
      <c r="L2573">
        <v>0</v>
      </c>
    </row>
    <row r="2574" spans="1:12" x14ac:dyDescent="0.3">
      <c r="A2574" t="s">
        <v>2590</v>
      </c>
      <c r="B2574" t="s">
        <v>13</v>
      </c>
      <c r="C2574">
        <v>7999</v>
      </c>
      <c r="D2574">
        <v>135.97999999999999</v>
      </c>
      <c r="E2574">
        <v>24.48</v>
      </c>
      <c r="F2574">
        <f>COUNTIFS(mdr_rate_cleaned!$A$2:$A$10,B2574,mdr_rate_cleaned!$B$2:$B$10,"&lt;"&amp;C2574,mdr_rate_cleaned!$F$2:$F$10,"&gt;="&amp;C2574)</f>
        <v>1</v>
      </c>
      <c r="G2574">
        <v>1.7000000000000001E-2</v>
      </c>
      <c r="H2574">
        <v>135.97999999999999</v>
      </c>
      <c r="I2574" t="s">
        <v>15</v>
      </c>
      <c r="J2574" t="s">
        <v>15</v>
      </c>
      <c r="K2574">
        <v>24.48</v>
      </c>
      <c r="L2574">
        <v>0</v>
      </c>
    </row>
    <row r="2575" spans="1:12" x14ac:dyDescent="0.3">
      <c r="A2575" t="s">
        <v>2591</v>
      </c>
      <c r="B2575" t="s">
        <v>39</v>
      </c>
      <c r="C2575">
        <v>3499</v>
      </c>
      <c r="D2575">
        <v>41.99</v>
      </c>
      <c r="E2575">
        <v>7.56</v>
      </c>
      <c r="F2575">
        <f>COUNTIFS(mdr_rate_cleaned!$A$2:$A$10,B2575,mdr_rate_cleaned!$B$2:$B$10,"&lt;"&amp;C2575,mdr_rate_cleaned!$F$2:$F$10,"&gt;="&amp;C2575)</f>
        <v>1</v>
      </c>
      <c r="G2575">
        <v>1.2E-2</v>
      </c>
      <c r="H2575">
        <v>41.99</v>
      </c>
      <c r="I2575" t="s">
        <v>15</v>
      </c>
      <c r="J2575" t="s">
        <v>15</v>
      </c>
      <c r="K2575">
        <v>7.56</v>
      </c>
      <c r="L2575">
        <v>0</v>
      </c>
    </row>
    <row r="2576" spans="1:12" x14ac:dyDescent="0.3">
      <c r="A2576" t="s">
        <v>2592</v>
      </c>
      <c r="B2576" t="s">
        <v>17</v>
      </c>
      <c r="C2576">
        <v>3499</v>
      </c>
      <c r="D2576">
        <v>55.98</v>
      </c>
      <c r="E2576">
        <v>10.08</v>
      </c>
      <c r="F2576">
        <f>COUNTIFS(mdr_rate_cleaned!$A$2:$A$10,B2576,mdr_rate_cleaned!$B$2:$B$10,"&lt;"&amp;C2576,mdr_rate_cleaned!$F$2:$F$10,"&gt;="&amp;C2576)</f>
        <v>1</v>
      </c>
      <c r="G2576">
        <v>1.6E-2</v>
      </c>
      <c r="H2576">
        <v>55.98</v>
      </c>
      <c r="I2576" t="s">
        <v>15</v>
      </c>
      <c r="J2576" t="s">
        <v>15</v>
      </c>
      <c r="K2576">
        <v>10.08</v>
      </c>
      <c r="L2576">
        <v>0</v>
      </c>
    </row>
    <row r="2577" spans="1:12" x14ac:dyDescent="0.3">
      <c r="A2577" t="s">
        <v>2593</v>
      </c>
      <c r="B2577" t="s">
        <v>17</v>
      </c>
      <c r="C2577">
        <v>1499</v>
      </c>
      <c r="D2577">
        <v>26.98</v>
      </c>
      <c r="E2577">
        <v>4.8600000000000003</v>
      </c>
      <c r="F2577">
        <f>COUNTIFS(mdr_rate_cleaned!$A$2:$A$10,B2577,mdr_rate_cleaned!$B$2:$B$10,"&lt;"&amp;C2577,mdr_rate_cleaned!$F$2:$F$10,"&gt;="&amp;C2577)</f>
        <v>1</v>
      </c>
      <c r="G2577">
        <v>1.7999999999999999E-2</v>
      </c>
      <c r="H2577">
        <v>26.98</v>
      </c>
      <c r="I2577" t="s">
        <v>15</v>
      </c>
      <c r="J2577" t="s">
        <v>15</v>
      </c>
      <c r="K2577">
        <v>4.8600000000000003</v>
      </c>
      <c r="L2577">
        <v>0</v>
      </c>
    </row>
    <row r="2578" spans="1:12" x14ac:dyDescent="0.3">
      <c r="A2578" t="s">
        <v>2594</v>
      </c>
      <c r="B2578" t="s">
        <v>21</v>
      </c>
      <c r="C2578">
        <v>499</v>
      </c>
      <c r="D2578">
        <v>0</v>
      </c>
      <c r="E2578">
        <v>0</v>
      </c>
      <c r="F2578">
        <f>COUNTIFS(mdr_rate_cleaned!$A$2:$A$10,B2578,mdr_rate_cleaned!$B$2:$B$10,"&lt;"&amp;C2578,mdr_rate_cleaned!$F$2:$F$10,"&gt;="&amp;C2578)</f>
        <v>1</v>
      </c>
      <c r="G2578">
        <v>0</v>
      </c>
      <c r="H2578">
        <v>0</v>
      </c>
      <c r="I2578" t="s">
        <v>15</v>
      </c>
      <c r="J2578" t="s">
        <v>15</v>
      </c>
      <c r="K2578">
        <v>0</v>
      </c>
      <c r="L2578">
        <v>0</v>
      </c>
    </row>
    <row r="2579" spans="1:12" x14ac:dyDescent="0.3">
      <c r="A2579" t="s">
        <v>2595</v>
      </c>
      <c r="B2579" t="s">
        <v>21</v>
      </c>
      <c r="C2579">
        <v>1098</v>
      </c>
      <c r="D2579">
        <v>0</v>
      </c>
      <c r="E2579">
        <v>0</v>
      </c>
      <c r="F2579">
        <f>COUNTIFS(mdr_rate_cleaned!$A$2:$A$10,B2579,mdr_rate_cleaned!$B$2:$B$10,"&lt;"&amp;C2579,mdr_rate_cleaned!$F$2:$F$10,"&gt;="&amp;C2579)</f>
        <v>1</v>
      </c>
      <c r="G2579">
        <v>0</v>
      </c>
      <c r="H2579">
        <v>0</v>
      </c>
      <c r="I2579" t="s">
        <v>15</v>
      </c>
      <c r="J2579" t="s">
        <v>15</v>
      </c>
      <c r="K2579">
        <v>0</v>
      </c>
      <c r="L2579">
        <v>0</v>
      </c>
    </row>
    <row r="2580" spans="1:12" x14ac:dyDescent="0.3">
      <c r="A2580" t="s">
        <v>2596</v>
      </c>
      <c r="B2580" t="s">
        <v>17</v>
      </c>
      <c r="C2580">
        <v>8997</v>
      </c>
      <c r="D2580">
        <v>143.94999999999999</v>
      </c>
      <c r="E2580">
        <v>25.91</v>
      </c>
      <c r="F2580">
        <f>COUNTIFS(mdr_rate_cleaned!$A$2:$A$10,B2580,mdr_rate_cleaned!$B$2:$B$10,"&lt;"&amp;C2580,mdr_rate_cleaned!$F$2:$F$10,"&gt;="&amp;C2580)</f>
        <v>1</v>
      </c>
      <c r="G2580">
        <v>1.6E-2</v>
      </c>
      <c r="H2580">
        <v>143.94999999999999</v>
      </c>
      <c r="I2580" t="s">
        <v>15</v>
      </c>
      <c r="J2580" t="s">
        <v>15</v>
      </c>
      <c r="K2580">
        <v>25.91</v>
      </c>
      <c r="L2580">
        <v>0</v>
      </c>
    </row>
    <row r="2581" spans="1:12" x14ac:dyDescent="0.3">
      <c r="A2581" t="s">
        <v>2597</v>
      </c>
      <c r="B2581" t="s">
        <v>17</v>
      </c>
      <c r="C2581">
        <v>5297</v>
      </c>
      <c r="D2581">
        <v>84.75</v>
      </c>
      <c r="E2581">
        <v>15.26</v>
      </c>
      <c r="F2581">
        <f>COUNTIFS(mdr_rate_cleaned!$A$2:$A$10,B2581,mdr_rate_cleaned!$B$2:$B$10,"&lt;"&amp;C2581,mdr_rate_cleaned!$F$2:$F$10,"&gt;="&amp;C2581)</f>
        <v>1</v>
      </c>
      <c r="G2581">
        <v>1.6E-2</v>
      </c>
      <c r="H2581">
        <v>84.75</v>
      </c>
      <c r="I2581" t="s">
        <v>15</v>
      </c>
      <c r="J2581" t="s">
        <v>15</v>
      </c>
      <c r="K2581">
        <v>15.26</v>
      </c>
      <c r="L2581">
        <v>0</v>
      </c>
    </row>
    <row r="2582" spans="1:12" x14ac:dyDescent="0.3">
      <c r="A2582" t="s">
        <v>2598</v>
      </c>
      <c r="B2582" t="s">
        <v>21</v>
      </c>
      <c r="C2582">
        <v>4999</v>
      </c>
      <c r="D2582">
        <v>15</v>
      </c>
      <c r="E2582">
        <v>2.7</v>
      </c>
      <c r="F2582">
        <f>COUNTIFS(mdr_rate_cleaned!$A$2:$A$10,B2582,mdr_rate_cleaned!$B$2:$B$10,"&lt;"&amp;C2582,mdr_rate_cleaned!$F$2:$F$10,"&gt;="&amp;C2582)</f>
        <v>1</v>
      </c>
      <c r="G2582">
        <v>3.0000000000000001E-3</v>
      </c>
      <c r="H2582">
        <v>15</v>
      </c>
      <c r="I2582" t="s">
        <v>15</v>
      </c>
      <c r="J2582" t="s">
        <v>15</v>
      </c>
      <c r="K2582">
        <v>2.7</v>
      </c>
      <c r="L2582">
        <v>0</v>
      </c>
    </row>
    <row r="2583" spans="1:12" x14ac:dyDescent="0.3">
      <c r="A2583" t="s">
        <v>2599</v>
      </c>
      <c r="B2583" t="s">
        <v>17</v>
      </c>
      <c r="C2583">
        <v>3097</v>
      </c>
      <c r="D2583">
        <v>49.55</v>
      </c>
      <c r="E2583">
        <v>8.92</v>
      </c>
      <c r="F2583">
        <f>COUNTIFS(mdr_rate_cleaned!$A$2:$A$10,B2583,mdr_rate_cleaned!$B$2:$B$10,"&lt;"&amp;C2583,mdr_rate_cleaned!$F$2:$F$10,"&gt;="&amp;C2583)</f>
        <v>1</v>
      </c>
      <c r="G2583">
        <v>1.6E-2</v>
      </c>
      <c r="H2583">
        <v>49.55</v>
      </c>
      <c r="I2583" t="s">
        <v>15</v>
      </c>
      <c r="J2583" t="s">
        <v>15</v>
      </c>
      <c r="K2583">
        <v>8.92</v>
      </c>
      <c r="L2583">
        <v>0</v>
      </c>
    </row>
    <row r="2584" spans="1:12" x14ac:dyDescent="0.3">
      <c r="A2584" t="s">
        <v>2600</v>
      </c>
      <c r="B2584" t="s">
        <v>21</v>
      </c>
      <c r="C2584">
        <v>3098</v>
      </c>
      <c r="D2584">
        <v>9.2899999999999991</v>
      </c>
      <c r="E2584">
        <v>1.67</v>
      </c>
      <c r="F2584">
        <f>COUNTIFS(mdr_rate_cleaned!$A$2:$A$10,B2584,mdr_rate_cleaned!$B$2:$B$10,"&lt;"&amp;C2584,mdr_rate_cleaned!$F$2:$F$10,"&gt;="&amp;C2584)</f>
        <v>1</v>
      </c>
      <c r="G2584">
        <v>3.0000000000000001E-3</v>
      </c>
      <c r="H2584">
        <v>9.2899999999999991</v>
      </c>
      <c r="I2584" t="s">
        <v>15</v>
      </c>
      <c r="J2584" t="s">
        <v>15</v>
      </c>
      <c r="K2584">
        <v>1.67</v>
      </c>
      <c r="L2584">
        <v>0</v>
      </c>
    </row>
    <row r="2585" spans="1:12" x14ac:dyDescent="0.3">
      <c r="A2585" t="s">
        <v>2601</v>
      </c>
      <c r="B2585" t="s">
        <v>21</v>
      </c>
      <c r="C2585">
        <v>2999</v>
      </c>
      <c r="D2585">
        <v>9</v>
      </c>
      <c r="E2585">
        <v>1.62</v>
      </c>
      <c r="F2585">
        <f>COUNTIFS(mdr_rate_cleaned!$A$2:$A$10,B2585,mdr_rate_cleaned!$B$2:$B$10,"&lt;"&amp;C2585,mdr_rate_cleaned!$F$2:$F$10,"&gt;="&amp;C2585)</f>
        <v>1</v>
      </c>
      <c r="G2585">
        <v>3.0000000000000001E-3</v>
      </c>
      <c r="H2585">
        <v>9</v>
      </c>
      <c r="I2585" t="s">
        <v>15</v>
      </c>
      <c r="J2585" t="s">
        <v>15</v>
      </c>
      <c r="K2585">
        <v>1.62</v>
      </c>
      <c r="L2585">
        <v>0</v>
      </c>
    </row>
    <row r="2586" spans="1:12" x14ac:dyDescent="0.3">
      <c r="A2586" t="s">
        <v>2602</v>
      </c>
      <c r="B2586" t="s">
        <v>21</v>
      </c>
      <c r="C2586">
        <v>499</v>
      </c>
      <c r="D2586">
        <v>0</v>
      </c>
      <c r="E2586">
        <v>0</v>
      </c>
      <c r="F2586">
        <f>COUNTIFS(mdr_rate_cleaned!$A$2:$A$10,B2586,mdr_rate_cleaned!$B$2:$B$10,"&lt;"&amp;C2586,mdr_rate_cleaned!$F$2:$F$10,"&gt;="&amp;C2586)</f>
        <v>1</v>
      </c>
      <c r="G2586">
        <v>0</v>
      </c>
      <c r="H2586">
        <v>0</v>
      </c>
      <c r="I2586" t="s">
        <v>15</v>
      </c>
      <c r="J2586" t="s">
        <v>15</v>
      </c>
      <c r="K2586">
        <v>0</v>
      </c>
      <c r="L2586">
        <v>0</v>
      </c>
    </row>
    <row r="2587" spans="1:12" x14ac:dyDescent="0.3">
      <c r="A2587" t="s">
        <v>2603</v>
      </c>
      <c r="B2587" t="s">
        <v>17</v>
      </c>
      <c r="C2587">
        <v>5097</v>
      </c>
      <c r="D2587">
        <v>81.55</v>
      </c>
      <c r="E2587">
        <v>14.68</v>
      </c>
      <c r="F2587">
        <f>COUNTIFS(mdr_rate_cleaned!$A$2:$A$10,B2587,mdr_rate_cleaned!$B$2:$B$10,"&lt;"&amp;C2587,mdr_rate_cleaned!$F$2:$F$10,"&gt;="&amp;C2587)</f>
        <v>1</v>
      </c>
      <c r="G2587">
        <v>1.6E-2</v>
      </c>
      <c r="H2587">
        <v>81.55</v>
      </c>
      <c r="I2587" t="s">
        <v>15</v>
      </c>
      <c r="J2587" t="s">
        <v>15</v>
      </c>
      <c r="K2587">
        <v>14.68</v>
      </c>
      <c r="L2587">
        <v>0</v>
      </c>
    </row>
    <row r="2588" spans="1:12" x14ac:dyDescent="0.3">
      <c r="A2588" t="s">
        <v>2604</v>
      </c>
      <c r="B2588" t="s">
        <v>39</v>
      </c>
      <c r="C2588">
        <v>349</v>
      </c>
      <c r="D2588">
        <v>5.24</v>
      </c>
      <c r="E2588">
        <v>0.94</v>
      </c>
      <c r="F2588">
        <f>COUNTIFS(mdr_rate_cleaned!$A$2:$A$10,B2588,mdr_rate_cleaned!$B$2:$B$10,"&lt;"&amp;C2588,mdr_rate_cleaned!$F$2:$F$10,"&gt;="&amp;C2588)</f>
        <v>1</v>
      </c>
      <c r="G2588">
        <v>1.4999999999999999E-2</v>
      </c>
      <c r="H2588">
        <v>5.24</v>
      </c>
      <c r="I2588" t="s">
        <v>15</v>
      </c>
      <c r="J2588" t="s">
        <v>15</v>
      </c>
      <c r="K2588">
        <v>0.94</v>
      </c>
      <c r="L2588">
        <v>0</v>
      </c>
    </row>
    <row r="2589" spans="1:12" x14ac:dyDescent="0.3">
      <c r="A2589" t="s">
        <v>2605</v>
      </c>
      <c r="B2589" t="s">
        <v>39</v>
      </c>
      <c r="C2589">
        <v>4999</v>
      </c>
      <c r="D2589">
        <v>59.99</v>
      </c>
      <c r="E2589">
        <v>10.8</v>
      </c>
      <c r="F2589">
        <f>COUNTIFS(mdr_rate_cleaned!$A$2:$A$10,B2589,mdr_rate_cleaned!$B$2:$B$10,"&lt;"&amp;C2589,mdr_rate_cleaned!$F$2:$F$10,"&gt;="&amp;C2589)</f>
        <v>1</v>
      </c>
      <c r="G2589">
        <v>1.2E-2</v>
      </c>
      <c r="H2589">
        <v>59.99</v>
      </c>
      <c r="I2589" t="s">
        <v>15</v>
      </c>
      <c r="J2589" t="s">
        <v>15</v>
      </c>
      <c r="K2589">
        <v>10.8</v>
      </c>
      <c r="L2589">
        <v>0</v>
      </c>
    </row>
    <row r="2590" spans="1:12" x14ac:dyDescent="0.3">
      <c r="A2590" t="s">
        <v>2606</v>
      </c>
      <c r="B2590" t="s">
        <v>21</v>
      </c>
      <c r="C2590">
        <v>1298</v>
      </c>
      <c r="D2590">
        <v>0</v>
      </c>
      <c r="E2590">
        <v>0</v>
      </c>
      <c r="F2590">
        <f>COUNTIFS(mdr_rate_cleaned!$A$2:$A$10,B2590,mdr_rate_cleaned!$B$2:$B$10,"&lt;"&amp;C2590,mdr_rate_cleaned!$F$2:$F$10,"&gt;="&amp;C2590)</f>
        <v>1</v>
      </c>
      <c r="G2590">
        <v>0</v>
      </c>
      <c r="H2590">
        <v>0</v>
      </c>
      <c r="I2590" t="s">
        <v>15</v>
      </c>
      <c r="J2590" t="s">
        <v>15</v>
      </c>
      <c r="K2590">
        <v>0</v>
      </c>
      <c r="L2590">
        <v>0</v>
      </c>
    </row>
    <row r="2591" spans="1:12" x14ac:dyDescent="0.3">
      <c r="A2591" t="s">
        <v>2607</v>
      </c>
      <c r="B2591" t="s">
        <v>21</v>
      </c>
      <c r="C2591">
        <v>3798</v>
      </c>
      <c r="D2591">
        <v>11.39</v>
      </c>
      <c r="E2591">
        <v>2.0499999999999998</v>
      </c>
      <c r="F2591">
        <f>COUNTIFS(mdr_rate_cleaned!$A$2:$A$10,B2591,mdr_rate_cleaned!$B$2:$B$10,"&lt;"&amp;C2591,mdr_rate_cleaned!$F$2:$F$10,"&gt;="&amp;C2591)</f>
        <v>1</v>
      </c>
      <c r="G2591">
        <v>3.0000000000000001E-3</v>
      </c>
      <c r="H2591">
        <v>11.39</v>
      </c>
      <c r="I2591" t="s">
        <v>15</v>
      </c>
      <c r="J2591" t="s">
        <v>15</v>
      </c>
      <c r="K2591">
        <v>2.0499999999999998</v>
      </c>
      <c r="L2591">
        <v>0</v>
      </c>
    </row>
    <row r="2592" spans="1:12" x14ac:dyDescent="0.3">
      <c r="A2592" t="s">
        <v>2608</v>
      </c>
      <c r="B2592" t="s">
        <v>21</v>
      </c>
      <c r="C2592">
        <v>7797</v>
      </c>
      <c r="D2592">
        <v>23.39</v>
      </c>
      <c r="E2592">
        <v>4.21</v>
      </c>
      <c r="F2592">
        <f>COUNTIFS(mdr_rate_cleaned!$A$2:$A$10,B2592,mdr_rate_cleaned!$B$2:$B$10,"&lt;"&amp;C2592,mdr_rate_cleaned!$F$2:$F$10,"&gt;="&amp;C2592)</f>
        <v>1</v>
      </c>
      <c r="G2592">
        <v>3.0000000000000001E-3</v>
      </c>
      <c r="H2592">
        <v>23.39</v>
      </c>
      <c r="I2592" t="s">
        <v>15</v>
      </c>
      <c r="J2592" t="s">
        <v>15</v>
      </c>
      <c r="K2592">
        <v>4.21</v>
      </c>
      <c r="L2592">
        <v>0</v>
      </c>
    </row>
    <row r="2593" spans="1:12" x14ac:dyDescent="0.3">
      <c r="A2593" t="s">
        <v>2609</v>
      </c>
      <c r="B2593" t="s">
        <v>21</v>
      </c>
      <c r="C2593">
        <v>4797</v>
      </c>
      <c r="D2593">
        <v>14.39</v>
      </c>
      <c r="E2593">
        <v>2.59</v>
      </c>
      <c r="F2593">
        <f>COUNTIFS(mdr_rate_cleaned!$A$2:$A$10,B2593,mdr_rate_cleaned!$B$2:$B$10,"&lt;"&amp;C2593,mdr_rate_cleaned!$F$2:$F$10,"&gt;="&amp;C2593)</f>
        <v>1</v>
      </c>
      <c r="G2593">
        <v>3.0000000000000001E-3</v>
      </c>
      <c r="H2593">
        <v>14.39</v>
      </c>
      <c r="I2593" t="s">
        <v>15</v>
      </c>
      <c r="J2593" t="s">
        <v>15</v>
      </c>
      <c r="K2593">
        <v>2.59</v>
      </c>
      <c r="L2593">
        <v>0</v>
      </c>
    </row>
    <row r="2594" spans="1:12" x14ac:dyDescent="0.3">
      <c r="A2594" t="s">
        <v>2610</v>
      </c>
      <c r="B2594" t="s">
        <v>17</v>
      </c>
      <c r="C2594">
        <v>3499</v>
      </c>
      <c r="D2594">
        <v>55.98</v>
      </c>
      <c r="E2594">
        <v>10.08</v>
      </c>
      <c r="F2594">
        <f>COUNTIFS(mdr_rate_cleaned!$A$2:$A$10,B2594,mdr_rate_cleaned!$B$2:$B$10,"&lt;"&amp;C2594,mdr_rate_cleaned!$F$2:$F$10,"&gt;="&amp;C2594)</f>
        <v>1</v>
      </c>
      <c r="G2594">
        <v>1.6E-2</v>
      </c>
      <c r="H2594">
        <v>55.98</v>
      </c>
      <c r="I2594" t="s">
        <v>15</v>
      </c>
      <c r="J2594" t="s">
        <v>15</v>
      </c>
      <c r="K2594">
        <v>10.08</v>
      </c>
      <c r="L2594">
        <v>0</v>
      </c>
    </row>
    <row r="2595" spans="1:12" x14ac:dyDescent="0.3">
      <c r="A2595" t="s">
        <v>2611</v>
      </c>
      <c r="B2595" t="s">
        <v>13</v>
      </c>
      <c r="C2595">
        <v>3597</v>
      </c>
      <c r="D2595">
        <v>61.15</v>
      </c>
      <c r="E2595">
        <v>11.01</v>
      </c>
      <c r="F2595">
        <f>COUNTIFS(mdr_rate_cleaned!$A$2:$A$10,B2595,mdr_rate_cleaned!$B$2:$B$10,"&lt;"&amp;C2595,mdr_rate_cleaned!$F$2:$F$10,"&gt;="&amp;C2595)</f>
        <v>1</v>
      </c>
      <c r="G2595">
        <v>1.7000000000000001E-2</v>
      </c>
      <c r="H2595">
        <v>61.15</v>
      </c>
      <c r="I2595" t="s">
        <v>15</v>
      </c>
      <c r="J2595" t="s">
        <v>15</v>
      </c>
      <c r="K2595">
        <v>11.01</v>
      </c>
      <c r="L2595">
        <v>0</v>
      </c>
    </row>
    <row r="2596" spans="1:12" x14ac:dyDescent="0.3">
      <c r="A2596" t="s">
        <v>2612</v>
      </c>
      <c r="B2596" t="s">
        <v>21</v>
      </c>
      <c r="C2596">
        <v>1799</v>
      </c>
      <c r="D2596">
        <v>0</v>
      </c>
      <c r="E2596">
        <v>0</v>
      </c>
      <c r="F2596">
        <f>COUNTIFS(mdr_rate_cleaned!$A$2:$A$10,B2596,mdr_rate_cleaned!$B$2:$B$10,"&lt;"&amp;C2596,mdr_rate_cleaned!$F$2:$F$10,"&gt;="&amp;C2596)</f>
        <v>1</v>
      </c>
      <c r="G2596">
        <v>0</v>
      </c>
      <c r="H2596">
        <v>0</v>
      </c>
      <c r="I2596" t="s">
        <v>15</v>
      </c>
      <c r="J2596" t="s">
        <v>15</v>
      </c>
      <c r="K2596">
        <v>0</v>
      </c>
      <c r="L2596">
        <v>0</v>
      </c>
    </row>
    <row r="2597" spans="1:12" x14ac:dyDescent="0.3">
      <c r="A2597" t="s">
        <v>2613</v>
      </c>
      <c r="B2597" t="s">
        <v>21</v>
      </c>
      <c r="C2597">
        <v>4098</v>
      </c>
      <c r="D2597">
        <v>12.29</v>
      </c>
      <c r="E2597">
        <v>2.21</v>
      </c>
      <c r="F2597">
        <f>COUNTIFS(mdr_rate_cleaned!$A$2:$A$10,B2597,mdr_rate_cleaned!$B$2:$B$10,"&lt;"&amp;C2597,mdr_rate_cleaned!$F$2:$F$10,"&gt;="&amp;C2597)</f>
        <v>1</v>
      </c>
      <c r="G2597">
        <v>3.0000000000000001E-3</v>
      </c>
      <c r="H2597">
        <v>12.29</v>
      </c>
      <c r="I2597" t="s">
        <v>15</v>
      </c>
      <c r="J2597" t="s">
        <v>15</v>
      </c>
      <c r="K2597">
        <v>2.21</v>
      </c>
      <c r="L2597">
        <v>0</v>
      </c>
    </row>
    <row r="2598" spans="1:12" x14ac:dyDescent="0.3">
      <c r="A2598" t="s">
        <v>2614</v>
      </c>
      <c r="B2598" t="s">
        <v>21</v>
      </c>
      <c r="C2598">
        <v>3297</v>
      </c>
      <c r="D2598">
        <v>9.89</v>
      </c>
      <c r="E2598">
        <v>1.78</v>
      </c>
      <c r="F2598">
        <f>COUNTIFS(mdr_rate_cleaned!$A$2:$A$10,B2598,mdr_rate_cleaned!$B$2:$B$10,"&lt;"&amp;C2598,mdr_rate_cleaned!$F$2:$F$10,"&gt;="&amp;C2598)</f>
        <v>1</v>
      </c>
      <c r="G2598">
        <v>3.0000000000000001E-3</v>
      </c>
      <c r="H2598">
        <v>9.89</v>
      </c>
      <c r="I2598" t="s">
        <v>15</v>
      </c>
      <c r="J2598" t="s">
        <v>15</v>
      </c>
      <c r="K2598">
        <v>1.78</v>
      </c>
      <c r="L2598">
        <v>0</v>
      </c>
    </row>
    <row r="2599" spans="1:12" x14ac:dyDescent="0.3">
      <c r="A2599" t="s">
        <v>2615</v>
      </c>
      <c r="B2599" t="s">
        <v>21</v>
      </c>
      <c r="C2599">
        <v>3998</v>
      </c>
      <c r="D2599">
        <v>11.99</v>
      </c>
      <c r="E2599">
        <v>2.16</v>
      </c>
      <c r="F2599">
        <f>COUNTIFS(mdr_rate_cleaned!$A$2:$A$10,B2599,mdr_rate_cleaned!$B$2:$B$10,"&lt;"&amp;C2599,mdr_rate_cleaned!$F$2:$F$10,"&gt;="&amp;C2599)</f>
        <v>1</v>
      </c>
      <c r="G2599">
        <v>3.0000000000000001E-3</v>
      </c>
      <c r="H2599">
        <v>11.99</v>
      </c>
      <c r="I2599" t="s">
        <v>15</v>
      </c>
      <c r="J2599" t="s">
        <v>15</v>
      </c>
      <c r="K2599">
        <v>2.16</v>
      </c>
      <c r="L2599">
        <v>0</v>
      </c>
    </row>
    <row r="2600" spans="1:12" x14ac:dyDescent="0.3">
      <c r="A2600" t="s">
        <v>2616</v>
      </c>
      <c r="B2600" t="s">
        <v>13</v>
      </c>
      <c r="C2600">
        <v>999</v>
      </c>
      <c r="D2600">
        <v>18.98</v>
      </c>
      <c r="E2600">
        <v>3.42</v>
      </c>
      <c r="F2600">
        <f>COUNTIFS(mdr_rate_cleaned!$A$2:$A$10,B2600,mdr_rate_cleaned!$B$2:$B$10,"&lt;"&amp;C2600,mdr_rate_cleaned!$F$2:$F$10,"&gt;="&amp;C2600)</f>
        <v>1</v>
      </c>
      <c r="G2600">
        <v>1.9E-2</v>
      </c>
      <c r="H2600">
        <v>18.98</v>
      </c>
      <c r="I2600" t="s">
        <v>15</v>
      </c>
      <c r="J2600" t="s">
        <v>15</v>
      </c>
      <c r="K2600">
        <v>3.42</v>
      </c>
      <c r="L2600">
        <v>0</v>
      </c>
    </row>
    <row r="2601" spans="1:12" x14ac:dyDescent="0.3">
      <c r="A2601" t="s">
        <v>2617</v>
      </c>
      <c r="B2601" t="s">
        <v>21</v>
      </c>
      <c r="C2601">
        <v>8797</v>
      </c>
      <c r="D2601">
        <v>26.39</v>
      </c>
      <c r="E2601">
        <v>4.75</v>
      </c>
      <c r="F2601">
        <f>COUNTIFS(mdr_rate_cleaned!$A$2:$A$10,B2601,mdr_rate_cleaned!$B$2:$B$10,"&lt;"&amp;C2601,mdr_rate_cleaned!$F$2:$F$10,"&gt;="&amp;C2601)</f>
        <v>1</v>
      </c>
      <c r="G2601">
        <v>3.0000000000000001E-3</v>
      </c>
      <c r="H2601">
        <v>26.39</v>
      </c>
      <c r="I2601" t="s">
        <v>15</v>
      </c>
      <c r="J2601" t="s">
        <v>15</v>
      </c>
      <c r="K2601">
        <v>4.75</v>
      </c>
      <c r="L2601">
        <v>0</v>
      </c>
    </row>
    <row r="2602" spans="1:12" x14ac:dyDescent="0.3">
      <c r="A2602" t="s">
        <v>2618</v>
      </c>
      <c r="B2602" t="s">
        <v>21</v>
      </c>
      <c r="C2602">
        <v>9497</v>
      </c>
      <c r="D2602">
        <v>28.49</v>
      </c>
      <c r="E2602">
        <v>5.13</v>
      </c>
      <c r="F2602">
        <f>COUNTIFS(mdr_rate_cleaned!$A$2:$A$10,B2602,mdr_rate_cleaned!$B$2:$B$10,"&lt;"&amp;C2602,mdr_rate_cleaned!$F$2:$F$10,"&gt;="&amp;C2602)</f>
        <v>1</v>
      </c>
      <c r="G2602">
        <v>3.0000000000000001E-3</v>
      </c>
      <c r="H2602">
        <v>28.49</v>
      </c>
      <c r="I2602" t="s">
        <v>15</v>
      </c>
      <c r="J2602" t="s">
        <v>15</v>
      </c>
      <c r="K2602">
        <v>5.13</v>
      </c>
      <c r="L2602">
        <v>0</v>
      </c>
    </row>
    <row r="2603" spans="1:12" x14ac:dyDescent="0.3">
      <c r="A2603" t="s">
        <v>2619</v>
      </c>
      <c r="B2603" t="s">
        <v>21</v>
      </c>
      <c r="C2603">
        <v>599</v>
      </c>
      <c r="D2603">
        <v>0</v>
      </c>
      <c r="E2603">
        <v>0</v>
      </c>
      <c r="F2603">
        <f>COUNTIFS(mdr_rate_cleaned!$A$2:$A$10,B2603,mdr_rate_cleaned!$B$2:$B$10,"&lt;"&amp;C2603,mdr_rate_cleaned!$F$2:$F$10,"&gt;="&amp;C2603)</f>
        <v>1</v>
      </c>
      <c r="G2603">
        <v>0</v>
      </c>
      <c r="H2603">
        <v>0</v>
      </c>
      <c r="I2603" t="s">
        <v>15</v>
      </c>
      <c r="J2603" t="s">
        <v>15</v>
      </c>
      <c r="K2603">
        <v>0</v>
      </c>
      <c r="L2603">
        <v>0</v>
      </c>
    </row>
    <row r="2604" spans="1:12" x14ac:dyDescent="0.3">
      <c r="A2604" t="s">
        <v>2620</v>
      </c>
      <c r="B2604" t="s">
        <v>21</v>
      </c>
      <c r="C2604">
        <v>10297</v>
      </c>
      <c r="D2604">
        <v>30.89</v>
      </c>
      <c r="E2604">
        <v>5.56</v>
      </c>
      <c r="F2604">
        <f>COUNTIFS(mdr_rate_cleaned!$A$2:$A$10,B2604,mdr_rate_cleaned!$B$2:$B$10,"&lt;"&amp;C2604,mdr_rate_cleaned!$F$2:$F$10,"&gt;="&amp;C2604)</f>
        <v>1</v>
      </c>
      <c r="G2604">
        <v>3.0000000000000001E-3</v>
      </c>
      <c r="H2604">
        <v>30.89</v>
      </c>
      <c r="I2604" t="s">
        <v>15</v>
      </c>
      <c r="J2604" t="s">
        <v>15</v>
      </c>
      <c r="K2604">
        <v>5.56</v>
      </c>
      <c r="L2604">
        <v>0</v>
      </c>
    </row>
    <row r="2605" spans="1:12" x14ac:dyDescent="0.3">
      <c r="A2605" t="s">
        <v>2621</v>
      </c>
      <c r="B2605" t="s">
        <v>21</v>
      </c>
      <c r="C2605">
        <v>2848</v>
      </c>
      <c r="D2605">
        <v>8.5399999999999991</v>
      </c>
      <c r="E2605">
        <v>1.54</v>
      </c>
      <c r="F2605">
        <f>COUNTIFS(mdr_rate_cleaned!$A$2:$A$10,B2605,mdr_rate_cleaned!$B$2:$B$10,"&lt;"&amp;C2605,mdr_rate_cleaned!$F$2:$F$10,"&gt;="&amp;C2605)</f>
        <v>1</v>
      </c>
      <c r="G2605">
        <v>3.0000000000000001E-3</v>
      </c>
      <c r="H2605">
        <v>8.5399999999999991</v>
      </c>
      <c r="I2605" t="s">
        <v>15</v>
      </c>
      <c r="J2605" t="s">
        <v>15</v>
      </c>
      <c r="K2605">
        <v>1.54</v>
      </c>
      <c r="L2605">
        <v>0</v>
      </c>
    </row>
    <row r="2606" spans="1:12" x14ac:dyDescent="0.3">
      <c r="A2606" t="s">
        <v>2622</v>
      </c>
      <c r="B2606" t="s">
        <v>21</v>
      </c>
      <c r="C2606">
        <v>5498</v>
      </c>
      <c r="D2606">
        <v>16.489999999999998</v>
      </c>
      <c r="E2606">
        <v>2.97</v>
      </c>
      <c r="F2606">
        <f>COUNTIFS(mdr_rate_cleaned!$A$2:$A$10,B2606,mdr_rate_cleaned!$B$2:$B$10,"&lt;"&amp;C2606,mdr_rate_cleaned!$F$2:$F$10,"&gt;="&amp;C2606)</f>
        <v>1</v>
      </c>
      <c r="G2606">
        <v>3.0000000000000001E-3</v>
      </c>
      <c r="H2606">
        <v>16.489999999999998</v>
      </c>
      <c r="I2606" t="s">
        <v>15</v>
      </c>
      <c r="J2606" t="s">
        <v>15</v>
      </c>
      <c r="K2606">
        <v>2.97</v>
      </c>
      <c r="L2606">
        <v>0</v>
      </c>
    </row>
    <row r="2607" spans="1:12" x14ac:dyDescent="0.3">
      <c r="A2607" t="s">
        <v>2623</v>
      </c>
      <c r="B2607" t="s">
        <v>21</v>
      </c>
      <c r="C2607">
        <v>4797</v>
      </c>
      <c r="D2607">
        <v>14.39</v>
      </c>
      <c r="E2607">
        <v>2.59</v>
      </c>
      <c r="F2607">
        <f>COUNTIFS(mdr_rate_cleaned!$A$2:$A$10,B2607,mdr_rate_cleaned!$B$2:$B$10,"&lt;"&amp;C2607,mdr_rate_cleaned!$F$2:$F$10,"&gt;="&amp;C2607)</f>
        <v>1</v>
      </c>
      <c r="G2607">
        <v>3.0000000000000001E-3</v>
      </c>
      <c r="H2607">
        <v>14.39</v>
      </c>
      <c r="I2607" t="s">
        <v>15</v>
      </c>
      <c r="J2607" t="s">
        <v>15</v>
      </c>
      <c r="K2607">
        <v>2.59</v>
      </c>
      <c r="L2607">
        <v>0</v>
      </c>
    </row>
    <row r="2608" spans="1:12" x14ac:dyDescent="0.3">
      <c r="A2608" t="s">
        <v>2624</v>
      </c>
      <c r="B2608" t="s">
        <v>17</v>
      </c>
      <c r="C2608">
        <v>1499</v>
      </c>
      <c r="D2608">
        <v>26.98</v>
      </c>
      <c r="E2608">
        <v>4.8600000000000003</v>
      </c>
      <c r="F2608">
        <f>COUNTIFS(mdr_rate_cleaned!$A$2:$A$10,B2608,mdr_rate_cleaned!$B$2:$B$10,"&lt;"&amp;C2608,mdr_rate_cleaned!$F$2:$F$10,"&gt;="&amp;C2608)</f>
        <v>1</v>
      </c>
      <c r="G2608">
        <v>1.7999999999999999E-2</v>
      </c>
      <c r="H2608">
        <v>26.98</v>
      </c>
      <c r="I2608" t="s">
        <v>15</v>
      </c>
      <c r="J2608" t="s">
        <v>15</v>
      </c>
      <c r="K2608">
        <v>4.8600000000000003</v>
      </c>
      <c r="L2608">
        <v>0</v>
      </c>
    </row>
    <row r="2609" spans="1:12" x14ac:dyDescent="0.3">
      <c r="A2609" t="s">
        <v>2625</v>
      </c>
      <c r="B2609" t="s">
        <v>21</v>
      </c>
      <c r="C2609">
        <v>999</v>
      </c>
      <c r="D2609">
        <v>0</v>
      </c>
      <c r="E2609">
        <v>0</v>
      </c>
      <c r="F2609">
        <f>COUNTIFS(mdr_rate_cleaned!$A$2:$A$10,B2609,mdr_rate_cleaned!$B$2:$B$10,"&lt;"&amp;C2609,mdr_rate_cleaned!$F$2:$F$10,"&gt;="&amp;C2609)</f>
        <v>1</v>
      </c>
      <c r="G2609">
        <v>0</v>
      </c>
      <c r="H2609">
        <v>0</v>
      </c>
      <c r="I2609" t="s">
        <v>15</v>
      </c>
      <c r="J2609" t="s">
        <v>15</v>
      </c>
      <c r="K2609">
        <v>0</v>
      </c>
      <c r="L2609">
        <v>0</v>
      </c>
    </row>
    <row r="2610" spans="1:12" x14ac:dyDescent="0.3">
      <c r="A2610" t="s">
        <v>2626</v>
      </c>
      <c r="B2610" t="s">
        <v>21</v>
      </c>
      <c r="C2610">
        <v>1799</v>
      </c>
      <c r="D2610">
        <v>0</v>
      </c>
      <c r="E2610">
        <v>0</v>
      </c>
      <c r="F2610">
        <f>COUNTIFS(mdr_rate_cleaned!$A$2:$A$10,B2610,mdr_rate_cleaned!$B$2:$B$10,"&lt;"&amp;C2610,mdr_rate_cleaned!$F$2:$F$10,"&gt;="&amp;C2610)</f>
        <v>1</v>
      </c>
      <c r="G2610">
        <v>0</v>
      </c>
      <c r="H2610">
        <v>0</v>
      </c>
      <c r="I2610" t="s">
        <v>15</v>
      </c>
      <c r="J2610" t="s">
        <v>15</v>
      </c>
      <c r="K2610">
        <v>0</v>
      </c>
      <c r="L2610">
        <v>0</v>
      </c>
    </row>
    <row r="2611" spans="1:12" x14ac:dyDescent="0.3">
      <c r="A2611" t="s">
        <v>2627</v>
      </c>
      <c r="B2611" t="s">
        <v>17</v>
      </c>
      <c r="C2611">
        <v>3798</v>
      </c>
      <c r="D2611">
        <v>60.77</v>
      </c>
      <c r="E2611">
        <v>10.94</v>
      </c>
      <c r="F2611">
        <f>COUNTIFS(mdr_rate_cleaned!$A$2:$A$10,B2611,mdr_rate_cleaned!$B$2:$B$10,"&lt;"&amp;C2611,mdr_rate_cleaned!$F$2:$F$10,"&gt;="&amp;C2611)</f>
        <v>1</v>
      </c>
      <c r="G2611">
        <v>1.6E-2</v>
      </c>
      <c r="H2611">
        <v>60.77</v>
      </c>
      <c r="I2611" t="s">
        <v>15</v>
      </c>
      <c r="J2611" t="s">
        <v>15</v>
      </c>
      <c r="K2611">
        <v>10.94</v>
      </c>
      <c r="L2611">
        <v>0</v>
      </c>
    </row>
    <row r="2612" spans="1:12" x14ac:dyDescent="0.3">
      <c r="A2612" t="s">
        <v>2628</v>
      </c>
      <c r="B2612" t="s">
        <v>21</v>
      </c>
      <c r="C2612">
        <v>4798</v>
      </c>
      <c r="D2612">
        <v>14.39</v>
      </c>
      <c r="E2612">
        <v>2.59</v>
      </c>
      <c r="F2612">
        <f>COUNTIFS(mdr_rate_cleaned!$A$2:$A$10,B2612,mdr_rate_cleaned!$B$2:$B$10,"&lt;"&amp;C2612,mdr_rate_cleaned!$F$2:$F$10,"&gt;="&amp;C2612)</f>
        <v>1</v>
      </c>
      <c r="G2612">
        <v>3.0000000000000001E-3</v>
      </c>
      <c r="H2612">
        <v>14.39</v>
      </c>
      <c r="I2612" t="s">
        <v>15</v>
      </c>
      <c r="J2612" t="s">
        <v>15</v>
      </c>
      <c r="K2612">
        <v>2.59</v>
      </c>
      <c r="L2612">
        <v>0</v>
      </c>
    </row>
    <row r="2613" spans="1:12" x14ac:dyDescent="0.3">
      <c r="A2613" t="s">
        <v>2629</v>
      </c>
      <c r="B2613" t="s">
        <v>39</v>
      </c>
      <c r="C2613">
        <v>4798</v>
      </c>
      <c r="D2613">
        <v>57.58</v>
      </c>
      <c r="E2613">
        <v>10.36</v>
      </c>
      <c r="F2613">
        <f>COUNTIFS(mdr_rate_cleaned!$A$2:$A$10,B2613,mdr_rate_cleaned!$B$2:$B$10,"&lt;"&amp;C2613,mdr_rate_cleaned!$F$2:$F$10,"&gt;="&amp;C2613)</f>
        <v>1</v>
      </c>
      <c r="G2613">
        <v>1.2E-2</v>
      </c>
      <c r="H2613">
        <v>57.58</v>
      </c>
      <c r="I2613" t="s">
        <v>15</v>
      </c>
      <c r="J2613" t="s">
        <v>15</v>
      </c>
      <c r="K2613">
        <v>10.36</v>
      </c>
      <c r="L2613">
        <v>0</v>
      </c>
    </row>
    <row r="2614" spans="1:12" x14ac:dyDescent="0.3">
      <c r="A2614" t="s">
        <v>2630</v>
      </c>
      <c r="B2614" t="s">
        <v>21</v>
      </c>
      <c r="C2614">
        <v>799</v>
      </c>
      <c r="D2614">
        <v>0</v>
      </c>
      <c r="E2614">
        <v>0</v>
      </c>
      <c r="F2614">
        <f>COUNTIFS(mdr_rate_cleaned!$A$2:$A$10,B2614,mdr_rate_cleaned!$B$2:$B$10,"&lt;"&amp;C2614,mdr_rate_cleaned!$F$2:$F$10,"&gt;="&amp;C2614)</f>
        <v>1</v>
      </c>
      <c r="G2614">
        <v>0</v>
      </c>
      <c r="H2614">
        <v>0</v>
      </c>
      <c r="I2614" t="s">
        <v>15</v>
      </c>
      <c r="J2614" t="s">
        <v>15</v>
      </c>
      <c r="K2614">
        <v>0</v>
      </c>
      <c r="L2614">
        <v>0</v>
      </c>
    </row>
    <row r="2615" spans="1:12" x14ac:dyDescent="0.3">
      <c r="A2615" t="s">
        <v>2631</v>
      </c>
      <c r="B2615" t="s">
        <v>17</v>
      </c>
      <c r="C2615">
        <v>8798</v>
      </c>
      <c r="D2615">
        <v>140.77000000000001</v>
      </c>
      <c r="E2615">
        <v>25.34</v>
      </c>
      <c r="F2615">
        <f>COUNTIFS(mdr_rate_cleaned!$A$2:$A$10,B2615,mdr_rate_cleaned!$B$2:$B$10,"&lt;"&amp;C2615,mdr_rate_cleaned!$F$2:$F$10,"&gt;="&amp;C2615)</f>
        <v>1</v>
      </c>
      <c r="G2615">
        <v>1.6E-2</v>
      </c>
      <c r="H2615">
        <v>140.77000000000001</v>
      </c>
      <c r="I2615" t="s">
        <v>15</v>
      </c>
      <c r="J2615" t="s">
        <v>15</v>
      </c>
      <c r="K2615">
        <v>25.34</v>
      </c>
      <c r="L2615">
        <v>0</v>
      </c>
    </row>
    <row r="2616" spans="1:12" x14ac:dyDescent="0.3">
      <c r="A2616" t="s">
        <v>2632</v>
      </c>
      <c r="B2616" t="s">
        <v>21</v>
      </c>
      <c r="C2616">
        <v>299</v>
      </c>
      <c r="D2616">
        <v>0</v>
      </c>
      <c r="E2616">
        <v>0</v>
      </c>
      <c r="F2616">
        <f>COUNTIFS(mdr_rate_cleaned!$A$2:$A$10,B2616,mdr_rate_cleaned!$B$2:$B$10,"&lt;"&amp;C2616,mdr_rate_cleaned!$F$2:$F$10,"&gt;="&amp;C2616)</f>
        <v>1</v>
      </c>
      <c r="G2616">
        <v>0</v>
      </c>
      <c r="H2616">
        <v>0</v>
      </c>
      <c r="I2616" t="s">
        <v>15</v>
      </c>
      <c r="J2616" t="s">
        <v>15</v>
      </c>
      <c r="K2616">
        <v>0</v>
      </c>
      <c r="L2616">
        <v>0</v>
      </c>
    </row>
    <row r="2617" spans="1:12" x14ac:dyDescent="0.3">
      <c r="A2617" t="s">
        <v>2633</v>
      </c>
      <c r="B2617" t="s">
        <v>21</v>
      </c>
      <c r="C2617">
        <v>599</v>
      </c>
      <c r="D2617">
        <v>0</v>
      </c>
      <c r="E2617">
        <v>0</v>
      </c>
      <c r="F2617">
        <f>COUNTIFS(mdr_rate_cleaned!$A$2:$A$10,B2617,mdr_rate_cleaned!$B$2:$B$10,"&lt;"&amp;C2617,mdr_rate_cleaned!$F$2:$F$10,"&gt;="&amp;C2617)</f>
        <v>1</v>
      </c>
      <c r="G2617">
        <v>0</v>
      </c>
      <c r="H2617">
        <v>0</v>
      </c>
      <c r="I2617" t="s">
        <v>15</v>
      </c>
      <c r="J2617" t="s">
        <v>15</v>
      </c>
      <c r="K2617">
        <v>0</v>
      </c>
      <c r="L2617">
        <v>0</v>
      </c>
    </row>
    <row r="2618" spans="1:12" x14ac:dyDescent="0.3">
      <c r="A2618" t="s">
        <v>2634</v>
      </c>
      <c r="B2618" t="s">
        <v>21</v>
      </c>
      <c r="C2618">
        <v>499</v>
      </c>
      <c r="D2618">
        <v>0</v>
      </c>
      <c r="E2618">
        <v>0</v>
      </c>
      <c r="F2618">
        <f>COUNTIFS(mdr_rate_cleaned!$A$2:$A$10,B2618,mdr_rate_cleaned!$B$2:$B$10,"&lt;"&amp;C2618,mdr_rate_cleaned!$F$2:$F$10,"&gt;="&amp;C2618)</f>
        <v>1</v>
      </c>
      <c r="G2618">
        <v>0</v>
      </c>
      <c r="H2618">
        <v>0</v>
      </c>
      <c r="I2618" t="s">
        <v>15</v>
      </c>
      <c r="J2618" t="s">
        <v>15</v>
      </c>
      <c r="K2618">
        <v>0</v>
      </c>
      <c r="L2618">
        <v>0</v>
      </c>
    </row>
    <row r="2619" spans="1:12" x14ac:dyDescent="0.3">
      <c r="A2619" t="s">
        <v>2635</v>
      </c>
      <c r="B2619" t="s">
        <v>17</v>
      </c>
      <c r="C2619">
        <v>4498</v>
      </c>
      <c r="D2619">
        <v>71.97</v>
      </c>
      <c r="E2619">
        <v>12.95</v>
      </c>
      <c r="F2619">
        <f>COUNTIFS(mdr_rate_cleaned!$A$2:$A$10,B2619,mdr_rate_cleaned!$B$2:$B$10,"&lt;"&amp;C2619,mdr_rate_cleaned!$F$2:$F$10,"&gt;="&amp;C2619)</f>
        <v>1</v>
      </c>
      <c r="G2619">
        <v>1.6E-2</v>
      </c>
      <c r="H2619">
        <v>71.97</v>
      </c>
      <c r="I2619" t="s">
        <v>15</v>
      </c>
      <c r="J2619" t="s">
        <v>15</v>
      </c>
      <c r="K2619">
        <v>12.95</v>
      </c>
      <c r="L2619">
        <v>0</v>
      </c>
    </row>
    <row r="2620" spans="1:12" x14ac:dyDescent="0.3">
      <c r="A2620" t="s">
        <v>2636</v>
      </c>
      <c r="B2620" t="s">
        <v>17</v>
      </c>
      <c r="C2620">
        <v>1799</v>
      </c>
      <c r="D2620">
        <v>32.380000000000003</v>
      </c>
      <c r="E2620">
        <v>5.83</v>
      </c>
      <c r="F2620">
        <f>COUNTIFS(mdr_rate_cleaned!$A$2:$A$10,B2620,mdr_rate_cleaned!$B$2:$B$10,"&lt;"&amp;C2620,mdr_rate_cleaned!$F$2:$F$10,"&gt;="&amp;C2620)</f>
        <v>1</v>
      </c>
      <c r="G2620">
        <v>1.7999999999999999E-2</v>
      </c>
      <c r="H2620">
        <v>32.380000000000003</v>
      </c>
      <c r="I2620" t="s">
        <v>15</v>
      </c>
      <c r="J2620" t="s">
        <v>15</v>
      </c>
      <c r="K2620">
        <v>5.83</v>
      </c>
      <c r="L2620">
        <v>0</v>
      </c>
    </row>
    <row r="2621" spans="1:12" x14ac:dyDescent="0.3">
      <c r="A2621" t="s">
        <v>2637</v>
      </c>
      <c r="B2621" t="s">
        <v>21</v>
      </c>
      <c r="C2621">
        <v>4999</v>
      </c>
      <c r="D2621">
        <v>15</v>
      </c>
      <c r="E2621">
        <v>2.7</v>
      </c>
      <c r="F2621">
        <f>COUNTIFS(mdr_rate_cleaned!$A$2:$A$10,B2621,mdr_rate_cleaned!$B$2:$B$10,"&lt;"&amp;C2621,mdr_rate_cleaned!$F$2:$F$10,"&gt;="&amp;C2621)</f>
        <v>1</v>
      </c>
      <c r="G2621">
        <v>3.0000000000000001E-3</v>
      </c>
      <c r="H2621">
        <v>15</v>
      </c>
      <c r="I2621" t="s">
        <v>15</v>
      </c>
      <c r="J2621" t="s">
        <v>15</v>
      </c>
      <c r="K2621">
        <v>2.7</v>
      </c>
      <c r="L2621">
        <v>0</v>
      </c>
    </row>
    <row r="2622" spans="1:12" x14ac:dyDescent="0.3">
      <c r="A2622" t="s">
        <v>2638</v>
      </c>
      <c r="B2622" t="s">
        <v>39</v>
      </c>
      <c r="C2622">
        <v>7999</v>
      </c>
      <c r="D2622">
        <v>95.99</v>
      </c>
      <c r="E2622">
        <v>17.28</v>
      </c>
      <c r="F2622">
        <f>COUNTIFS(mdr_rate_cleaned!$A$2:$A$10,B2622,mdr_rate_cleaned!$B$2:$B$10,"&lt;"&amp;C2622,mdr_rate_cleaned!$F$2:$F$10,"&gt;="&amp;C2622)</f>
        <v>1</v>
      </c>
      <c r="G2622">
        <v>1.2E-2</v>
      </c>
      <c r="H2622">
        <v>95.99</v>
      </c>
      <c r="I2622" t="s">
        <v>15</v>
      </c>
      <c r="J2622" t="s">
        <v>15</v>
      </c>
      <c r="K2622">
        <v>17.28</v>
      </c>
      <c r="L2622">
        <v>0</v>
      </c>
    </row>
    <row r="2623" spans="1:12" x14ac:dyDescent="0.3">
      <c r="A2623" t="s">
        <v>2639</v>
      </c>
      <c r="B2623" t="s">
        <v>17</v>
      </c>
      <c r="C2623">
        <v>1598</v>
      </c>
      <c r="D2623">
        <v>28.76</v>
      </c>
      <c r="E2623">
        <v>5.18</v>
      </c>
      <c r="F2623">
        <f>COUNTIFS(mdr_rate_cleaned!$A$2:$A$10,B2623,mdr_rate_cleaned!$B$2:$B$10,"&lt;"&amp;C2623,mdr_rate_cleaned!$F$2:$F$10,"&gt;="&amp;C2623)</f>
        <v>1</v>
      </c>
      <c r="G2623">
        <v>1.7999999999999999E-2</v>
      </c>
      <c r="H2623">
        <v>28.76</v>
      </c>
      <c r="I2623" t="s">
        <v>15</v>
      </c>
      <c r="J2623" t="s">
        <v>15</v>
      </c>
      <c r="K2623">
        <v>5.18</v>
      </c>
      <c r="L2623">
        <v>0</v>
      </c>
    </row>
    <row r="2624" spans="1:12" x14ac:dyDescent="0.3">
      <c r="A2624" t="s">
        <v>2640</v>
      </c>
      <c r="B2624" t="s">
        <v>17</v>
      </c>
      <c r="C2624">
        <v>2798</v>
      </c>
      <c r="D2624">
        <v>44.77</v>
      </c>
      <c r="E2624">
        <v>8.06</v>
      </c>
      <c r="F2624">
        <f>COUNTIFS(mdr_rate_cleaned!$A$2:$A$10,B2624,mdr_rate_cleaned!$B$2:$B$10,"&lt;"&amp;C2624,mdr_rate_cleaned!$F$2:$F$10,"&gt;="&amp;C2624)</f>
        <v>1</v>
      </c>
      <c r="G2624">
        <v>1.6E-2</v>
      </c>
      <c r="H2624">
        <v>44.77</v>
      </c>
      <c r="I2624" t="s">
        <v>15</v>
      </c>
      <c r="J2624" t="s">
        <v>15</v>
      </c>
      <c r="K2624">
        <v>8.06</v>
      </c>
      <c r="L2624">
        <v>0</v>
      </c>
    </row>
    <row r="2625" spans="1:12" x14ac:dyDescent="0.3">
      <c r="A2625" t="s">
        <v>2641</v>
      </c>
      <c r="B2625" t="s">
        <v>21</v>
      </c>
      <c r="C2625">
        <v>8697</v>
      </c>
      <c r="D2625">
        <v>26.09</v>
      </c>
      <c r="E2625">
        <v>4.7</v>
      </c>
      <c r="F2625">
        <f>COUNTIFS(mdr_rate_cleaned!$A$2:$A$10,B2625,mdr_rate_cleaned!$B$2:$B$10,"&lt;"&amp;C2625,mdr_rate_cleaned!$F$2:$F$10,"&gt;="&amp;C2625)</f>
        <v>1</v>
      </c>
      <c r="G2625">
        <v>3.0000000000000001E-3</v>
      </c>
      <c r="H2625">
        <v>26.09</v>
      </c>
      <c r="I2625" t="s">
        <v>15</v>
      </c>
      <c r="J2625" t="s">
        <v>15</v>
      </c>
      <c r="K2625">
        <v>4.7</v>
      </c>
      <c r="L2625">
        <v>0</v>
      </c>
    </row>
    <row r="2626" spans="1:12" x14ac:dyDescent="0.3">
      <c r="A2626" t="s">
        <v>2642</v>
      </c>
      <c r="B2626" t="s">
        <v>17</v>
      </c>
      <c r="C2626">
        <v>4999</v>
      </c>
      <c r="D2626">
        <v>79.98</v>
      </c>
      <c r="E2626">
        <v>14.4</v>
      </c>
      <c r="F2626">
        <f>COUNTIFS(mdr_rate_cleaned!$A$2:$A$10,B2626,mdr_rate_cleaned!$B$2:$B$10,"&lt;"&amp;C2626,mdr_rate_cleaned!$F$2:$F$10,"&gt;="&amp;C2626)</f>
        <v>1</v>
      </c>
      <c r="G2626">
        <v>1.6E-2</v>
      </c>
      <c r="H2626">
        <v>79.98</v>
      </c>
      <c r="I2626" t="s">
        <v>15</v>
      </c>
      <c r="J2626" t="s">
        <v>15</v>
      </c>
      <c r="K2626">
        <v>14.4</v>
      </c>
      <c r="L2626">
        <v>0</v>
      </c>
    </row>
    <row r="2627" spans="1:12" x14ac:dyDescent="0.3">
      <c r="A2627" t="s">
        <v>2643</v>
      </c>
      <c r="B2627" t="s">
        <v>21</v>
      </c>
      <c r="C2627">
        <v>9498</v>
      </c>
      <c r="D2627">
        <v>28.49</v>
      </c>
      <c r="E2627">
        <v>5.13</v>
      </c>
      <c r="F2627">
        <f>COUNTIFS(mdr_rate_cleaned!$A$2:$A$10,B2627,mdr_rate_cleaned!$B$2:$B$10,"&lt;"&amp;C2627,mdr_rate_cleaned!$F$2:$F$10,"&gt;="&amp;C2627)</f>
        <v>1</v>
      </c>
      <c r="G2627">
        <v>3.0000000000000001E-3</v>
      </c>
      <c r="H2627">
        <v>28.49</v>
      </c>
      <c r="I2627" t="s">
        <v>15</v>
      </c>
      <c r="J2627" t="s">
        <v>15</v>
      </c>
      <c r="K2627">
        <v>5.13</v>
      </c>
      <c r="L2627">
        <v>0</v>
      </c>
    </row>
    <row r="2628" spans="1:12" x14ac:dyDescent="0.3">
      <c r="A2628" t="s">
        <v>2644</v>
      </c>
      <c r="B2628" t="s">
        <v>21</v>
      </c>
      <c r="C2628">
        <v>3499</v>
      </c>
      <c r="D2628">
        <v>10.5</v>
      </c>
      <c r="E2628">
        <v>1.89</v>
      </c>
      <c r="F2628">
        <f>COUNTIFS(mdr_rate_cleaned!$A$2:$A$10,B2628,mdr_rate_cleaned!$B$2:$B$10,"&lt;"&amp;C2628,mdr_rate_cleaned!$F$2:$F$10,"&gt;="&amp;C2628)</f>
        <v>1</v>
      </c>
      <c r="G2628">
        <v>3.0000000000000001E-3</v>
      </c>
      <c r="H2628">
        <v>10.5</v>
      </c>
      <c r="I2628" t="s">
        <v>15</v>
      </c>
      <c r="J2628" t="s">
        <v>15</v>
      </c>
      <c r="K2628">
        <v>1.89</v>
      </c>
      <c r="L2628">
        <v>0</v>
      </c>
    </row>
    <row r="2629" spans="1:12" x14ac:dyDescent="0.3">
      <c r="A2629" t="s">
        <v>2645</v>
      </c>
      <c r="B2629" t="s">
        <v>21</v>
      </c>
      <c r="C2629">
        <v>7147</v>
      </c>
      <c r="D2629">
        <v>21.44</v>
      </c>
      <c r="E2629">
        <v>3.86</v>
      </c>
      <c r="F2629">
        <f>COUNTIFS(mdr_rate_cleaned!$A$2:$A$10,B2629,mdr_rate_cleaned!$B$2:$B$10,"&lt;"&amp;C2629,mdr_rate_cleaned!$F$2:$F$10,"&gt;="&amp;C2629)</f>
        <v>1</v>
      </c>
      <c r="G2629">
        <v>3.0000000000000001E-3</v>
      </c>
      <c r="H2629">
        <v>21.44</v>
      </c>
      <c r="I2629" t="s">
        <v>15</v>
      </c>
      <c r="J2629" t="s">
        <v>15</v>
      </c>
      <c r="K2629">
        <v>3.86</v>
      </c>
      <c r="L2629">
        <v>0</v>
      </c>
    </row>
    <row r="2630" spans="1:12" x14ac:dyDescent="0.3">
      <c r="A2630" t="s">
        <v>2646</v>
      </c>
      <c r="B2630" t="s">
        <v>21</v>
      </c>
      <c r="C2630">
        <v>3797</v>
      </c>
      <c r="D2630">
        <v>11.39</v>
      </c>
      <c r="E2630">
        <v>2.0499999999999998</v>
      </c>
      <c r="F2630">
        <f>COUNTIFS(mdr_rate_cleaned!$A$2:$A$10,B2630,mdr_rate_cleaned!$B$2:$B$10,"&lt;"&amp;C2630,mdr_rate_cleaned!$F$2:$F$10,"&gt;="&amp;C2630)</f>
        <v>1</v>
      </c>
      <c r="G2630">
        <v>3.0000000000000001E-3</v>
      </c>
      <c r="H2630">
        <v>11.39</v>
      </c>
      <c r="I2630" t="s">
        <v>15</v>
      </c>
      <c r="J2630" t="s">
        <v>15</v>
      </c>
      <c r="K2630">
        <v>2.0499999999999998</v>
      </c>
      <c r="L2630">
        <v>0</v>
      </c>
    </row>
    <row r="2631" spans="1:12" x14ac:dyDescent="0.3">
      <c r="A2631" t="s">
        <v>2647</v>
      </c>
      <c r="B2631" t="s">
        <v>21</v>
      </c>
      <c r="C2631">
        <v>599</v>
      </c>
      <c r="D2631">
        <v>0</v>
      </c>
      <c r="E2631">
        <v>0</v>
      </c>
      <c r="F2631">
        <f>COUNTIFS(mdr_rate_cleaned!$A$2:$A$10,B2631,mdr_rate_cleaned!$B$2:$B$10,"&lt;"&amp;C2631,mdr_rate_cleaned!$F$2:$F$10,"&gt;="&amp;C2631)</f>
        <v>1</v>
      </c>
      <c r="G2631">
        <v>0</v>
      </c>
      <c r="H2631">
        <v>0</v>
      </c>
      <c r="I2631" t="s">
        <v>15</v>
      </c>
      <c r="J2631" t="s">
        <v>15</v>
      </c>
      <c r="K2631">
        <v>0</v>
      </c>
      <c r="L2631">
        <v>0</v>
      </c>
    </row>
    <row r="2632" spans="1:12" x14ac:dyDescent="0.3">
      <c r="A2632" t="s">
        <v>2648</v>
      </c>
      <c r="B2632" t="s">
        <v>13</v>
      </c>
      <c r="C2632">
        <v>5498</v>
      </c>
      <c r="D2632">
        <v>93.47</v>
      </c>
      <c r="E2632">
        <v>16.82</v>
      </c>
      <c r="F2632">
        <f>COUNTIFS(mdr_rate_cleaned!$A$2:$A$10,B2632,mdr_rate_cleaned!$B$2:$B$10,"&lt;"&amp;C2632,mdr_rate_cleaned!$F$2:$F$10,"&gt;="&amp;C2632)</f>
        <v>1</v>
      </c>
      <c r="G2632">
        <v>1.7000000000000001E-2</v>
      </c>
      <c r="H2632">
        <v>93.47</v>
      </c>
      <c r="I2632" t="s">
        <v>15</v>
      </c>
      <c r="J2632" t="s">
        <v>15</v>
      </c>
      <c r="K2632">
        <v>16.82</v>
      </c>
      <c r="L2632">
        <v>0</v>
      </c>
    </row>
    <row r="2633" spans="1:12" x14ac:dyDescent="0.3">
      <c r="A2633" t="s">
        <v>2649</v>
      </c>
      <c r="B2633" t="s">
        <v>21</v>
      </c>
      <c r="C2633">
        <v>5498</v>
      </c>
      <c r="D2633">
        <v>16.489999999999998</v>
      </c>
      <c r="E2633">
        <v>2.97</v>
      </c>
      <c r="F2633">
        <f>COUNTIFS(mdr_rate_cleaned!$A$2:$A$10,B2633,mdr_rate_cleaned!$B$2:$B$10,"&lt;"&amp;C2633,mdr_rate_cleaned!$F$2:$F$10,"&gt;="&amp;C2633)</f>
        <v>1</v>
      </c>
      <c r="G2633">
        <v>3.0000000000000001E-3</v>
      </c>
      <c r="H2633">
        <v>16.489999999999998</v>
      </c>
      <c r="I2633" t="s">
        <v>15</v>
      </c>
      <c r="J2633" t="s">
        <v>15</v>
      </c>
      <c r="K2633">
        <v>2.97</v>
      </c>
      <c r="L2633">
        <v>0</v>
      </c>
    </row>
    <row r="2634" spans="1:12" x14ac:dyDescent="0.3">
      <c r="A2634" t="s">
        <v>2650</v>
      </c>
      <c r="B2634" t="s">
        <v>17</v>
      </c>
      <c r="C2634">
        <v>5998</v>
      </c>
      <c r="D2634">
        <v>95.97</v>
      </c>
      <c r="E2634">
        <v>17.27</v>
      </c>
      <c r="F2634">
        <f>COUNTIFS(mdr_rate_cleaned!$A$2:$A$10,B2634,mdr_rate_cleaned!$B$2:$B$10,"&lt;"&amp;C2634,mdr_rate_cleaned!$F$2:$F$10,"&gt;="&amp;C2634)</f>
        <v>1</v>
      </c>
      <c r="G2634">
        <v>1.6E-2</v>
      </c>
      <c r="H2634">
        <v>95.97</v>
      </c>
      <c r="I2634" t="s">
        <v>15</v>
      </c>
      <c r="J2634" t="s">
        <v>15</v>
      </c>
      <c r="K2634">
        <v>17.27</v>
      </c>
      <c r="L2634">
        <v>0</v>
      </c>
    </row>
    <row r="2635" spans="1:12" x14ac:dyDescent="0.3">
      <c r="A2635" t="s">
        <v>2651</v>
      </c>
      <c r="B2635" t="s">
        <v>17</v>
      </c>
      <c r="C2635">
        <v>3298</v>
      </c>
      <c r="D2635">
        <v>52.77</v>
      </c>
      <c r="E2635">
        <v>9.5</v>
      </c>
      <c r="F2635">
        <f>COUNTIFS(mdr_rate_cleaned!$A$2:$A$10,B2635,mdr_rate_cleaned!$B$2:$B$10,"&lt;"&amp;C2635,mdr_rate_cleaned!$F$2:$F$10,"&gt;="&amp;C2635)</f>
        <v>1</v>
      </c>
      <c r="G2635">
        <v>1.6E-2</v>
      </c>
      <c r="H2635">
        <v>52.77</v>
      </c>
      <c r="I2635" t="s">
        <v>15</v>
      </c>
      <c r="J2635" t="s">
        <v>15</v>
      </c>
      <c r="K2635">
        <v>9.5</v>
      </c>
      <c r="L2635">
        <v>0</v>
      </c>
    </row>
    <row r="2636" spans="1:12" x14ac:dyDescent="0.3">
      <c r="A2636" t="s">
        <v>2652</v>
      </c>
      <c r="B2636" t="s">
        <v>21</v>
      </c>
      <c r="C2636">
        <v>1997</v>
      </c>
      <c r="D2636">
        <v>0</v>
      </c>
      <c r="E2636">
        <v>0</v>
      </c>
      <c r="F2636">
        <f>COUNTIFS(mdr_rate_cleaned!$A$2:$A$10,B2636,mdr_rate_cleaned!$B$2:$B$10,"&lt;"&amp;C2636,mdr_rate_cleaned!$F$2:$F$10,"&gt;="&amp;C2636)</f>
        <v>1</v>
      </c>
      <c r="G2636">
        <v>0</v>
      </c>
      <c r="H2636">
        <v>0</v>
      </c>
      <c r="I2636" t="s">
        <v>15</v>
      </c>
      <c r="J2636" t="s">
        <v>15</v>
      </c>
      <c r="K2636">
        <v>0</v>
      </c>
      <c r="L2636">
        <v>0</v>
      </c>
    </row>
    <row r="2637" spans="1:12" x14ac:dyDescent="0.3">
      <c r="A2637" t="s">
        <v>2653</v>
      </c>
      <c r="B2637" t="s">
        <v>21</v>
      </c>
      <c r="C2637">
        <v>8847</v>
      </c>
      <c r="D2637">
        <v>26.54</v>
      </c>
      <c r="E2637">
        <v>4.78</v>
      </c>
      <c r="F2637">
        <f>COUNTIFS(mdr_rate_cleaned!$A$2:$A$10,B2637,mdr_rate_cleaned!$B$2:$B$10,"&lt;"&amp;C2637,mdr_rate_cleaned!$F$2:$F$10,"&gt;="&amp;C2637)</f>
        <v>1</v>
      </c>
      <c r="G2637">
        <v>3.0000000000000001E-3</v>
      </c>
      <c r="H2637">
        <v>26.54</v>
      </c>
      <c r="I2637" t="s">
        <v>15</v>
      </c>
      <c r="J2637" t="s">
        <v>15</v>
      </c>
      <c r="K2637">
        <v>4.78</v>
      </c>
      <c r="L2637">
        <v>0</v>
      </c>
    </row>
    <row r="2638" spans="1:12" x14ac:dyDescent="0.3">
      <c r="A2638" t="s">
        <v>2654</v>
      </c>
      <c r="B2638" t="s">
        <v>21</v>
      </c>
      <c r="C2638">
        <v>3499</v>
      </c>
      <c r="D2638">
        <v>10.5</v>
      </c>
      <c r="E2638">
        <v>1.89</v>
      </c>
      <c r="F2638">
        <f>COUNTIFS(mdr_rate_cleaned!$A$2:$A$10,B2638,mdr_rate_cleaned!$B$2:$B$10,"&lt;"&amp;C2638,mdr_rate_cleaned!$F$2:$F$10,"&gt;="&amp;C2638)</f>
        <v>1</v>
      </c>
      <c r="G2638">
        <v>3.0000000000000001E-3</v>
      </c>
      <c r="H2638">
        <v>10.5</v>
      </c>
      <c r="I2638" t="s">
        <v>15</v>
      </c>
      <c r="J2638" t="s">
        <v>15</v>
      </c>
      <c r="K2638">
        <v>1.89</v>
      </c>
      <c r="L2638">
        <v>0</v>
      </c>
    </row>
    <row r="2639" spans="1:12" x14ac:dyDescent="0.3">
      <c r="A2639" t="s">
        <v>2655</v>
      </c>
      <c r="B2639" t="s">
        <v>13</v>
      </c>
      <c r="C2639">
        <v>6297</v>
      </c>
      <c r="D2639">
        <v>107.05</v>
      </c>
      <c r="E2639">
        <v>19.27</v>
      </c>
      <c r="F2639">
        <f>COUNTIFS(mdr_rate_cleaned!$A$2:$A$10,B2639,mdr_rate_cleaned!$B$2:$B$10,"&lt;"&amp;C2639,mdr_rate_cleaned!$F$2:$F$10,"&gt;="&amp;C2639)</f>
        <v>1</v>
      </c>
      <c r="G2639">
        <v>1.7000000000000001E-2</v>
      </c>
      <c r="H2639">
        <v>107.05</v>
      </c>
      <c r="I2639" t="s">
        <v>15</v>
      </c>
      <c r="J2639" t="s">
        <v>15</v>
      </c>
      <c r="K2639">
        <v>19.27</v>
      </c>
      <c r="L2639">
        <v>0</v>
      </c>
    </row>
    <row r="2640" spans="1:12" x14ac:dyDescent="0.3">
      <c r="A2640" t="s">
        <v>2656</v>
      </c>
      <c r="B2640" t="s">
        <v>21</v>
      </c>
      <c r="C2640">
        <v>2298</v>
      </c>
      <c r="D2640">
        <v>6.89</v>
      </c>
      <c r="E2640">
        <v>1.24</v>
      </c>
      <c r="F2640">
        <f>COUNTIFS(mdr_rate_cleaned!$A$2:$A$10,B2640,mdr_rate_cleaned!$B$2:$B$10,"&lt;"&amp;C2640,mdr_rate_cleaned!$F$2:$F$10,"&gt;="&amp;C2640)</f>
        <v>1</v>
      </c>
      <c r="G2640">
        <v>3.0000000000000001E-3</v>
      </c>
      <c r="H2640">
        <v>6.89</v>
      </c>
      <c r="I2640" t="s">
        <v>15</v>
      </c>
      <c r="J2640" t="s">
        <v>15</v>
      </c>
      <c r="K2640">
        <v>1.24</v>
      </c>
      <c r="L2640">
        <v>0</v>
      </c>
    </row>
    <row r="2641" spans="1:12" x14ac:dyDescent="0.3">
      <c r="A2641" t="s">
        <v>2657</v>
      </c>
      <c r="B2641" t="s">
        <v>13</v>
      </c>
      <c r="C2641">
        <v>6597</v>
      </c>
      <c r="D2641">
        <v>112.15</v>
      </c>
      <c r="E2641">
        <v>20.190000000000001</v>
      </c>
      <c r="F2641">
        <f>COUNTIFS(mdr_rate_cleaned!$A$2:$A$10,B2641,mdr_rate_cleaned!$B$2:$B$10,"&lt;"&amp;C2641,mdr_rate_cleaned!$F$2:$F$10,"&gt;="&amp;C2641)</f>
        <v>1</v>
      </c>
      <c r="G2641">
        <v>1.7000000000000001E-2</v>
      </c>
      <c r="H2641">
        <v>112.15</v>
      </c>
      <c r="I2641" t="s">
        <v>15</v>
      </c>
      <c r="J2641" t="s">
        <v>15</v>
      </c>
      <c r="K2641">
        <v>20.190000000000001</v>
      </c>
      <c r="L2641">
        <v>0</v>
      </c>
    </row>
    <row r="2642" spans="1:12" x14ac:dyDescent="0.3">
      <c r="A2642" t="s">
        <v>2658</v>
      </c>
      <c r="B2642" t="s">
        <v>17</v>
      </c>
      <c r="C2642">
        <v>12297</v>
      </c>
      <c r="D2642">
        <v>196.75</v>
      </c>
      <c r="E2642">
        <v>35.42</v>
      </c>
      <c r="F2642">
        <f>COUNTIFS(mdr_rate_cleaned!$A$2:$A$10,B2642,mdr_rate_cleaned!$B$2:$B$10,"&lt;"&amp;C2642,mdr_rate_cleaned!$F$2:$F$10,"&gt;="&amp;C2642)</f>
        <v>1</v>
      </c>
      <c r="G2642">
        <v>1.6E-2</v>
      </c>
      <c r="H2642">
        <v>196.75</v>
      </c>
      <c r="I2642" t="s">
        <v>15</v>
      </c>
      <c r="J2642" t="s">
        <v>15</v>
      </c>
      <c r="K2642">
        <v>35.42</v>
      </c>
      <c r="L2642">
        <v>0</v>
      </c>
    </row>
    <row r="2643" spans="1:12" x14ac:dyDescent="0.3">
      <c r="A2643" t="s">
        <v>2659</v>
      </c>
      <c r="B2643" t="s">
        <v>21</v>
      </c>
      <c r="C2643">
        <v>299</v>
      </c>
      <c r="D2643">
        <v>0</v>
      </c>
      <c r="E2643">
        <v>0</v>
      </c>
      <c r="F2643">
        <f>COUNTIFS(mdr_rate_cleaned!$A$2:$A$10,B2643,mdr_rate_cleaned!$B$2:$B$10,"&lt;"&amp;C2643,mdr_rate_cleaned!$F$2:$F$10,"&gt;="&amp;C2643)</f>
        <v>1</v>
      </c>
      <c r="G2643">
        <v>0</v>
      </c>
      <c r="H2643">
        <v>0</v>
      </c>
      <c r="I2643" t="s">
        <v>15</v>
      </c>
      <c r="J2643" t="s">
        <v>15</v>
      </c>
      <c r="K2643">
        <v>0</v>
      </c>
      <c r="L2643">
        <v>0</v>
      </c>
    </row>
    <row r="2644" spans="1:12" x14ac:dyDescent="0.3">
      <c r="A2644" t="s">
        <v>2660</v>
      </c>
      <c r="B2644" t="s">
        <v>17</v>
      </c>
      <c r="C2644">
        <v>999</v>
      </c>
      <c r="D2644">
        <v>17.98</v>
      </c>
      <c r="E2644">
        <v>3.24</v>
      </c>
      <c r="F2644">
        <f>COUNTIFS(mdr_rate_cleaned!$A$2:$A$10,B2644,mdr_rate_cleaned!$B$2:$B$10,"&lt;"&amp;C2644,mdr_rate_cleaned!$F$2:$F$10,"&gt;="&amp;C2644)</f>
        <v>1</v>
      </c>
      <c r="G2644">
        <v>1.7999999999999999E-2</v>
      </c>
      <c r="H2644">
        <v>17.98</v>
      </c>
      <c r="I2644" t="s">
        <v>15</v>
      </c>
      <c r="J2644" t="s">
        <v>15</v>
      </c>
      <c r="K2644">
        <v>3.24</v>
      </c>
      <c r="L2644">
        <v>0</v>
      </c>
    </row>
    <row r="2645" spans="1:12" x14ac:dyDescent="0.3">
      <c r="A2645" t="s">
        <v>2661</v>
      </c>
      <c r="B2645" t="s">
        <v>21</v>
      </c>
      <c r="C2645">
        <v>3498</v>
      </c>
      <c r="D2645">
        <v>10.49</v>
      </c>
      <c r="E2645">
        <v>1.89</v>
      </c>
      <c r="F2645">
        <f>COUNTIFS(mdr_rate_cleaned!$A$2:$A$10,B2645,mdr_rate_cleaned!$B$2:$B$10,"&lt;"&amp;C2645,mdr_rate_cleaned!$F$2:$F$10,"&gt;="&amp;C2645)</f>
        <v>1</v>
      </c>
      <c r="G2645">
        <v>3.0000000000000001E-3</v>
      </c>
      <c r="H2645">
        <v>10.49</v>
      </c>
      <c r="I2645" t="s">
        <v>15</v>
      </c>
      <c r="J2645" t="s">
        <v>15</v>
      </c>
      <c r="K2645">
        <v>1.89</v>
      </c>
      <c r="L2645">
        <v>0</v>
      </c>
    </row>
    <row r="2646" spans="1:12" x14ac:dyDescent="0.3">
      <c r="A2646" t="s">
        <v>2662</v>
      </c>
      <c r="B2646" t="s">
        <v>39</v>
      </c>
      <c r="C2646">
        <v>1298</v>
      </c>
      <c r="D2646">
        <v>19.47</v>
      </c>
      <c r="E2646">
        <v>3.5</v>
      </c>
      <c r="F2646">
        <f>COUNTIFS(mdr_rate_cleaned!$A$2:$A$10,B2646,mdr_rate_cleaned!$B$2:$B$10,"&lt;"&amp;C2646,mdr_rate_cleaned!$F$2:$F$10,"&gt;="&amp;C2646)</f>
        <v>1</v>
      </c>
      <c r="G2646">
        <v>1.4999999999999999E-2</v>
      </c>
      <c r="H2646">
        <v>19.47</v>
      </c>
      <c r="I2646" t="s">
        <v>15</v>
      </c>
      <c r="J2646" t="s">
        <v>15</v>
      </c>
      <c r="K2646">
        <v>3.5</v>
      </c>
      <c r="L2646">
        <v>0</v>
      </c>
    </row>
    <row r="2647" spans="1:12" x14ac:dyDescent="0.3">
      <c r="A2647" t="s">
        <v>2663</v>
      </c>
      <c r="B2647" t="s">
        <v>17</v>
      </c>
      <c r="C2647">
        <v>1647</v>
      </c>
      <c r="D2647">
        <v>29.65</v>
      </c>
      <c r="E2647">
        <v>5.34</v>
      </c>
      <c r="F2647">
        <f>COUNTIFS(mdr_rate_cleaned!$A$2:$A$10,B2647,mdr_rate_cleaned!$B$2:$B$10,"&lt;"&amp;C2647,mdr_rate_cleaned!$F$2:$F$10,"&gt;="&amp;C2647)</f>
        <v>1</v>
      </c>
      <c r="G2647">
        <v>1.7999999999999999E-2</v>
      </c>
      <c r="H2647">
        <v>29.65</v>
      </c>
      <c r="I2647" t="s">
        <v>15</v>
      </c>
      <c r="J2647" t="s">
        <v>15</v>
      </c>
      <c r="K2647">
        <v>5.34</v>
      </c>
      <c r="L2647">
        <v>0</v>
      </c>
    </row>
    <row r="2648" spans="1:12" x14ac:dyDescent="0.3">
      <c r="A2648" t="s">
        <v>2664</v>
      </c>
      <c r="B2648" t="s">
        <v>17</v>
      </c>
      <c r="C2648">
        <v>8348</v>
      </c>
      <c r="D2648">
        <v>133.57</v>
      </c>
      <c r="E2648">
        <v>24.04</v>
      </c>
      <c r="F2648">
        <f>COUNTIFS(mdr_rate_cleaned!$A$2:$A$10,B2648,mdr_rate_cleaned!$B$2:$B$10,"&lt;"&amp;C2648,mdr_rate_cleaned!$F$2:$F$10,"&gt;="&amp;C2648)</f>
        <v>1</v>
      </c>
      <c r="G2648">
        <v>1.6E-2</v>
      </c>
      <c r="H2648">
        <v>133.57</v>
      </c>
      <c r="I2648" t="s">
        <v>15</v>
      </c>
      <c r="J2648" t="s">
        <v>15</v>
      </c>
      <c r="K2648">
        <v>24.04</v>
      </c>
      <c r="L2648">
        <v>0</v>
      </c>
    </row>
    <row r="2649" spans="1:12" x14ac:dyDescent="0.3">
      <c r="A2649" t="s">
        <v>2665</v>
      </c>
      <c r="B2649" t="s">
        <v>21</v>
      </c>
      <c r="C2649">
        <v>1299</v>
      </c>
      <c r="D2649">
        <v>0</v>
      </c>
      <c r="E2649">
        <v>0</v>
      </c>
      <c r="F2649">
        <f>COUNTIFS(mdr_rate_cleaned!$A$2:$A$10,B2649,mdr_rate_cleaned!$B$2:$B$10,"&lt;"&amp;C2649,mdr_rate_cleaned!$F$2:$F$10,"&gt;="&amp;C2649)</f>
        <v>1</v>
      </c>
      <c r="G2649">
        <v>0</v>
      </c>
      <c r="H2649">
        <v>0</v>
      </c>
      <c r="I2649" t="s">
        <v>15</v>
      </c>
      <c r="J2649" t="s">
        <v>15</v>
      </c>
      <c r="K2649">
        <v>0</v>
      </c>
      <c r="L2649">
        <v>0</v>
      </c>
    </row>
    <row r="2650" spans="1:12" x14ac:dyDescent="0.3">
      <c r="A2650" t="s">
        <v>2666</v>
      </c>
      <c r="B2650" t="s">
        <v>21</v>
      </c>
      <c r="C2650">
        <v>3497</v>
      </c>
      <c r="D2650">
        <v>10.49</v>
      </c>
      <c r="E2650">
        <v>1.89</v>
      </c>
      <c r="F2650">
        <f>COUNTIFS(mdr_rate_cleaned!$A$2:$A$10,B2650,mdr_rate_cleaned!$B$2:$B$10,"&lt;"&amp;C2650,mdr_rate_cleaned!$F$2:$F$10,"&gt;="&amp;C2650)</f>
        <v>1</v>
      </c>
      <c r="G2650">
        <v>3.0000000000000001E-3</v>
      </c>
      <c r="H2650">
        <v>10.49</v>
      </c>
      <c r="I2650" t="s">
        <v>15</v>
      </c>
      <c r="J2650" t="s">
        <v>15</v>
      </c>
      <c r="K2650">
        <v>1.89</v>
      </c>
      <c r="L2650">
        <v>0</v>
      </c>
    </row>
    <row r="2651" spans="1:12" x14ac:dyDescent="0.3">
      <c r="A2651" t="s">
        <v>2667</v>
      </c>
      <c r="B2651" t="s">
        <v>21</v>
      </c>
      <c r="C2651">
        <v>3798</v>
      </c>
      <c r="D2651">
        <v>11.39</v>
      </c>
      <c r="E2651">
        <v>2.0499999999999998</v>
      </c>
      <c r="F2651">
        <f>COUNTIFS(mdr_rate_cleaned!$A$2:$A$10,B2651,mdr_rate_cleaned!$B$2:$B$10,"&lt;"&amp;C2651,mdr_rate_cleaned!$F$2:$F$10,"&gt;="&amp;C2651)</f>
        <v>1</v>
      </c>
      <c r="G2651">
        <v>3.0000000000000001E-3</v>
      </c>
      <c r="H2651">
        <v>11.39</v>
      </c>
      <c r="I2651" t="s">
        <v>15</v>
      </c>
      <c r="J2651" t="s">
        <v>15</v>
      </c>
      <c r="K2651">
        <v>2.0499999999999998</v>
      </c>
      <c r="L2651">
        <v>0</v>
      </c>
    </row>
    <row r="2652" spans="1:12" x14ac:dyDescent="0.3">
      <c r="A2652" t="s">
        <v>2668</v>
      </c>
      <c r="B2652" t="s">
        <v>21</v>
      </c>
      <c r="C2652">
        <v>3499</v>
      </c>
      <c r="D2652">
        <v>10.5</v>
      </c>
      <c r="E2652">
        <v>1.89</v>
      </c>
      <c r="F2652">
        <f>COUNTIFS(mdr_rate_cleaned!$A$2:$A$10,B2652,mdr_rate_cleaned!$B$2:$B$10,"&lt;"&amp;C2652,mdr_rate_cleaned!$F$2:$F$10,"&gt;="&amp;C2652)</f>
        <v>1</v>
      </c>
      <c r="G2652">
        <v>3.0000000000000001E-3</v>
      </c>
      <c r="H2652">
        <v>10.5</v>
      </c>
      <c r="I2652" t="s">
        <v>15</v>
      </c>
      <c r="J2652" t="s">
        <v>15</v>
      </c>
      <c r="K2652">
        <v>1.89</v>
      </c>
      <c r="L2652">
        <v>0</v>
      </c>
    </row>
    <row r="2653" spans="1:12" x14ac:dyDescent="0.3">
      <c r="A2653" t="s">
        <v>2669</v>
      </c>
      <c r="B2653" t="s">
        <v>17</v>
      </c>
      <c r="C2653">
        <v>4798</v>
      </c>
      <c r="D2653">
        <v>76.77</v>
      </c>
      <c r="E2653">
        <v>13.82</v>
      </c>
      <c r="F2653">
        <f>COUNTIFS(mdr_rate_cleaned!$A$2:$A$10,B2653,mdr_rate_cleaned!$B$2:$B$10,"&lt;"&amp;C2653,mdr_rate_cleaned!$F$2:$F$10,"&gt;="&amp;C2653)</f>
        <v>1</v>
      </c>
      <c r="G2653">
        <v>1.6E-2</v>
      </c>
      <c r="H2653">
        <v>76.77</v>
      </c>
      <c r="I2653" t="s">
        <v>15</v>
      </c>
      <c r="J2653" t="s">
        <v>15</v>
      </c>
      <c r="K2653">
        <v>13.82</v>
      </c>
      <c r="L2653">
        <v>0</v>
      </c>
    </row>
    <row r="2654" spans="1:12" x14ac:dyDescent="0.3">
      <c r="A2654" t="s">
        <v>2670</v>
      </c>
      <c r="B2654" t="s">
        <v>13</v>
      </c>
      <c r="C2654">
        <v>7999</v>
      </c>
      <c r="D2654">
        <v>135.97999999999999</v>
      </c>
      <c r="E2654">
        <v>24.48</v>
      </c>
      <c r="F2654">
        <f>COUNTIFS(mdr_rate_cleaned!$A$2:$A$10,B2654,mdr_rate_cleaned!$B$2:$B$10,"&lt;"&amp;C2654,mdr_rate_cleaned!$F$2:$F$10,"&gt;="&amp;C2654)</f>
        <v>1</v>
      </c>
      <c r="G2654">
        <v>1.7000000000000001E-2</v>
      </c>
      <c r="H2654">
        <v>135.97999999999999</v>
      </c>
      <c r="I2654" t="s">
        <v>15</v>
      </c>
      <c r="J2654" t="s">
        <v>15</v>
      </c>
      <c r="K2654">
        <v>24.48</v>
      </c>
      <c r="L2654">
        <v>0</v>
      </c>
    </row>
    <row r="2655" spans="1:12" x14ac:dyDescent="0.3">
      <c r="A2655" t="s">
        <v>2671</v>
      </c>
      <c r="B2655" t="s">
        <v>17</v>
      </c>
      <c r="C2655">
        <v>999</v>
      </c>
      <c r="D2655">
        <v>17.98</v>
      </c>
      <c r="E2655">
        <v>3.24</v>
      </c>
      <c r="F2655">
        <f>COUNTIFS(mdr_rate_cleaned!$A$2:$A$10,B2655,mdr_rate_cleaned!$B$2:$B$10,"&lt;"&amp;C2655,mdr_rate_cleaned!$F$2:$F$10,"&gt;="&amp;C2655)</f>
        <v>1</v>
      </c>
      <c r="G2655">
        <v>1.7999999999999999E-2</v>
      </c>
      <c r="H2655">
        <v>17.98</v>
      </c>
      <c r="I2655" t="s">
        <v>15</v>
      </c>
      <c r="J2655" t="s">
        <v>15</v>
      </c>
      <c r="K2655">
        <v>3.24</v>
      </c>
      <c r="L2655">
        <v>0</v>
      </c>
    </row>
    <row r="2656" spans="1:12" x14ac:dyDescent="0.3">
      <c r="A2656" t="s">
        <v>2672</v>
      </c>
      <c r="B2656" t="s">
        <v>13</v>
      </c>
      <c r="C2656">
        <v>1799</v>
      </c>
      <c r="D2656">
        <v>34.18</v>
      </c>
      <c r="E2656">
        <v>6.15</v>
      </c>
      <c r="F2656">
        <f>COUNTIFS(mdr_rate_cleaned!$A$2:$A$10,B2656,mdr_rate_cleaned!$B$2:$B$10,"&lt;"&amp;C2656,mdr_rate_cleaned!$F$2:$F$10,"&gt;="&amp;C2656)</f>
        <v>1</v>
      </c>
      <c r="G2656">
        <v>1.9E-2</v>
      </c>
      <c r="H2656">
        <v>34.18</v>
      </c>
      <c r="I2656" t="s">
        <v>15</v>
      </c>
      <c r="J2656" t="s">
        <v>15</v>
      </c>
      <c r="K2656">
        <v>6.15</v>
      </c>
      <c r="L2656">
        <v>0</v>
      </c>
    </row>
    <row r="2657" spans="1:12" x14ac:dyDescent="0.3">
      <c r="A2657" t="s">
        <v>2673</v>
      </c>
      <c r="B2657" t="s">
        <v>39</v>
      </c>
      <c r="C2657">
        <v>3798</v>
      </c>
      <c r="D2657">
        <v>45.58</v>
      </c>
      <c r="E2657">
        <v>8.1999999999999993</v>
      </c>
      <c r="F2657">
        <f>COUNTIFS(mdr_rate_cleaned!$A$2:$A$10,B2657,mdr_rate_cleaned!$B$2:$B$10,"&lt;"&amp;C2657,mdr_rate_cleaned!$F$2:$F$10,"&gt;="&amp;C2657)</f>
        <v>1</v>
      </c>
      <c r="G2657">
        <v>1.2E-2</v>
      </c>
      <c r="H2657">
        <v>45.58</v>
      </c>
      <c r="I2657" t="s">
        <v>15</v>
      </c>
      <c r="J2657" t="s">
        <v>15</v>
      </c>
      <c r="K2657">
        <v>8.1999999999999993</v>
      </c>
      <c r="L2657">
        <v>0</v>
      </c>
    </row>
    <row r="2658" spans="1:12" x14ac:dyDescent="0.3">
      <c r="A2658" t="s">
        <v>2674</v>
      </c>
      <c r="B2658" t="s">
        <v>13</v>
      </c>
      <c r="C2658">
        <v>1299</v>
      </c>
      <c r="D2658">
        <v>24.68</v>
      </c>
      <c r="E2658">
        <v>4.4400000000000004</v>
      </c>
      <c r="F2658">
        <f>COUNTIFS(mdr_rate_cleaned!$A$2:$A$10,B2658,mdr_rate_cleaned!$B$2:$B$10,"&lt;"&amp;C2658,mdr_rate_cleaned!$F$2:$F$10,"&gt;="&amp;C2658)</f>
        <v>1</v>
      </c>
      <c r="G2658">
        <v>1.9E-2</v>
      </c>
      <c r="H2658">
        <v>24.68</v>
      </c>
      <c r="I2658" t="s">
        <v>15</v>
      </c>
      <c r="J2658" t="s">
        <v>15</v>
      </c>
      <c r="K2658">
        <v>4.4400000000000004</v>
      </c>
      <c r="L2658">
        <v>0</v>
      </c>
    </row>
    <row r="2659" spans="1:12" x14ac:dyDescent="0.3">
      <c r="A2659" t="s">
        <v>2675</v>
      </c>
      <c r="B2659" t="s">
        <v>21</v>
      </c>
      <c r="C2659">
        <v>9498</v>
      </c>
      <c r="D2659">
        <v>28.49</v>
      </c>
      <c r="E2659">
        <v>5.13</v>
      </c>
      <c r="F2659">
        <f>COUNTIFS(mdr_rate_cleaned!$A$2:$A$10,B2659,mdr_rate_cleaned!$B$2:$B$10,"&lt;"&amp;C2659,mdr_rate_cleaned!$F$2:$F$10,"&gt;="&amp;C2659)</f>
        <v>1</v>
      </c>
      <c r="G2659">
        <v>3.0000000000000001E-3</v>
      </c>
      <c r="H2659">
        <v>28.49</v>
      </c>
      <c r="I2659" t="s">
        <v>15</v>
      </c>
      <c r="J2659" t="s">
        <v>15</v>
      </c>
      <c r="K2659">
        <v>5.13</v>
      </c>
      <c r="L2659">
        <v>0</v>
      </c>
    </row>
    <row r="2660" spans="1:12" x14ac:dyDescent="0.3">
      <c r="A2660" t="s">
        <v>2676</v>
      </c>
      <c r="B2660" t="s">
        <v>17</v>
      </c>
      <c r="C2660">
        <v>4298</v>
      </c>
      <c r="D2660">
        <v>68.77</v>
      </c>
      <c r="E2660">
        <v>12.38</v>
      </c>
      <c r="F2660">
        <f>COUNTIFS(mdr_rate_cleaned!$A$2:$A$10,B2660,mdr_rate_cleaned!$B$2:$B$10,"&lt;"&amp;C2660,mdr_rate_cleaned!$F$2:$F$10,"&gt;="&amp;C2660)</f>
        <v>1</v>
      </c>
      <c r="G2660">
        <v>1.6E-2</v>
      </c>
      <c r="H2660">
        <v>68.77</v>
      </c>
      <c r="I2660" t="s">
        <v>15</v>
      </c>
      <c r="J2660" t="s">
        <v>15</v>
      </c>
      <c r="K2660">
        <v>12.38</v>
      </c>
      <c r="L2660">
        <v>0</v>
      </c>
    </row>
    <row r="2661" spans="1:12" x14ac:dyDescent="0.3">
      <c r="A2661" t="s">
        <v>2677</v>
      </c>
      <c r="B2661" t="s">
        <v>21</v>
      </c>
      <c r="C2661">
        <v>2499</v>
      </c>
      <c r="D2661">
        <v>7.5</v>
      </c>
      <c r="E2661">
        <v>1.35</v>
      </c>
      <c r="F2661">
        <f>COUNTIFS(mdr_rate_cleaned!$A$2:$A$10,B2661,mdr_rate_cleaned!$B$2:$B$10,"&lt;"&amp;C2661,mdr_rate_cleaned!$F$2:$F$10,"&gt;="&amp;C2661)</f>
        <v>1</v>
      </c>
      <c r="G2661">
        <v>3.0000000000000001E-3</v>
      </c>
      <c r="H2661">
        <v>7.5</v>
      </c>
      <c r="I2661" t="s">
        <v>15</v>
      </c>
      <c r="J2661" t="s">
        <v>15</v>
      </c>
      <c r="K2661">
        <v>1.35</v>
      </c>
      <c r="L2661">
        <v>0</v>
      </c>
    </row>
    <row r="2662" spans="1:12" x14ac:dyDescent="0.3">
      <c r="A2662" t="s">
        <v>2678</v>
      </c>
      <c r="B2662" t="s">
        <v>39</v>
      </c>
      <c r="C2662">
        <v>6797</v>
      </c>
      <c r="D2662">
        <v>81.56</v>
      </c>
      <c r="E2662">
        <v>14.68</v>
      </c>
      <c r="F2662">
        <f>COUNTIFS(mdr_rate_cleaned!$A$2:$A$10,B2662,mdr_rate_cleaned!$B$2:$B$10,"&lt;"&amp;C2662,mdr_rate_cleaned!$F$2:$F$10,"&gt;="&amp;C2662)</f>
        <v>1</v>
      </c>
      <c r="G2662">
        <v>1.2E-2</v>
      </c>
      <c r="H2662">
        <v>81.56</v>
      </c>
      <c r="I2662" t="s">
        <v>15</v>
      </c>
      <c r="J2662" t="s">
        <v>15</v>
      </c>
      <c r="K2662">
        <v>14.68</v>
      </c>
      <c r="L2662">
        <v>0</v>
      </c>
    </row>
    <row r="2663" spans="1:12" x14ac:dyDescent="0.3">
      <c r="A2663" t="s">
        <v>2679</v>
      </c>
      <c r="B2663" t="s">
        <v>17</v>
      </c>
      <c r="C2663">
        <v>299</v>
      </c>
      <c r="D2663">
        <v>5.38</v>
      </c>
      <c r="E2663">
        <v>0.97</v>
      </c>
      <c r="F2663">
        <f>COUNTIFS(mdr_rate_cleaned!$A$2:$A$10,B2663,mdr_rate_cleaned!$B$2:$B$10,"&lt;"&amp;C2663,mdr_rate_cleaned!$F$2:$F$10,"&gt;="&amp;C2663)</f>
        <v>1</v>
      </c>
      <c r="G2663">
        <v>1.7999999999999999E-2</v>
      </c>
      <c r="H2663">
        <v>5.38</v>
      </c>
      <c r="I2663" t="s">
        <v>15</v>
      </c>
      <c r="J2663" t="s">
        <v>15</v>
      </c>
      <c r="K2663">
        <v>0.97</v>
      </c>
      <c r="L2663">
        <v>0</v>
      </c>
    </row>
    <row r="2664" spans="1:12" x14ac:dyDescent="0.3">
      <c r="A2664" t="s">
        <v>2680</v>
      </c>
      <c r="B2664" t="s">
        <v>21</v>
      </c>
      <c r="C2664">
        <v>7998</v>
      </c>
      <c r="D2664">
        <v>23.99</v>
      </c>
      <c r="E2664">
        <v>4.32</v>
      </c>
      <c r="F2664">
        <f>COUNTIFS(mdr_rate_cleaned!$A$2:$A$10,B2664,mdr_rate_cleaned!$B$2:$B$10,"&lt;"&amp;C2664,mdr_rate_cleaned!$F$2:$F$10,"&gt;="&amp;C2664)</f>
        <v>1</v>
      </c>
      <c r="G2664">
        <v>3.0000000000000001E-3</v>
      </c>
      <c r="H2664">
        <v>23.99</v>
      </c>
      <c r="I2664" t="s">
        <v>15</v>
      </c>
      <c r="J2664" t="s">
        <v>15</v>
      </c>
      <c r="K2664">
        <v>4.32</v>
      </c>
      <c r="L2664">
        <v>0</v>
      </c>
    </row>
    <row r="2665" spans="1:12" x14ac:dyDescent="0.3">
      <c r="A2665" t="s">
        <v>2681</v>
      </c>
      <c r="B2665" t="s">
        <v>21</v>
      </c>
      <c r="C2665">
        <v>3598</v>
      </c>
      <c r="D2665">
        <v>10.79</v>
      </c>
      <c r="E2665">
        <v>1.94</v>
      </c>
      <c r="F2665">
        <f>COUNTIFS(mdr_rate_cleaned!$A$2:$A$10,B2665,mdr_rate_cleaned!$B$2:$B$10,"&lt;"&amp;C2665,mdr_rate_cleaned!$F$2:$F$10,"&gt;="&amp;C2665)</f>
        <v>1</v>
      </c>
      <c r="G2665">
        <v>3.0000000000000001E-3</v>
      </c>
      <c r="H2665">
        <v>10.79</v>
      </c>
      <c r="I2665" t="s">
        <v>15</v>
      </c>
      <c r="J2665" t="s">
        <v>15</v>
      </c>
      <c r="K2665">
        <v>1.94</v>
      </c>
      <c r="L2665">
        <v>0</v>
      </c>
    </row>
    <row r="2666" spans="1:12" x14ac:dyDescent="0.3">
      <c r="A2666" t="s">
        <v>2682</v>
      </c>
      <c r="B2666" t="s">
        <v>21</v>
      </c>
      <c r="C2666">
        <v>3499</v>
      </c>
      <c r="D2666">
        <v>10.5</v>
      </c>
      <c r="E2666">
        <v>1.89</v>
      </c>
      <c r="F2666">
        <f>COUNTIFS(mdr_rate_cleaned!$A$2:$A$10,B2666,mdr_rate_cleaned!$B$2:$B$10,"&lt;"&amp;C2666,mdr_rate_cleaned!$F$2:$F$10,"&gt;="&amp;C2666)</f>
        <v>1</v>
      </c>
      <c r="G2666">
        <v>3.0000000000000001E-3</v>
      </c>
      <c r="H2666">
        <v>10.5</v>
      </c>
      <c r="I2666" t="s">
        <v>15</v>
      </c>
      <c r="J2666" t="s">
        <v>15</v>
      </c>
      <c r="K2666">
        <v>1.89</v>
      </c>
      <c r="L2666">
        <v>0</v>
      </c>
    </row>
    <row r="2667" spans="1:12" x14ac:dyDescent="0.3">
      <c r="A2667" t="s">
        <v>2683</v>
      </c>
      <c r="B2667" t="s">
        <v>21</v>
      </c>
      <c r="C2667">
        <v>7097</v>
      </c>
      <c r="D2667">
        <v>21.29</v>
      </c>
      <c r="E2667">
        <v>3.83</v>
      </c>
      <c r="F2667">
        <f>COUNTIFS(mdr_rate_cleaned!$A$2:$A$10,B2667,mdr_rate_cleaned!$B$2:$B$10,"&lt;"&amp;C2667,mdr_rate_cleaned!$F$2:$F$10,"&gt;="&amp;C2667)</f>
        <v>1</v>
      </c>
      <c r="G2667">
        <v>3.0000000000000001E-3</v>
      </c>
      <c r="H2667">
        <v>21.29</v>
      </c>
      <c r="I2667" t="s">
        <v>15</v>
      </c>
      <c r="J2667" t="s">
        <v>15</v>
      </c>
      <c r="K2667">
        <v>3.83</v>
      </c>
      <c r="L2667">
        <v>0</v>
      </c>
    </row>
    <row r="2668" spans="1:12" x14ac:dyDescent="0.3">
      <c r="A2668" t="s">
        <v>2684</v>
      </c>
      <c r="B2668" t="s">
        <v>13</v>
      </c>
      <c r="C2668">
        <v>8597</v>
      </c>
      <c r="D2668">
        <v>146.15</v>
      </c>
      <c r="E2668">
        <v>26.31</v>
      </c>
      <c r="F2668">
        <f>COUNTIFS(mdr_rate_cleaned!$A$2:$A$10,B2668,mdr_rate_cleaned!$B$2:$B$10,"&lt;"&amp;C2668,mdr_rate_cleaned!$F$2:$F$10,"&gt;="&amp;C2668)</f>
        <v>1</v>
      </c>
      <c r="G2668">
        <v>1.7000000000000001E-2</v>
      </c>
      <c r="H2668">
        <v>146.15</v>
      </c>
      <c r="I2668" t="s">
        <v>15</v>
      </c>
      <c r="J2668" t="s">
        <v>15</v>
      </c>
      <c r="K2668">
        <v>26.31</v>
      </c>
      <c r="L2668">
        <v>0</v>
      </c>
    </row>
    <row r="2669" spans="1:12" x14ac:dyDescent="0.3">
      <c r="A2669" t="s">
        <v>2685</v>
      </c>
      <c r="B2669" t="s">
        <v>17</v>
      </c>
      <c r="C2669">
        <v>599</v>
      </c>
      <c r="D2669">
        <v>10.78</v>
      </c>
      <c r="E2669">
        <v>1.94</v>
      </c>
      <c r="F2669">
        <f>COUNTIFS(mdr_rate_cleaned!$A$2:$A$10,B2669,mdr_rate_cleaned!$B$2:$B$10,"&lt;"&amp;C2669,mdr_rate_cleaned!$F$2:$F$10,"&gt;="&amp;C2669)</f>
        <v>1</v>
      </c>
      <c r="G2669">
        <v>1.7999999999999999E-2</v>
      </c>
      <c r="H2669">
        <v>10.78</v>
      </c>
      <c r="I2669" t="s">
        <v>15</v>
      </c>
      <c r="J2669" t="s">
        <v>15</v>
      </c>
      <c r="K2669">
        <v>1.94</v>
      </c>
      <c r="L2669">
        <v>0</v>
      </c>
    </row>
    <row r="2670" spans="1:12" x14ac:dyDescent="0.3">
      <c r="A2670" t="s">
        <v>2686</v>
      </c>
      <c r="B2670" t="s">
        <v>17</v>
      </c>
      <c r="C2670">
        <v>7999</v>
      </c>
      <c r="D2670">
        <v>127.98</v>
      </c>
      <c r="E2670">
        <v>23.04</v>
      </c>
      <c r="F2670">
        <f>COUNTIFS(mdr_rate_cleaned!$A$2:$A$10,B2670,mdr_rate_cleaned!$B$2:$B$10,"&lt;"&amp;C2670,mdr_rate_cleaned!$F$2:$F$10,"&gt;="&amp;C2670)</f>
        <v>1</v>
      </c>
      <c r="G2670">
        <v>1.6E-2</v>
      </c>
      <c r="H2670">
        <v>127.98</v>
      </c>
      <c r="I2670" t="s">
        <v>15</v>
      </c>
      <c r="J2670" t="s">
        <v>15</v>
      </c>
      <c r="K2670">
        <v>23.04</v>
      </c>
      <c r="L2670">
        <v>0</v>
      </c>
    </row>
    <row r="2671" spans="1:12" x14ac:dyDescent="0.3">
      <c r="A2671" t="s">
        <v>2687</v>
      </c>
      <c r="B2671" t="s">
        <v>21</v>
      </c>
      <c r="C2671">
        <v>1499</v>
      </c>
      <c r="D2671">
        <v>0</v>
      </c>
      <c r="E2671">
        <v>0</v>
      </c>
      <c r="F2671">
        <f>COUNTIFS(mdr_rate_cleaned!$A$2:$A$10,B2671,mdr_rate_cleaned!$B$2:$B$10,"&lt;"&amp;C2671,mdr_rate_cleaned!$F$2:$F$10,"&gt;="&amp;C2671)</f>
        <v>1</v>
      </c>
      <c r="G2671">
        <v>0</v>
      </c>
      <c r="H2671">
        <v>0</v>
      </c>
      <c r="I2671" t="s">
        <v>15</v>
      </c>
      <c r="J2671" t="s">
        <v>15</v>
      </c>
      <c r="K2671">
        <v>0</v>
      </c>
      <c r="L2671">
        <v>0</v>
      </c>
    </row>
    <row r="2672" spans="1:12" x14ac:dyDescent="0.3">
      <c r="A2672" t="s">
        <v>2688</v>
      </c>
      <c r="B2672" t="s">
        <v>21</v>
      </c>
      <c r="C2672">
        <v>2999</v>
      </c>
      <c r="D2672">
        <v>9</v>
      </c>
      <c r="E2672">
        <v>1.62</v>
      </c>
      <c r="F2672">
        <f>COUNTIFS(mdr_rate_cleaned!$A$2:$A$10,B2672,mdr_rate_cleaned!$B$2:$B$10,"&lt;"&amp;C2672,mdr_rate_cleaned!$F$2:$F$10,"&gt;="&amp;C2672)</f>
        <v>1</v>
      </c>
      <c r="G2672">
        <v>3.0000000000000001E-3</v>
      </c>
      <c r="H2672">
        <v>9</v>
      </c>
      <c r="I2672" t="s">
        <v>15</v>
      </c>
      <c r="J2672" t="s">
        <v>15</v>
      </c>
      <c r="K2672">
        <v>1.62</v>
      </c>
      <c r="L2672">
        <v>0</v>
      </c>
    </row>
    <row r="2673" spans="1:12" x14ac:dyDescent="0.3">
      <c r="A2673" t="s">
        <v>2689</v>
      </c>
      <c r="B2673" t="s">
        <v>13</v>
      </c>
      <c r="C2673">
        <v>3798</v>
      </c>
      <c r="D2673">
        <v>64.569999999999993</v>
      </c>
      <c r="E2673">
        <v>11.62</v>
      </c>
      <c r="F2673">
        <f>COUNTIFS(mdr_rate_cleaned!$A$2:$A$10,B2673,mdr_rate_cleaned!$B$2:$B$10,"&lt;"&amp;C2673,mdr_rate_cleaned!$F$2:$F$10,"&gt;="&amp;C2673)</f>
        <v>1</v>
      </c>
      <c r="G2673">
        <v>1.7000000000000001E-2</v>
      </c>
      <c r="H2673">
        <v>64.569999999999993</v>
      </c>
      <c r="I2673" t="s">
        <v>15</v>
      </c>
      <c r="J2673" t="s">
        <v>15</v>
      </c>
      <c r="K2673">
        <v>11.62</v>
      </c>
      <c r="L2673">
        <v>0</v>
      </c>
    </row>
    <row r="2674" spans="1:12" x14ac:dyDescent="0.3">
      <c r="A2674" t="s">
        <v>2690</v>
      </c>
      <c r="B2674" t="s">
        <v>13</v>
      </c>
      <c r="C2674">
        <v>11097</v>
      </c>
      <c r="D2674">
        <v>188.65</v>
      </c>
      <c r="E2674">
        <v>33.96</v>
      </c>
      <c r="F2674">
        <f>COUNTIFS(mdr_rate_cleaned!$A$2:$A$10,B2674,mdr_rate_cleaned!$B$2:$B$10,"&lt;"&amp;C2674,mdr_rate_cleaned!$F$2:$F$10,"&gt;="&amp;C2674)</f>
        <v>1</v>
      </c>
      <c r="G2674">
        <v>1.7000000000000001E-2</v>
      </c>
      <c r="H2674">
        <v>188.65</v>
      </c>
      <c r="I2674" t="s">
        <v>15</v>
      </c>
      <c r="J2674" t="s">
        <v>15</v>
      </c>
      <c r="K2674">
        <v>33.96</v>
      </c>
      <c r="L2674">
        <v>0</v>
      </c>
    </row>
    <row r="2675" spans="1:12" x14ac:dyDescent="0.3">
      <c r="A2675" t="s">
        <v>2691</v>
      </c>
      <c r="B2675" t="s">
        <v>21</v>
      </c>
      <c r="C2675">
        <v>5598</v>
      </c>
      <c r="D2675">
        <v>16.79</v>
      </c>
      <c r="E2675">
        <v>3.02</v>
      </c>
      <c r="F2675">
        <f>COUNTIFS(mdr_rate_cleaned!$A$2:$A$10,B2675,mdr_rate_cleaned!$B$2:$B$10,"&lt;"&amp;C2675,mdr_rate_cleaned!$F$2:$F$10,"&gt;="&amp;C2675)</f>
        <v>1</v>
      </c>
      <c r="G2675">
        <v>3.0000000000000001E-3</v>
      </c>
      <c r="H2675">
        <v>16.79</v>
      </c>
      <c r="I2675" t="s">
        <v>15</v>
      </c>
      <c r="J2675" t="s">
        <v>15</v>
      </c>
      <c r="K2675">
        <v>3.02</v>
      </c>
      <c r="L2675">
        <v>0</v>
      </c>
    </row>
    <row r="2676" spans="1:12" x14ac:dyDescent="0.3">
      <c r="A2676" t="s">
        <v>2692</v>
      </c>
      <c r="B2676" t="s">
        <v>17</v>
      </c>
      <c r="C2676">
        <v>10498</v>
      </c>
      <c r="D2676">
        <v>167.97</v>
      </c>
      <c r="E2676">
        <v>30.23</v>
      </c>
      <c r="F2676">
        <f>COUNTIFS(mdr_rate_cleaned!$A$2:$A$10,B2676,mdr_rate_cleaned!$B$2:$B$10,"&lt;"&amp;C2676,mdr_rate_cleaned!$F$2:$F$10,"&gt;="&amp;C2676)</f>
        <v>1</v>
      </c>
      <c r="G2676">
        <v>1.6E-2</v>
      </c>
      <c r="H2676">
        <v>167.97</v>
      </c>
      <c r="I2676" t="s">
        <v>15</v>
      </c>
      <c r="J2676" t="s">
        <v>15</v>
      </c>
      <c r="K2676">
        <v>30.23</v>
      </c>
      <c r="L2676">
        <v>0</v>
      </c>
    </row>
    <row r="2677" spans="1:12" x14ac:dyDescent="0.3">
      <c r="A2677" t="s">
        <v>2693</v>
      </c>
      <c r="B2677" t="s">
        <v>21</v>
      </c>
      <c r="C2677">
        <v>349</v>
      </c>
      <c r="D2677">
        <v>0</v>
      </c>
      <c r="E2677">
        <v>0</v>
      </c>
      <c r="F2677">
        <f>COUNTIFS(mdr_rate_cleaned!$A$2:$A$10,B2677,mdr_rate_cleaned!$B$2:$B$10,"&lt;"&amp;C2677,mdr_rate_cleaned!$F$2:$F$10,"&gt;="&amp;C2677)</f>
        <v>1</v>
      </c>
      <c r="G2677">
        <v>0</v>
      </c>
      <c r="H2677">
        <v>0</v>
      </c>
      <c r="I2677" t="s">
        <v>15</v>
      </c>
      <c r="J2677" t="s">
        <v>15</v>
      </c>
      <c r="K2677">
        <v>0</v>
      </c>
      <c r="L2677">
        <v>0</v>
      </c>
    </row>
    <row r="2678" spans="1:12" x14ac:dyDescent="0.3">
      <c r="A2678" t="s">
        <v>2694</v>
      </c>
      <c r="B2678" t="s">
        <v>17</v>
      </c>
      <c r="C2678">
        <v>5097</v>
      </c>
      <c r="D2678">
        <v>81.55</v>
      </c>
      <c r="E2678">
        <v>14.68</v>
      </c>
      <c r="F2678">
        <f>COUNTIFS(mdr_rate_cleaned!$A$2:$A$10,B2678,mdr_rate_cleaned!$B$2:$B$10,"&lt;"&amp;C2678,mdr_rate_cleaned!$F$2:$F$10,"&gt;="&amp;C2678)</f>
        <v>1</v>
      </c>
      <c r="G2678">
        <v>1.6E-2</v>
      </c>
      <c r="H2678">
        <v>81.55</v>
      </c>
      <c r="I2678" t="s">
        <v>15</v>
      </c>
      <c r="J2678" t="s">
        <v>15</v>
      </c>
      <c r="K2678">
        <v>14.68</v>
      </c>
      <c r="L2678">
        <v>0</v>
      </c>
    </row>
    <row r="2679" spans="1:12" x14ac:dyDescent="0.3">
      <c r="A2679" t="s">
        <v>2695</v>
      </c>
      <c r="B2679" t="s">
        <v>21</v>
      </c>
      <c r="C2679">
        <v>299</v>
      </c>
      <c r="D2679">
        <v>0</v>
      </c>
      <c r="E2679">
        <v>0</v>
      </c>
      <c r="F2679">
        <f>COUNTIFS(mdr_rate_cleaned!$A$2:$A$10,B2679,mdr_rate_cleaned!$B$2:$B$10,"&lt;"&amp;C2679,mdr_rate_cleaned!$F$2:$F$10,"&gt;="&amp;C2679)</f>
        <v>1</v>
      </c>
      <c r="G2679">
        <v>0</v>
      </c>
      <c r="H2679">
        <v>0</v>
      </c>
      <c r="I2679" t="s">
        <v>15</v>
      </c>
      <c r="J2679" t="s">
        <v>15</v>
      </c>
      <c r="K2679">
        <v>0</v>
      </c>
      <c r="L2679">
        <v>0</v>
      </c>
    </row>
    <row r="2680" spans="1:12" x14ac:dyDescent="0.3">
      <c r="A2680" t="s">
        <v>2696</v>
      </c>
      <c r="B2680" t="s">
        <v>17</v>
      </c>
      <c r="C2680">
        <v>499</v>
      </c>
      <c r="D2680">
        <v>8.98</v>
      </c>
      <c r="E2680">
        <v>1.62</v>
      </c>
      <c r="F2680">
        <f>COUNTIFS(mdr_rate_cleaned!$A$2:$A$10,B2680,mdr_rate_cleaned!$B$2:$B$10,"&lt;"&amp;C2680,mdr_rate_cleaned!$F$2:$F$10,"&gt;="&amp;C2680)</f>
        <v>1</v>
      </c>
      <c r="G2680">
        <v>1.7999999999999999E-2</v>
      </c>
      <c r="H2680">
        <v>8.98</v>
      </c>
      <c r="I2680" t="s">
        <v>15</v>
      </c>
      <c r="J2680" t="s">
        <v>15</v>
      </c>
      <c r="K2680">
        <v>1.62</v>
      </c>
      <c r="L2680">
        <v>0</v>
      </c>
    </row>
    <row r="2681" spans="1:12" x14ac:dyDescent="0.3">
      <c r="A2681" t="s">
        <v>2697</v>
      </c>
      <c r="B2681" t="s">
        <v>21</v>
      </c>
      <c r="C2681">
        <v>4597</v>
      </c>
      <c r="D2681">
        <v>13.79</v>
      </c>
      <c r="E2681">
        <v>2.48</v>
      </c>
      <c r="F2681">
        <f>COUNTIFS(mdr_rate_cleaned!$A$2:$A$10,B2681,mdr_rate_cleaned!$B$2:$B$10,"&lt;"&amp;C2681,mdr_rate_cleaned!$F$2:$F$10,"&gt;="&amp;C2681)</f>
        <v>1</v>
      </c>
      <c r="G2681">
        <v>3.0000000000000001E-3</v>
      </c>
      <c r="H2681">
        <v>13.79</v>
      </c>
      <c r="I2681" t="s">
        <v>15</v>
      </c>
      <c r="J2681" t="s">
        <v>15</v>
      </c>
      <c r="K2681">
        <v>2.48</v>
      </c>
      <c r="L2681">
        <v>0</v>
      </c>
    </row>
    <row r="2682" spans="1:12" x14ac:dyDescent="0.3">
      <c r="A2682" t="s">
        <v>2698</v>
      </c>
      <c r="B2682" t="s">
        <v>13</v>
      </c>
      <c r="C2682">
        <v>7999</v>
      </c>
      <c r="D2682">
        <v>135.97999999999999</v>
      </c>
      <c r="E2682">
        <v>24.48</v>
      </c>
      <c r="F2682">
        <f>COUNTIFS(mdr_rate_cleaned!$A$2:$A$10,B2682,mdr_rate_cleaned!$B$2:$B$10,"&lt;"&amp;C2682,mdr_rate_cleaned!$F$2:$F$10,"&gt;="&amp;C2682)</f>
        <v>1</v>
      </c>
      <c r="G2682">
        <v>1.7000000000000001E-2</v>
      </c>
      <c r="H2682">
        <v>135.97999999999999</v>
      </c>
      <c r="I2682" t="s">
        <v>15</v>
      </c>
      <c r="J2682" t="s">
        <v>15</v>
      </c>
      <c r="K2682">
        <v>24.48</v>
      </c>
      <c r="L2682">
        <v>0</v>
      </c>
    </row>
    <row r="2683" spans="1:12" x14ac:dyDescent="0.3">
      <c r="A2683" t="s">
        <v>2699</v>
      </c>
      <c r="B2683" t="s">
        <v>17</v>
      </c>
      <c r="C2683">
        <v>9298</v>
      </c>
      <c r="D2683">
        <v>148.77000000000001</v>
      </c>
      <c r="E2683">
        <v>26.78</v>
      </c>
      <c r="F2683">
        <f>COUNTIFS(mdr_rate_cleaned!$A$2:$A$10,B2683,mdr_rate_cleaned!$B$2:$B$10,"&lt;"&amp;C2683,mdr_rate_cleaned!$F$2:$F$10,"&gt;="&amp;C2683)</f>
        <v>1</v>
      </c>
      <c r="G2683">
        <v>1.6E-2</v>
      </c>
      <c r="H2683">
        <v>148.77000000000001</v>
      </c>
      <c r="I2683" t="s">
        <v>15</v>
      </c>
      <c r="J2683" t="s">
        <v>15</v>
      </c>
      <c r="K2683">
        <v>26.78</v>
      </c>
      <c r="L2683">
        <v>0</v>
      </c>
    </row>
    <row r="2684" spans="1:12" x14ac:dyDescent="0.3">
      <c r="A2684" t="s">
        <v>2700</v>
      </c>
      <c r="B2684" t="s">
        <v>13</v>
      </c>
      <c r="C2684">
        <v>3498</v>
      </c>
      <c r="D2684">
        <v>59.47</v>
      </c>
      <c r="E2684">
        <v>10.7</v>
      </c>
      <c r="F2684">
        <f>COUNTIFS(mdr_rate_cleaned!$A$2:$A$10,B2684,mdr_rate_cleaned!$B$2:$B$10,"&lt;"&amp;C2684,mdr_rate_cleaned!$F$2:$F$10,"&gt;="&amp;C2684)</f>
        <v>1</v>
      </c>
      <c r="G2684">
        <v>1.7000000000000001E-2</v>
      </c>
      <c r="H2684">
        <v>59.47</v>
      </c>
      <c r="I2684" t="s">
        <v>15</v>
      </c>
      <c r="J2684" t="s">
        <v>15</v>
      </c>
      <c r="K2684">
        <v>10.7</v>
      </c>
      <c r="L2684">
        <v>0</v>
      </c>
    </row>
    <row r="2685" spans="1:12" x14ac:dyDescent="0.3">
      <c r="A2685" t="s">
        <v>2701</v>
      </c>
      <c r="B2685" t="s">
        <v>21</v>
      </c>
      <c r="C2685">
        <v>999</v>
      </c>
      <c r="D2685">
        <v>0</v>
      </c>
      <c r="E2685">
        <v>0</v>
      </c>
      <c r="F2685">
        <f>COUNTIFS(mdr_rate_cleaned!$A$2:$A$10,B2685,mdr_rate_cleaned!$B$2:$B$10,"&lt;"&amp;C2685,mdr_rate_cleaned!$F$2:$F$10,"&gt;="&amp;C2685)</f>
        <v>1</v>
      </c>
      <c r="G2685">
        <v>0</v>
      </c>
      <c r="H2685">
        <v>0</v>
      </c>
      <c r="I2685" t="s">
        <v>15</v>
      </c>
      <c r="J2685" t="s">
        <v>15</v>
      </c>
      <c r="K2685">
        <v>0</v>
      </c>
      <c r="L2685">
        <v>0</v>
      </c>
    </row>
    <row r="2686" spans="1:12" x14ac:dyDescent="0.3">
      <c r="A2686" t="s">
        <v>2702</v>
      </c>
      <c r="B2686" t="s">
        <v>17</v>
      </c>
      <c r="C2686">
        <v>2098</v>
      </c>
      <c r="D2686">
        <v>33.57</v>
      </c>
      <c r="E2686">
        <v>6.04</v>
      </c>
      <c r="F2686">
        <f>COUNTIFS(mdr_rate_cleaned!$A$2:$A$10,B2686,mdr_rate_cleaned!$B$2:$B$10,"&lt;"&amp;C2686,mdr_rate_cleaned!$F$2:$F$10,"&gt;="&amp;C2686)</f>
        <v>1</v>
      </c>
      <c r="G2686">
        <v>1.6E-2</v>
      </c>
      <c r="H2686">
        <v>33.57</v>
      </c>
      <c r="I2686" t="s">
        <v>15</v>
      </c>
      <c r="J2686" t="s">
        <v>15</v>
      </c>
      <c r="K2686">
        <v>6.04</v>
      </c>
      <c r="L2686">
        <v>0</v>
      </c>
    </row>
    <row r="2687" spans="1:12" x14ac:dyDescent="0.3">
      <c r="A2687" t="s">
        <v>2703</v>
      </c>
      <c r="B2687" t="s">
        <v>21</v>
      </c>
      <c r="C2687">
        <v>799</v>
      </c>
      <c r="D2687">
        <v>0</v>
      </c>
      <c r="E2687">
        <v>0</v>
      </c>
      <c r="F2687">
        <f>COUNTIFS(mdr_rate_cleaned!$A$2:$A$10,B2687,mdr_rate_cleaned!$B$2:$B$10,"&lt;"&amp;C2687,mdr_rate_cleaned!$F$2:$F$10,"&gt;="&amp;C2687)</f>
        <v>1</v>
      </c>
      <c r="G2687">
        <v>0</v>
      </c>
      <c r="H2687">
        <v>0</v>
      </c>
      <c r="I2687" t="s">
        <v>15</v>
      </c>
      <c r="J2687" t="s">
        <v>15</v>
      </c>
      <c r="K2687">
        <v>0</v>
      </c>
      <c r="L2687">
        <v>0</v>
      </c>
    </row>
    <row r="2688" spans="1:12" x14ac:dyDescent="0.3">
      <c r="A2688" t="s">
        <v>2704</v>
      </c>
      <c r="B2688" t="s">
        <v>21</v>
      </c>
      <c r="C2688">
        <v>3499</v>
      </c>
      <c r="D2688">
        <v>10.5</v>
      </c>
      <c r="E2688">
        <v>1.89</v>
      </c>
      <c r="F2688">
        <f>COUNTIFS(mdr_rate_cleaned!$A$2:$A$10,B2688,mdr_rate_cleaned!$B$2:$B$10,"&lt;"&amp;C2688,mdr_rate_cleaned!$F$2:$F$10,"&gt;="&amp;C2688)</f>
        <v>1</v>
      </c>
      <c r="G2688">
        <v>3.0000000000000001E-3</v>
      </c>
      <c r="H2688">
        <v>10.5</v>
      </c>
      <c r="I2688" t="s">
        <v>15</v>
      </c>
      <c r="J2688" t="s">
        <v>15</v>
      </c>
      <c r="K2688">
        <v>1.89</v>
      </c>
      <c r="L2688">
        <v>0</v>
      </c>
    </row>
    <row r="2689" spans="1:12" x14ac:dyDescent="0.3">
      <c r="A2689" t="s">
        <v>2705</v>
      </c>
      <c r="B2689" t="s">
        <v>21</v>
      </c>
      <c r="C2689">
        <v>799</v>
      </c>
      <c r="D2689">
        <v>0</v>
      </c>
      <c r="E2689">
        <v>0</v>
      </c>
      <c r="F2689">
        <f>COUNTIFS(mdr_rate_cleaned!$A$2:$A$10,B2689,mdr_rate_cleaned!$B$2:$B$10,"&lt;"&amp;C2689,mdr_rate_cleaned!$F$2:$F$10,"&gt;="&amp;C2689)</f>
        <v>1</v>
      </c>
      <c r="G2689">
        <v>0</v>
      </c>
      <c r="H2689">
        <v>0</v>
      </c>
      <c r="I2689" t="s">
        <v>15</v>
      </c>
      <c r="J2689" t="s">
        <v>15</v>
      </c>
      <c r="K2689">
        <v>0</v>
      </c>
      <c r="L2689">
        <v>0</v>
      </c>
    </row>
    <row r="2690" spans="1:12" x14ac:dyDescent="0.3">
      <c r="A2690" t="s">
        <v>2706</v>
      </c>
      <c r="B2690" t="s">
        <v>17</v>
      </c>
      <c r="C2690">
        <v>1147</v>
      </c>
      <c r="D2690">
        <v>20.65</v>
      </c>
      <c r="E2690">
        <v>3.72</v>
      </c>
      <c r="F2690">
        <f>COUNTIFS(mdr_rate_cleaned!$A$2:$A$10,B2690,mdr_rate_cleaned!$B$2:$B$10,"&lt;"&amp;C2690,mdr_rate_cleaned!$F$2:$F$10,"&gt;="&amp;C2690)</f>
        <v>1</v>
      </c>
      <c r="G2690">
        <v>1.7999999999999999E-2</v>
      </c>
      <c r="H2690">
        <v>20.65</v>
      </c>
      <c r="I2690" t="s">
        <v>15</v>
      </c>
      <c r="J2690" t="s">
        <v>15</v>
      </c>
      <c r="K2690">
        <v>3.72</v>
      </c>
      <c r="L2690">
        <v>0</v>
      </c>
    </row>
    <row r="2691" spans="1:12" x14ac:dyDescent="0.3">
      <c r="A2691" t="s">
        <v>2707</v>
      </c>
      <c r="B2691" t="s">
        <v>21</v>
      </c>
      <c r="C2691">
        <v>8797</v>
      </c>
      <c r="D2691">
        <v>26.39</v>
      </c>
      <c r="E2691">
        <v>4.75</v>
      </c>
      <c r="F2691">
        <f>COUNTIFS(mdr_rate_cleaned!$A$2:$A$10,B2691,mdr_rate_cleaned!$B$2:$B$10,"&lt;"&amp;C2691,mdr_rate_cleaned!$F$2:$F$10,"&gt;="&amp;C2691)</f>
        <v>1</v>
      </c>
      <c r="G2691">
        <v>3.0000000000000001E-3</v>
      </c>
      <c r="H2691">
        <v>26.39</v>
      </c>
      <c r="I2691" t="s">
        <v>15</v>
      </c>
      <c r="J2691" t="s">
        <v>15</v>
      </c>
      <c r="K2691">
        <v>4.75</v>
      </c>
      <c r="L2691">
        <v>0</v>
      </c>
    </row>
    <row r="2692" spans="1:12" x14ac:dyDescent="0.3">
      <c r="A2692" t="s">
        <v>2708</v>
      </c>
      <c r="B2692" t="s">
        <v>21</v>
      </c>
      <c r="C2692">
        <v>1598</v>
      </c>
      <c r="D2692">
        <v>0</v>
      </c>
      <c r="E2692">
        <v>0</v>
      </c>
      <c r="F2692">
        <f>COUNTIFS(mdr_rate_cleaned!$A$2:$A$10,B2692,mdr_rate_cleaned!$B$2:$B$10,"&lt;"&amp;C2692,mdr_rate_cleaned!$F$2:$F$10,"&gt;="&amp;C2692)</f>
        <v>1</v>
      </c>
      <c r="G2692">
        <v>0</v>
      </c>
      <c r="H2692">
        <v>0</v>
      </c>
      <c r="I2692" t="s">
        <v>15</v>
      </c>
      <c r="J2692" t="s">
        <v>15</v>
      </c>
      <c r="K2692">
        <v>0</v>
      </c>
      <c r="L2692">
        <v>0</v>
      </c>
    </row>
    <row r="2693" spans="1:12" x14ac:dyDescent="0.3">
      <c r="A2693" t="s">
        <v>2709</v>
      </c>
      <c r="B2693" t="s">
        <v>21</v>
      </c>
      <c r="C2693">
        <v>1499</v>
      </c>
      <c r="D2693">
        <v>0</v>
      </c>
      <c r="E2693">
        <v>0</v>
      </c>
      <c r="F2693">
        <f>COUNTIFS(mdr_rate_cleaned!$A$2:$A$10,B2693,mdr_rate_cleaned!$B$2:$B$10,"&lt;"&amp;C2693,mdr_rate_cleaned!$F$2:$F$10,"&gt;="&amp;C2693)</f>
        <v>1</v>
      </c>
      <c r="G2693">
        <v>0</v>
      </c>
      <c r="H2693">
        <v>0</v>
      </c>
      <c r="I2693" t="s">
        <v>15</v>
      </c>
      <c r="J2693" t="s">
        <v>15</v>
      </c>
      <c r="K2693">
        <v>0</v>
      </c>
      <c r="L2693">
        <v>0</v>
      </c>
    </row>
    <row r="2694" spans="1:12" x14ac:dyDescent="0.3">
      <c r="A2694" t="s">
        <v>2710</v>
      </c>
      <c r="B2694" t="s">
        <v>21</v>
      </c>
      <c r="C2694">
        <v>4999</v>
      </c>
      <c r="D2694">
        <v>15</v>
      </c>
      <c r="E2694">
        <v>2.7</v>
      </c>
      <c r="F2694">
        <f>COUNTIFS(mdr_rate_cleaned!$A$2:$A$10,B2694,mdr_rate_cleaned!$B$2:$B$10,"&lt;"&amp;C2694,mdr_rate_cleaned!$F$2:$F$10,"&gt;="&amp;C2694)</f>
        <v>1</v>
      </c>
      <c r="G2694">
        <v>3.0000000000000001E-3</v>
      </c>
      <c r="H2694">
        <v>15</v>
      </c>
      <c r="I2694" t="s">
        <v>15</v>
      </c>
      <c r="J2694" t="s">
        <v>15</v>
      </c>
      <c r="K2694">
        <v>2.7</v>
      </c>
      <c r="L2694">
        <v>0</v>
      </c>
    </row>
    <row r="2695" spans="1:12" x14ac:dyDescent="0.3">
      <c r="A2695" t="s">
        <v>2711</v>
      </c>
      <c r="B2695" t="s">
        <v>21</v>
      </c>
      <c r="C2695">
        <v>2398</v>
      </c>
      <c r="D2695">
        <v>7.19</v>
      </c>
      <c r="E2695">
        <v>1.29</v>
      </c>
      <c r="F2695">
        <f>COUNTIFS(mdr_rate_cleaned!$A$2:$A$10,B2695,mdr_rate_cleaned!$B$2:$B$10,"&lt;"&amp;C2695,mdr_rate_cleaned!$F$2:$F$10,"&gt;="&amp;C2695)</f>
        <v>1</v>
      </c>
      <c r="G2695">
        <v>3.0000000000000001E-3</v>
      </c>
      <c r="H2695">
        <v>7.19</v>
      </c>
      <c r="I2695" t="s">
        <v>15</v>
      </c>
      <c r="J2695" t="s">
        <v>15</v>
      </c>
      <c r="K2695">
        <v>1.29</v>
      </c>
      <c r="L2695">
        <v>0</v>
      </c>
    </row>
    <row r="2696" spans="1:12" x14ac:dyDescent="0.3">
      <c r="A2696" t="s">
        <v>2712</v>
      </c>
      <c r="B2696" t="s">
        <v>21</v>
      </c>
      <c r="C2696">
        <v>3499</v>
      </c>
      <c r="D2696">
        <v>10.5</v>
      </c>
      <c r="E2696">
        <v>1.89</v>
      </c>
      <c r="F2696">
        <f>COUNTIFS(mdr_rate_cleaned!$A$2:$A$10,B2696,mdr_rate_cleaned!$B$2:$B$10,"&lt;"&amp;C2696,mdr_rate_cleaned!$F$2:$F$10,"&gt;="&amp;C2696)</f>
        <v>1</v>
      </c>
      <c r="G2696">
        <v>3.0000000000000001E-3</v>
      </c>
      <c r="H2696">
        <v>10.5</v>
      </c>
      <c r="I2696" t="s">
        <v>15</v>
      </c>
      <c r="J2696" t="s">
        <v>15</v>
      </c>
      <c r="K2696">
        <v>1.89</v>
      </c>
      <c r="L2696">
        <v>0</v>
      </c>
    </row>
    <row r="2697" spans="1:12" x14ac:dyDescent="0.3">
      <c r="A2697" t="s">
        <v>2713</v>
      </c>
      <c r="B2697" t="s">
        <v>17</v>
      </c>
      <c r="C2697">
        <v>10497</v>
      </c>
      <c r="D2697">
        <v>167.95</v>
      </c>
      <c r="E2697">
        <v>30.23</v>
      </c>
      <c r="F2697">
        <f>COUNTIFS(mdr_rate_cleaned!$A$2:$A$10,B2697,mdr_rate_cleaned!$B$2:$B$10,"&lt;"&amp;C2697,mdr_rate_cleaned!$F$2:$F$10,"&gt;="&amp;C2697)</f>
        <v>1</v>
      </c>
      <c r="G2697">
        <v>1.6E-2</v>
      </c>
      <c r="H2697">
        <v>167.95</v>
      </c>
      <c r="I2697" t="s">
        <v>15</v>
      </c>
      <c r="J2697" t="s">
        <v>15</v>
      </c>
      <c r="K2697">
        <v>30.23</v>
      </c>
      <c r="L2697">
        <v>0</v>
      </c>
    </row>
    <row r="2698" spans="1:12" x14ac:dyDescent="0.3">
      <c r="A2698" t="s">
        <v>2714</v>
      </c>
      <c r="B2698" t="s">
        <v>21</v>
      </c>
      <c r="C2698">
        <v>3499</v>
      </c>
      <c r="D2698">
        <v>10.5</v>
      </c>
      <c r="E2698">
        <v>1.89</v>
      </c>
      <c r="F2698">
        <f>COUNTIFS(mdr_rate_cleaned!$A$2:$A$10,B2698,mdr_rate_cleaned!$B$2:$B$10,"&lt;"&amp;C2698,mdr_rate_cleaned!$F$2:$F$10,"&gt;="&amp;C2698)</f>
        <v>1</v>
      </c>
      <c r="G2698">
        <v>3.0000000000000001E-3</v>
      </c>
      <c r="H2698">
        <v>10.5</v>
      </c>
      <c r="I2698" t="s">
        <v>15</v>
      </c>
      <c r="J2698" t="s">
        <v>15</v>
      </c>
      <c r="K2698">
        <v>1.89</v>
      </c>
      <c r="L2698">
        <v>0</v>
      </c>
    </row>
    <row r="2699" spans="1:12" x14ac:dyDescent="0.3">
      <c r="A2699" t="s">
        <v>2715</v>
      </c>
      <c r="B2699" t="s">
        <v>17</v>
      </c>
      <c r="C2699">
        <v>1299</v>
      </c>
      <c r="D2699">
        <v>23.38</v>
      </c>
      <c r="E2699">
        <v>4.21</v>
      </c>
      <c r="F2699">
        <f>COUNTIFS(mdr_rate_cleaned!$A$2:$A$10,B2699,mdr_rate_cleaned!$B$2:$B$10,"&lt;"&amp;C2699,mdr_rate_cleaned!$F$2:$F$10,"&gt;="&amp;C2699)</f>
        <v>1</v>
      </c>
      <c r="G2699">
        <v>1.7999999999999999E-2</v>
      </c>
      <c r="H2699">
        <v>23.38</v>
      </c>
      <c r="I2699" t="s">
        <v>15</v>
      </c>
      <c r="J2699" t="s">
        <v>15</v>
      </c>
      <c r="K2699">
        <v>4.21</v>
      </c>
      <c r="L2699">
        <v>0</v>
      </c>
    </row>
    <row r="2700" spans="1:12" x14ac:dyDescent="0.3">
      <c r="A2700" t="s">
        <v>2716</v>
      </c>
      <c r="B2700" t="s">
        <v>21</v>
      </c>
      <c r="C2700">
        <v>799</v>
      </c>
      <c r="D2700">
        <v>2.4</v>
      </c>
      <c r="E2700">
        <v>0.43</v>
      </c>
      <c r="F2700">
        <f>COUNTIFS(mdr_rate_cleaned!$A$2:$A$10,B2700,mdr_rate_cleaned!$B$2:$B$10,"&lt;"&amp;C2700,mdr_rate_cleaned!$F$2:$F$10,"&gt;="&amp;C2700)</f>
        <v>1</v>
      </c>
      <c r="G2700">
        <v>0</v>
      </c>
      <c r="H2700">
        <v>0</v>
      </c>
      <c r="I2700" t="s">
        <v>14</v>
      </c>
      <c r="J2700" t="s">
        <v>15</v>
      </c>
      <c r="K2700">
        <v>0</v>
      </c>
      <c r="L2700">
        <v>2.83</v>
      </c>
    </row>
    <row r="2701" spans="1:12" x14ac:dyDescent="0.3">
      <c r="A2701" t="s">
        <v>2717</v>
      </c>
      <c r="B2701" t="s">
        <v>39</v>
      </c>
      <c r="C2701">
        <v>499</v>
      </c>
      <c r="D2701">
        <v>7.49</v>
      </c>
      <c r="E2701">
        <v>1.35</v>
      </c>
      <c r="F2701">
        <f>COUNTIFS(mdr_rate_cleaned!$A$2:$A$10,B2701,mdr_rate_cleaned!$B$2:$B$10,"&lt;"&amp;C2701,mdr_rate_cleaned!$F$2:$F$10,"&gt;="&amp;C2701)</f>
        <v>1</v>
      </c>
      <c r="G2701">
        <v>1.4999999999999999E-2</v>
      </c>
      <c r="H2701">
        <v>7.49</v>
      </c>
      <c r="I2701" t="s">
        <v>15</v>
      </c>
      <c r="J2701" t="s">
        <v>15</v>
      </c>
      <c r="K2701">
        <v>1.35</v>
      </c>
      <c r="L2701">
        <v>0</v>
      </c>
    </row>
    <row r="2702" spans="1:12" x14ac:dyDescent="0.3">
      <c r="A2702" t="s">
        <v>2718</v>
      </c>
      <c r="B2702" t="s">
        <v>21</v>
      </c>
      <c r="C2702">
        <v>6998</v>
      </c>
      <c r="D2702">
        <v>20.99</v>
      </c>
      <c r="E2702">
        <v>3.78</v>
      </c>
      <c r="F2702">
        <f>COUNTIFS(mdr_rate_cleaned!$A$2:$A$10,B2702,mdr_rate_cleaned!$B$2:$B$10,"&lt;"&amp;C2702,mdr_rate_cleaned!$F$2:$F$10,"&gt;="&amp;C2702)</f>
        <v>1</v>
      </c>
      <c r="G2702">
        <v>3.0000000000000001E-3</v>
      </c>
      <c r="H2702">
        <v>20.99</v>
      </c>
      <c r="I2702" t="s">
        <v>15</v>
      </c>
      <c r="J2702" t="s">
        <v>15</v>
      </c>
      <c r="K2702">
        <v>3.78</v>
      </c>
      <c r="L2702">
        <v>0</v>
      </c>
    </row>
    <row r="2703" spans="1:12" x14ac:dyDescent="0.3">
      <c r="A2703" t="s">
        <v>2719</v>
      </c>
      <c r="B2703" t="s">
        <v>21</v>
      </c>
      <c r="C2703">
        <v>999</v>
      </c>
      <c r="D2703">
        <v>0</v>
      </c>
      <c r="E2703">
        <v>0</v>
      </c>
      <c r="F2703">
        <f>COUNTIFS(mdr_rate_cleaned!$A$2:$A$10,B2703,mdr_rate_cleaned!$B$2:$B$10,"&lt;"&amp;C2703,mdr_rate_cleaned!$F$2:$F$10,"&gt;="&amp;C2703)</f>
        <v>1</v>
      </c>
      <c r="G2703">
        <v>0</v>
      </c>
      <c r="H2703">
        <v>0</v>
      </c>
      <c r="I2703" t="s">
        <v>15</v>
      </c>
      <c r="J2703" t="s">
        <v>15</v>
      </c>
      <c r="K2703">
        <v>0</v>
      </c>
      <c r="L2703">
        <v>0</v>
      </c>
    </row>
    <row r="2704" spans="1:12" x14ac:dyDescent="0.3">
      <c r="A2704" t="s">
        <v>2720</v>
      </c>
      <c r="B2704" t="s">
        <v>21</v>
      </c>
      <c r="C2704">
        <v>499</v>
      </c>
      <c r="D2704">
        <v>0</v>
      </c>
      <c r="E2704">
        <v>0</v>
      </c>
      <c r="F2704">
        <f>COUNTIFS(mdr_rate_cleaned!$A$2:$A$10,B2704,mdr_rate_cleaned!$B$2:$B$10,"&lt;"&amp;C2704,mdr_rate_cleaned!$F$2:$F$10,"&gt;="&amp;C2704)</f>
        <v>1</v>
      </c>
      <c r="G2704">
        <v>0</v>
      </c>
      <c r="H2704">
        <v>0</v>
      </c>
      <c r="I2704" t="s">
        <v>15</v>
      </c>
      <c r="J2704" t="s">
        <v>15</v>
      </c>
      <c r="K2704">
        <v>0</v>
      </c>
      <c r="L2704">
        <v>0</v>
      </c>
    </row>
    <row r="2705" spans="1:12" x14ac:dyDescent="0.3">
      <c r="A2705" t="s">
        <v>2721</v>
      </c>
      <c r="B2705" t="s">
        <v>21</v>
      </c>
      <c r="C2705">
        <v>2499</v>
      </c>
      <c r="D2705">
        <v>7.5</v>
      </c>
      <c r="E2705">
        <v>1.35</v>
      </c>
      <c r="F2705">
        <f>COUNTIFS(mdr_rate_cleaned!$A$2:$A$10,B2705,mdr_rate_cleaned!$B$2:$B$10,"&lt;"&amp;C2705,mdr_rate_cleaned!$F$2:$F$10,"&gt;="&amp;C2705)</f>
        <v>1</v>
      </c>
      <c r="G2705">
        <v>3.0000000000000001E-3</v>
      </c>
      <c r="H2705">
        <v>7.5</v>
      </c>
      <c r="I2705" t="s">
        <v>15</v>
      </c>
      <c r="J2705" t="s">
        <v>15</v>
      </c>
      <c r="K2705">
        <v>1.35</v>
      </c>
      <c r="L2705">
        <v>0</v>
      </c>
    </row>
    <row r="2706" spans="1:12" x14ac:dyDescent="0.3">
      <c r="A2706" t="s">
        <v>2722</v>
      </c>
      <c r="B2706" t="s">
        <v>21</v>
      </c>
      <c r="C2706">
        <v>349</v>
      </c>
      <c r="D2706">
        <v>0</v>
      </c>
      <c r="E2706">
        <v>0</v>
      </c>
      <c r="F2706">
        <f>COUNTIFS(mdr_rate_cleaned!$A$2:$A$10,B2706,mdr_rate_cleaned!$B$2:$B$10,"&lt;"&amp;C2706,mdr_rate_cleaned!$F$2:$F$10,"&gt;="&amp;C2706)</f>
        <v>1</v>
      </c>
      <c r="G2706">
        <v>0</v>
      </c>
      <c r="H2706">
        <v>0</v>
      </c>
      <c r="I2706" t="s">
        <v>15</v>
      </c>
      <c r="J2706" t="s">
        <v>15</v>
      </c>
      <c r="K2706">
        <v>0</v>
      </c>
      <c r="L2706">
        <v>0</v>
      </c>
    </row>
    <row r="2707" spans="1:12" x14ac:dyDescent="0.3">
      <c r="A2707" t="s">
        <v>2723</v>
      </c>
      <c r="B2707" t="s">
        <v>17</v>
      </c>
      <c r="C2707">
        <v>598</v>
      </c>
      <c r="D2707">
        <v>10.76</v>
      </c>
      <c r="E2707">
        <v>1.94</v>
      </c>
      <c r="F2707">
        <f>COUNTIFS(mdr_rate_cleaned!$A$2:$A$10,B2707,mdr_rate_cleaned!$B$2:$B$10,"&lt;"&amp;C2707,mdr_rate_cleaned!$F$2:$F$10,"&gt;="&amp;C2707)</f>
        <v>1</v>
      </c>
      <c r="G2707">
        <v>1.7999999999999999E-2</v>
      </c>
      <c r="H2707">
        <v>10.76</v>
      </c>
      <c r="I2707" t="s">
        <v>15</v>
      </c>
      <c r="J2707" t="s">
        <v>15</v>
      </c>
      <c r="K2707">
        <v>1.94</v>
      </c>
      <c r="L2707">
        <v>0</v>
      </c>
    </row>
    <row r="2708" spans="1:12" x14ac:dyDescent="0.3">
      <c r="A2708" t="s">
        <v>2724</v>
      </c>
      <c r="B2708" t="s">
        <v>39</v>
      </c>
      <c r="C2708">
        <v>299</v>
      </c>
      <c r="D2708">
        <v>4.49</v>
      </c>
      <c r="E2708">
        <v>0.81</v>
      </c>
      <c r="F2708">
        <f>COUNTIFS(mdr_rate_cleaned!$A$2:$A$10,B2708,mdr_rate_cleaned!$B$2:$B$10,"&lt;"&amp;C2708,mdr_rate_cleaned!$F$2:$F$10,"&gt;="&amp;C2708)</f>
        <v>1</v>
      </c>
      <c r="G2708">
        <v>1.4999999999999999E-2</v>
      </c>
      <c r="H2708">
        <v>4.49</v>
      </c>
      <c r="I2708" t="s">
        <v>15</v>
      </c>
      <c r="J2708" t="s">
        <v>15</v>
      </c>
      <c r="K2708">
        <v>0.81</v>
      </c>
      <c r="L2708">
        <v>0</v>
      </c>
    </row>
    <row r="2709" spans="1:12" x14ac:dyDescent="0.3">
      <c r="A2709" t="s">
        <v>2725</v>
      </c>
      <c r="B2709" t="s">
        <v>21</v>
      </c>
      <c r="C2709">
        <v>299</v>
      </c>
      <c r="D2709">
        <v>0</v>
      </c>
      <c r="E2709">
        <v>0</v>
      </c>
      <c r="F2709">
        <f>COUNTIFS(mdr_rate_cleaned!$A$2:$A$10,B2709,mdr_rate_cleaned!$B$2:$B$10,"&lt;"&amp;C2709,mdr_rate_cleaned!$F$2:$F$10,"&gt;="&amp;C2709)</f>
        <v>1</v>
      </c>
      <c r="G2709">
        <v>0</v>
      </c>
      <c r="H2709">
        <v>0</v>
      </c>
      <c r="I2709" t="s">
        <v>15</v>
      </c>
      <c r="J2709" t="s">
        <v>15</v>
      </c>
      <c r="K2709">
        <v>0</v>
      </c>
      <c r="L2709">
        <v>0</v>
      </c>
    </row>
    <row r="2710" spans="1:12" x14ac:dyDescent="0.3">
      <c r="A2710" t="s">
        <v>2726</v>
      </c>
      <c r="B2710" t="s">
        <v>21</v>
      </c>
      <c r="C2710">
        <v>1299</v>
      </c>
      <c r="D2710">
        <v>0</v>
      </c>
      <c r="E2710">
        <v>0</v>
      </c>
      <c r="F2710">
        <f>COUNTIFS(mdr_rate_cleaned!$A$2:$A$10,B2710,mdr_rate_cleaned!$B$2:$B$10,"&lt;"&amp;C2710,mdr_rate_cleaned!$F$2:$F$10,"&gt;="&amp;C2710)</f>
        <v>1</v>
      </c>
      <c r="G2710">
        <v>0</v>
      </c>
      <c r="H2710">
        <v>0</v>
      </c>
      <c r="I2710" t="s">
        <v>15</v>
      </c>
      <c r="J2710" t="s">
        <v>15</v>
      </c>
      <c r="K2710">
        <v>0</v>
      </c>
      <c r="L2710">
        <v>0</v>
      </c>
    </row>
    <row r="2711" spans="1:12" x14ac:dyDescent="0.3">
      <c r="A2711" t="s">
        <v>2727</v>
      </c>
      <c r="B2711" t="s">
        <v>21</v>
      </c>
      <c r="C2711">
        <v>599</v>
      </c>
      <c r="D2711">
        <v>0</v>
      </c>
      <c r="E2711">
        <v>0</v>
      </c>
      <c r="F2711">
        <f>COUNTIFS(mdr_rate_cleaned!$A$2:$A$10,B2711,mdr_rate_cleaned!$B$2:$B$10,"&lt;"&amp;C2711,mdr_rate_cleaned!$F$2:$F$10,"&gt;="&amp;C2711)</f>
        <v>1</v>
      </c>
      <c r="G2711">
        <v>0</v>
      </c>
      <c r="H2711">
        <v>0</v>
      </c>
      <c r="I2711" t="s">
        <v>15</v>
      </c>
      <c r="J2711" t="s">
        <v>15</v>
      </c>
      <c r="K2711">
        <v>0</v>
      </c>
      <c r="L2711">
        <v>0</v>
      </c>
    </row>
    <row r="2712" spans="1:12" x14ac:dyDescent="0.3">
      <c r="A2712" t="s">
        <v>2728</v>
      </c>
      <c r="B2712" t="s">
        <v>17</v>
      </c>
      <c r="C2712">
        <v>13997</v>
      </c>
      <c r="D2712">
        <v>223.95</v>
      </c>
      <c r="E2712">
        <v>40.31</v>
      </c>
      <c r="F2712">
        <f>COUNTIFS(mdr_rate_cleaned!$A$2:$A$10,B2712,mdr_rate_cleaned!$B$2:$B$10,"&lt;"&amp;C2712,mdr_rate_cleaned!$F$2:$F$10,"&gt;="&amp;C2712)</f>
        <v>1</v>
      </c>
      <c r="G2712">
        <v>1.6E-2</v>
      </c>
      <c r="H2712">
        <v>223.95</v>
      </c>
      <c r="I2712" t="s">
        <v>15</v>
      </c>
      <c r="J2712" t="s">
        <v>15</v>
      </c>
      <c r="K2712">
        <v>40.31</v>
      </c>
      <c r="L2712">
        <v>0</v>
      </c>
    </row>
    <row r="2713" spans="1:12" x14ac:dyDescent="0.3">
      <c r="A2713" t="s">
        <v>2729</v>
      </c>
      <c r="B2713" t="s">
        <v>21</v>
      </c>
      <c r="C2713">
        <v>2098</v>
      </c>
      <c r="D2713">
        <v>6.29</v>
      </c>
      <c r="E2713">
        <v>1.1299999999999999</v>
      </c>
      <c r="F2713">
        <f>COUNTIFS(mdr_rate_cleaned!$A$2:$A$10,B2713,mdr_rate_cleaned!$B$2:$B$10,"&lt;"&amp;C2713,mdr_rate_cleaned!$F$2:$F$10,"&gt;="&amp;C2713)</f>
        <v>1</v>
      </c>
      <c r="G2713">
        <v>3.0000000000000001E-3</v>
      </c>
      <c r="H2713">
        <v>6.29</v>
      </c>
      <c r="I2713" t="s">
        <v>15</v>
      </c>
      <c r="J2713" t="s">
        <v>15</v>
      </c>
      <c r="K2713">
        <v>1.1299999999999999</v>
      </c>
      <c r="L2713">
        <v>0</v>
      </c>
    </row>
    <row r="2714" spans="1:12" x14ac:dyDescent="0.3">
      <c r="A2714" t="s">
        <v>2730</v>
      </c>
      <c r="B2714" t="s">
        <v>21</v>
      </c>
      <c r="C2714">
        <v>1799</v>
      </c>
      <c r="D2714">
        <v>0</v>
      </c>
      <c r="E2714">
        <v>0</v>
      </c>
      <c r="F2714">
        <f>COUNTIFS(mdr_rate_cleaned!$A$2:$A$10,B2714,mdr_rate_cleaned!$B$2:$B$10,"&lt;"&amp;C2714,mdr_rate_cleaned!$F$2:$F$10,"&gt;="&amp;C2714)</f>
        <v>1</v>
      </c>
      <c r="G2714">
        <v>0</v>
      </c>
      <c r="H2714">
        <v>0</v>
      </c>
      <c r="I2714" t="s">
        <v>15</v>
      </c>
      <c r="J2714" t="s">
        <v>15</v>
      </c>
      <c r="K2714">
        <v>0</v>
      </c>
      <c r="L2714">
        <v>0</v>
      </c>
    </row>
    <row r="2715" spans="1:12" x14ac:dyDescent="0.3">
      <c r="A2715" t="s">
        <v>2731</v>
      </c>
      <c r="B2715" t="s">
        <v>21</v>
      </c>
      <c r="C2715">
        <v>1299</v>
      </c>
      <c r="D2715">
        <v>0</v>
      </c>
      <c r="E2715">
        <v>0</v>
      </c>
      <c r="F2715">
        <f>COUNTIFS(mdr_rate_cleaned!$A$2:$A$10,B2715,mdr_rate_cleaned!$B$2:$B$10,"&lt;"&amp;C2715,mdr_rate_cleaned!$F$2:$F$10,"&gt;="&amp;C2715)</f>
        <v>1</v>
      </c>
      <c r="G2715">
        <v>0</v>
      </c>
      <c r="H2715">
        <v>0</v>
      </c>
      <c r="I2715" t="s">
        <v>15</v>
      </c>
      <c r="J2715" t="s">
        <v>15</v>
      </c>
      <c r="K2715">
        <v>0</v>
      </c>
      <c r="L2715">
        <v>0</v>
      </c>
    </row>
    <row r="2716" spans="1:12" x14ac:dyDescent="0.3">
      <c r="A2716" t="s">
        <v>2732</v>
      </c>
      <c r="B2716" t="s">
        <v>13</v>
      </c>
      <c r="C2716">
        <v>1499</v>
      </c>
      <c r="D2716">
        <v>28.48</v>
      </c>
      <c r="E2716">
        <v>5.13</v>
      </c>
      <c r="F2716">
        <f>COUNTIFS(mdr_rate_cleaned!$A$2:$A$10,B2716,mdr_rate_cleaned!$B$2:$B$10,"&lt;"&amp;C2716,mdr_rate_cleaned!$F$2:$F$10,"&gt;="&amp;C2716)</f>
        <v>1</v>
      </c>
      <c r="G2716">
        <v>1.9E-2</v>
      </c>
      <c r="H2716">
        <v>28.48</v>
      </c>
      <c r="I2716" t="s">
        <v>15</v>
      </c>
      <c r="J2716" t="s">
        <v>15</v>
      </c>
      <c r="K2716">
        <v>5.13</v>
      </c>
      <c r="L2716">
        <v>0</v>
      </c>
    </row>
    <row r="2717" spans="1:12" x14ac:dyDescent="0.3">
      <c r="A2717" t="s">
        <v>2733</v>
      </c>
      <c r="B2717" t="s">
        <v>21</v>
      </c>
      <c r="C2717">
        <v>1299</v>
      </c>
      <c r="D2717">
        <v>0</v>
      </c>
      <c r="E2717">
        <v>0</v>
      </c>
      <c r="F2717">
        <f>COUNTIFS(mdr_rate_cleaned!$A$2:$A$10,B2717,mdr_rate_cleaned!$B$2:$B$10,"&lt;"&amp;C2717,mdr_rate_cleaned!$F$2:$F$10,"&gt;="&amp;C2717)</f>
        <v>1</v>
      </c>
      <c r="G2717">
        <v>0</v>
      </c>
      <c r="H2717">
        <v>0</v>
      </c>
      <c r="I2717" t="s">
        <v>15</v>
      </c>
      <c r="J2717" t="s">
        <v>15</v>
      </c>
      <c r="K2717">
        <v>0</v>
      </c>
      <c r="L2717">
        <v>0</v>
      </c>
    </row>
    <row r="2718" spans="1:12" x14ac:dyDescent="0.3">
      <c r="A2718" t="s">
        <v>2734</v>
      </c>
      <c r="B2718" t="s">
        <v>13</v>
      </c>
      <c r="C2718">
        <v>299</v>
      </c>
      <c r="D2718">
        <v>5.68</v>
      </c>
      <c r="E2718">
        <v>1.02</v>
      </c>
      <c r="F2718">
        <f>COUNTIFS(mdr_rate_cleaned!$A$2:$A$10,B2718,mdr_rate_cleaned!$B$2:$B$10,"&lt;"&amp;C2718,mdr_rate_cleaned!$F$2:$F$10,"&gt;="&amp;C2718)</f>
        <v>1</v>
      </c>
      <c r="G2718">
        <v>1.9E-2</v>
      </c>
      <c r="H2718">
        <v>5.68</v>
      </c>
      <c r="I2718" t="s">
        <v>15</v>
      </c>
      <c r="J2718" t="s">
        <v>15</v>
      </c>
      <c r="K2718">
        <v>1.02</v>
      </c>
      <c r="L2718">
        <v>0</v>
      </c>
    </row>
    <row r="2719" spans="1:12" x14ac:dyDescent="0.3">
      <c r="A2719" t="s">
        <v>2735</v>
      </c>
      <c r="B2719" t="s">
        <v>39</v>
      </c>
      <c r="C2719">
        <v>3447</v>
      </c>
      <c r="D2719">
        <v>41.36</v>
      </c>
      <c r="E2719">
        <v>7.44</v>
      </c>
      <c r="F2719">
        <f>COUNTIFS(mdr_rate_cleaned!$A$2:$A$10,B2719,mdr_rate_cleaned!$B$2:$B$10,"&lt;"&amp;C2719,mdr_rate_cleaned!$F$2:$F$10,"&gt;="&amp;C2719)</f>
        <v>1</v>
      </c>
      <c r="G2719">
        <v>1.2E-2</v>
      </c>
      <c r="H2719">
        <v>41.36</v>
      </c>
      <c r="I2719" t="s">
        <v>15</v>
      </c>
      <c r="J2719" t="s">
        <v>15</v>
      </c>
      <c r="K2719">
        <v>7.44</v>
      </c>
      <c r="L2719">
        <v>0</v>
      </c>
    </row>
    <row r="2720" spans="1:12" x14ac:dyDescent="0.3">
      <c r="A2720" t="s">
        <v>2736</v>
      </c>
      <c r="B2720" t="s">
        <v>21</v>
      </c>
      <c r="C2720">
        <v>3498</v>
      </c>
      <c r="D2720">
        <v>10.49</v>
      </c>
      <c r="E2720">
        <v>1.89</v>
      </c>
      <c r="F2720">
        <f>COUNTIFS(mdr_rate_cleaned!$A$2:$A$10,B2720,mdr_rate_cleaned!$B$2:$B$10,"&lt;"&amp;C2720,mdr_rate_cleaned!$F$2:$F$10,"&gt;="&amp;C2720)</f>
        <v>1</v>
      </c>
      <c r="G2720">
        <v>3.0000000000000001E-3</v>
      </c>
      <c r="H2720">
        <v>10.49</v>
      </c>
      <c r="I2720" t="s">
        <v>15</v>
      </c>
      <c r="J2720" t="s">
        <v>15</v>
      </c>
      <c r="K2720">
        <v>1.89</v>
      </c>
      <c r="L2720">
        <v>0</v>
      </c>
    </row>
    <row r="2721" spans="1:12" x14ac:dyDescent="0.3">
      <c r="A2721" t="s">
        <v>2737</v>
      </c>
      <c r="B2721" t="s">
        <v>13</v>
      </c>
      <c r="C2721">
        <v>2999</v>
      </c>
      <c r="D2721">
        <v>71.98</v>
      </c>
      <c r="E2721">
        <v>12.96</v>
      </c>
      <c r="F2721">
        <f>COUNTIFS(mdr_rate_cleaned!$A$2:$A$10,B2721,mdr_rate_cleaned!$B$2:$B$10,"&lt;"&amp;C2721,mdr_rate_cleaned!$F$2:$F$10,"&gt;="&amp;C2721)</f>
        <v>1</v>
      </c>
      <c r="G2721">
        <v>1.7000000000000001E-2</v>
      </c>
      <c r="H2721">
        <v>50.98</v>
      </c>
      <c r="I2721" t="s">
        <v>14</v>
      </c>
      <c r="J2721" t="s">
        <v>15</v>
      </c>
      <c r="K2721">
        <v>9.18</v>
      </c>
      <c r="L2721">
        <v>24.78</v>
      </c>
    </row>
    <row r="2722" spans="1:12" x14ac:dyDescent="0.3">
      <c r="A2722" t="s">
        <v>2738</v>
      </c>
      <c r="B2722" t="s">
        <v>21</v>
      </c>
      <c r="C2722">
        <v>2098</v>
      </c>
      <c r="D2722">
        <v>6.29</v>
      </c>
      <c r="E2722">
        <v>1.1299999999999999</v>
      </c>
      <c r="F2722">
        <f>COUNTIFS(mdr_rate_cleaned!$A$2:$A$10,B2722,mdr_rate_cleaned!$B$2:$B$10,"&lt;"&amp;C2722,mdr_rate_cleaned!$F$2:$F$10,"&gt;="&amp;C2722)</f>
        <v>1</v>
      </c>
      <c r="G2722">
        <v>3.0000000000000001E-3</v>
      </c>
      <c r="H2722">
        <v>6.29</v>
      </c>
      <c r="I2722" t="s">
        <v>15</v>
      </c>
      <c r="J2722" t="s">
        <v>15</v>
      </c>
      <c r="K2722">
        <v>1.1299999999999999</v>
      </c>
      <c r="L2722">
        <v>0</v>
      </c>
    </row>
    <row r="2723" spans="1:12" x14ac:dyDescent="0.3">
      <c r="A2723" t="s">
        <v>2739</v>
      </c>
      <c r="B2723" t="s">
        <v>21</v>
      </c>
      <c r="C2723">
        <v>9498</v>
      </c>
      <c r="D2723">
        <v>28.49</v>
      </c>
      <c r="E2723">
        <v>5.13</v>
      </c>
      <c r="F2723">
        <f>COUNTIFS(mdr_rate_cleaned!$A$2:$A$10,B2723,mdr_rate_cleaned!$B$2:$B$10,"&lt;"&amp;C2723,mdr_rate_cleaned!$F$2:$F$10,"&gt;="&amp;C2723)</f>
        <v>1</v>
      </c>
      <c r="G2723">
        <v>3.0000000000000001E-3</v>
      </c>
      <c r="H2723">
        <v>28.49</v>
      </c>
      <c r="I2723" t="s">
        <v>15</v>
      </c>
      <c r="J2723" t="s">
        <v>15</v>
      </c>
      <c r="K2723">
        <v>5.13</v>
      </c>
      <c r="L2723">
        <v>0</v>
      </c>
    </row>
    <row r="2724" spans="1:12" x14ac:dyDescent="0.3">
      <c r="A2724" t="s">
        <v>2740</v>
      </c>
      <c r="B2724" t="s">
        <v>21</v>
      </c>
      <c r="C2724">
        <v>1799</v>
      </c>
      <c r="D2724">
        <v>0</v>
      </c>
      <c r="E2724">
        <v>0</v>
      </c>
      <c r="F2724">
        <f>COUNTIFS(mdr_rate_cleaned!$A$2:$A$10,B2724,mdr_rate_cleaned!$B$2:$B$10,"&lt;"&amp;C2724,mdr_rate_cleaned!$F$2:$F$10,"&gt;="&amp;C2724)</f>
        <v>1</v>
      </c>
      <c r="G2724">
        <v>0</v>
      </c>
      <c r="H2724">
        <v>0</v>
      </c>
      <c r="I2724" t="s">
        <v>15</v>
      </c>
      <c r="J2724" t="s">
        <v>15</v>
      </c>
      <c r="K2724">
        <v>0</v>
      </c>
      <c r="L2724">
        <v>0</v>
      </c>
    </row>
    <row r="2725" spans="1:12" x14ac:dyDescent="0.3">
      <c r="A2725" t="s">
        <v>2741</v>
      </c>
      <c r="B2725" t="s">
        <v>21</v>
      </c>
      <c r="C2725">
        <v>1797</v>
      </c>
      <c r="D2725">
        <v>0</v>
      </c>
      <c r="E2725">
        <v>0</v>
      </c>
      <c r="F2725">
        <f>COUNTIFS(mdr_rate_cleaned!$A$2:$A$10,B2725,mdr_rate_cleaned!$B$2:$B$10,"&lt;"&amp;C2725,mdr_rate_cleaned!$F$2:$F$10,"&gt;="&amp;C2725)</f>
        <v>1</v>
      </c>
      <c r="G2725">
        <v>0</v>
      </c>
      <c r="H2725">
        <v>0</v>
      </c>
      <c r="I2725" t="s">
        <v>15</v>
      </c>
      <c r="J2725" t="s">
        <v>15</v>
      </c>
      <c r="K2725">
        <v>0</v>
      </c>
      <c r="L2725">
        <v>0</v>
      </c>
    </row>
    <row r="2726" spans="1:12" x14ac:dyDescent="0.3">
      <c r="A2726" t="s">
        <v>2742</v>
      </c>
      <c r="B2726" t="s">
        <v>17</v>
      </c>
      <c r="C2726">
        <v>5298</v>
      </c>
      <c r="D2726">
        <v>84.77</v>
      </c>
      <c r="E2726">
        <v>15.26</v>
      </c>
      <c r="F2726">
        <f>COUNTIFS(mdr_rate_cleaned!$A$2:$A$10,B2726,mdr_rate_cleaned!$B$2:$B$10,"&lt;"&amp;C2726,mdr_rate_cleaned!$F$2:$F$10,"&gt;="&amp;C2726)</f>
        <v>1</v>
      </c>
      <c r="G2726">
        <v>1.6E-2</v>
      </c>
      <c r="H2726">
        <v>84.77</v>
      </c>
      <c r="I2726" t="s">
        <v>15</v>
      </c>
      <c r="J2726" t="s">
        <v>15</v>
      </c>
      <c r="K2726">
        <v>15.26</v>
      </c>
      <c r="L2726">
        <v>0</v>
      </c>
    </row>
    <row r="2727" spans="1:12" x14ac:dyDescent="0.3">
      <c r="A2727" t="s">
        <v>2743</v>
      </c>
      <c r="B2727" t="s">
        <v>17</v>
      </c>
      <c r="C2727">
        <v>4597</v>
      </c>
      <c r="D2727">
        <v>73.55</v>
      </c>
      <c r="E2727">
        <v>13.24</v>
      </c>
      <c r="F2727">
        <f>COUNTIFS(mdr_rate_cleaned!$A$2:$A$10,B2727,mdr_rate_cleaned!$B$2:$B$10,"&lt;"&amp;C2727,mdr_rate_cleaned!$F$2:$F$10,"&gt;="&amp;C2727)</f>
        <v>1</v>
      </c>
      <c r="G2727">
        <v>1.6E-2</v>
      </c>
      <c r="H2727">
        <v>73.55</v>
      </c>
      <c r="I2727" t="s">
        <v>15</v>
      </c>
      <c r="J2727" t="s">
        <v>15</v>
      </c>
      <c r="K2727">
        <v>13.24</v>
      </c>
      <c r="L2727">
        <v>0</v>
      </c>
    </row>
    <row r="2728" spans="1:12" x14ac:dyDescent="0.3">
      <c r="A2728" t="s">
        <v>2744</v>
      </c>
      <c r="B2728" t="s">
        <v>17</v>
      </c>
      <c r="C2728">
        <v>999</v>
      </c>
      <c r="D2728">
        <v>17.98</v>
      </c>
      <c r="E2728">
        <v>3.24</v>
      </c>
      <c r="F2728">
        <f>COUNTIFS(mdr_rate_cleaned!$A$2:$A$10,B2728,mdr_rate_cleaned!$B$2:$B$10,"&lt;"&amp;C2728,mdr_rate_cleaned!$F$2:$F$10,"&gt;="&amp;C2728)</f>
        <v>1</v>
      </c>
      <c r="G2728">
        <v>1.7999999999999999E-2</v>
      </c>
      <c r="H2728">
        <v>17.98</v>
      </c>
      <c r="I2728" t="s">
        <v>15</v>
      </c>
      <c r="J2728" t="s">
        <v>15</v>
      </c>
      <c r="K2728">
        <v>3.24</v>
      </c>
      <c r="L2728">
        <v>0</v>
      </c>
    </row>
    <row r="2729" spans="1:12" x14ac:dyDescent="0.3">
      <c r="A2729" t="s">
        <v>2745</v>
      </c>
      <c r="B2729" t="s">
        <v>13</v>
      </c>
      <c r="C2729">
        <v>5348</v>
      </c>
      <c r="D2729">
        <v>90.92</v>
      </c>
      <c r="E2729">
        <v>16.37</v>
      </c>
      <c r="F2729">
        <f>COUNTIFS(mdr_rate_cleaned!$A$2:$A$10,B2729,mdr_rate_cleaned!$B$2:$B$10,"&lt;"&amp;C2729,mdr_rate_cleaned!$F$2:$F$10,"&gt;="&amp;C2729)</f>
        <v>1</v>
      </c>
      <c r="G2729">
        <v>1.7000000000000001E-2</v>
      </c>
      <c r="H2729">
        <v>90.92</v>
      </c>
      <c r="I2729" t="s">
        <v>15</v>
      </c>
      <c r="J2729" t="s">
        <v>15</v>
      </c>
      <c r="K2729">
        <v>16.37</v>
      </c>
      <c r="L2729">
        <v>0</v>
      </c>
    </row>
    <row r="2730" spans="1:12" x14ac:dyDescent="0.3">
      <c r="A2730" t="s">
        <v>2746</v>
      </c>
      <c r="B2730" t="s">
        <v>21</v>
      </c>
      <c r="C2730">
        <v>948</v>
      </c>
      <c r="D2730">
        <v>0</v>
      </c>
      <c r="E2730">
        <v>0</v>
      </c>
      <c r="F2730">
        <f>COUNTIFS(mdr_rate_cleaned!$A$2:$A$10,B2730,mdr_rate_cleaned!$B$2:$B$10,"&lt;"&amp;C2730,mdr_rate_cleaned!$F$2:$F$10,"&gt;="&amp;C2730)</f>
        <v>1</v>
      </c>
      <c r="G2730">
        <v>0</v>
      </c>
      <c r="H2730">
        <v>0</v>
      </c>
      <c r="I2730" t="s">
        <v>15</v>
      </c>
      <c r="J2730" t="s">
        <v>15</v>
      </c>
      <c r="K2730">
        <v>0</v>
      </c>
      <c r="L2730">
        <v>0</v>
      </c>
    </row>
    <row r="2731" spans="1:12" x14ac:dyDescent="0.3">
      <c r="A2731" t="s">
        <v>2747</v>
      </c>
      <c r="B2731" t="s">
        <v>21</v>
      </c>
      <c r="C2731">
        <v>2998</v>
      </c>
      <c r="D2731">
        <v>8.99</v>
      </c>
      <c r="E2731">
        <v>1.62</v>
      </c>
      <c r="F2731">
        <f>COUNTIFS(mdr_rate_cleaned!$A$2:$A$10,B2731,mdr_rate_cleaned!$B$2:$B$10,"&lt;"&amp;C2731,mdr_rate_cleaned!$F$2:$F$10,"&gt;="&amp;C2731)</f>
        <v>1</v>
      </c>
      <c r="G2731">
        <v>3.0000000000000001E-3</v>
      </c>
      <c r="H2731">
        <v>8.99</v>
      </c>
      <c r="I2731" t="s">
        <v>15</v>
      </c>
      <c r="J2731" t="s">
        <v>15</v>
      </c>
      <c r="K2731">
        <v>1.62</v>
      </c>
      <c r="L2731">
        <v>0</v>
      </c>
    </row>
    <row r="2732" spans="1:12" x14ac:dyDescent="0.3">
      <c r="A2732" t="s">
        <v>2748</v>
      </c>
      <c r="B2732" t="s">
        <v>13</v>
      </c>
      <c r="C2732">
        <v>2999</v>
      </c>
      <c r="D2732">
        <v>50.98</v>
      </c>
      <c r="E2732">
        <v>9.18</v>
      </c>
      <c r="F2732">
        <f>COUNTIFS(mdr_rate_cleaned!$A$2:$A$10,B2732,mdr_rate_cleaned!$B$2:$B$10,"&lt;"&amp;C2732,mdr_rate_cleaned!$F$2:$F$10,"&gt;="&amp;C2732)</f>
        <v>1</v>
      </c>
      <c r="G2732">
        <v>1.7000000000000001E-2</v>
      </c>
      <c r="H2732">
        <v>50.98</v>
      </c>
      <c r="I2732" t="s">
        <v>15</v>
      </c>
      <c r="J2732" t="s">
        <v>15</v>
      </c>
      <c r="K2732">
        <v>9.18</v>
      </c>
      <c r="L2732">
        <v>0</v>
      </c>
    </row>
    <row r="2733" spans="1:12" x14ac:dyDescent="0.3">
      <c r="A2733" t="s">
        <v>2749</v>
      </c>
      <c r="B2733" t="s">
        <v>21</v>
      </c>
      <c r="C2733">
        <v>3499</v>
      </c>
      <c r="D2733">
        <v>10.5</v>
      </c>
      <c r="E2733">
        <v>1.89</v>
      </c>
      <c r="F2733">
        <f>COUNTIFS(mdr_rate_cleaned!$A$2:$A$10,B2733,mdr_rate_cleaned!$B$2:$B$10,"&lt;"&amp;C2733,mdr_rate_cleaned!$F$2:$F$10,"&gt;="&amp;C2733)</f>
        <v>1</v>
      </c>
      <c r="G2733">
        <v>3.0000000000000001E-3</v>
      </c>
      <c r="H2733">
        <v>10.5</v>
      </c>
      <c r="I2733" t="s">
        <v>15</v>
      </c>
      <c r="J2733" t="s">
        <v>15</v>
      </c>
      <c r="K2733">
        <v>1.89</v>
      </c>
      <c r="L2733">
        <v>0</v>
      </c>
    </row>
    <row r="2734" spans="1:12" x14ac:dyDescent="0.3">
      <c r="A2734" t="s">
        <v>2750</v>
      </c>
      <c r="B2734" t="s">
        <v>17</v>
      </c>
      <c r="C2734">
        <v>349</v>
      </c>
      <c r="D2734">
        <v>6.28</v>
      </c>
      <c r="E2734">
        <v>1.1299999999999999</v>
      </c>
      <c r="F2734">
        <f>COUNTIFS(mdr_rate_cleaned!$A$2:$A$10,B2734,mdr_rate_cleaned!$B$2:$B$10,"&lt;"&amp;C2734,mdr_rate_cleaned!$F$2:$F$10,"&gt;="&amp;C2734)</f>
        <v>1</v>
      </c>
      <c r="G2734">
        <v>1.7999999999999999E-2</v>
      </c>
      <c r="H2734">
        <v>6.28</v>
      </c>
      <c r="I2734" t="s">
        <v>15</v>
      </c>
      <c r="J2734" t="s">
        <v>15</v>
      </c>
      <c r="K2734">
        <v>1.1299999999999999</v>
      </c>
      <c r="L2734">
        <v>0</v>
      </c>
    </row>
    <row r="2735" spans="1:12" x14ac:dyDescent="0.3">
      <c r="A2735" t="s">
        <v>2751</v>
      </c>
      <c r="B2735" t="s">
        <v>21</v>
      </c>
      <c r="C2735">
        <v>1799</v>
      </c>
      <c r="D2735">
        <v>0</v>
      </c>
      <c r="E2735">
        <v>0</v>
      </c>
      <c r="F2735">
        <f>COUNTIFS(mdr_rate_cleaned!$A$2:$A$10,B2735,mdr_rate_cleaned!$B$2:$B$10,"&lt;"&amp;C2735,mdr_rate_cleaned!$F$2:$F$10,"&gt;="&amp;C2735)</f>
        <v>1</v>
      </c>
      <c r="G2735">
        <v>0</v>
      </c>
      <c r="H2735">
        <v>0</v>
      </c>
      <c r="I2735" t="s">
        <v>15</v>
      </c>
      <c r="J2735" t="s">
        <v>15</v>
      </c>
      <c r="K2735">
        <v>0</v>
      </c>
      <c r="L2735">
        <v>0</v>
      </c>
    </row>
    <row r="2736" spans="1:12" x14ac:dyDescent="0.3">
      <c r="A2736" t="s">
        <v>2752</v>
      </c>
      <c r="B2736" t="s">
        <v>13</v>
      </c>
      <c r="C2736">
        <v>1798</v>
      </c>
      <c r="D2736">
        <v>34.159999999999997</v>
      </c>
      <c r="E2736">
        <v>6.15</v>
      </c>
      <c r="F2736">
        <f>COUNTIFS(mdr_rate_cleaned!$A$2:$A$10,B2736,mdr_rate_cleaned!$B$2:$B$10,"&lt;"&amp;C2736,mdr_rate_cleaned!$F$2:$F$10,"&gt;="&amp;C2736)</f>
        <v>1</v>
      </c>
      <c r="G2736">
        <v>1.9E-2</v>
      </c>
      <c r="H2736">
        <v>34.159999999999997</v>
      </c>
      <c r="I2736" t="s">
        <v>15</v>
      </c>
      <c r="J2736" t="s">
        <v>15</v>
      </c>
      <c r="K2736">
        <v>6.15</v>
      </c>
      <c r="L2736">
        <v>0</v>
      </c>
    </row>
    <row r="2737" spans="1:12" x14ac:dyDescent="0.3">
      <c r="A2737" t="s">
        <v>2753</v>
      </c>
      <c r="B2737" t="s">
        <v>21</v>
      </c>
      <c r="C2737">
        <v>349</v>
      </c>
      <c r="D2737">
        <v>0</v>
      </c>
      <c r="E2737">
        <v>0</v>
      </c>
      <c r="F2737">
        <f>COUNTIFS(mdr_rate_cleaned!$A$2:$A$10,B2737,mdr_rate_cleaned!$B$2:$B$10,"&lt;"&amp;C2737,mdr_rate_cleaned!$F$2:$F$10,"&gt;="&amp;C2737)</f>
        <v>1</v>
      </c>
      <c r="G2737">
        <v>0</v>
      </c>
      <c r="H2737">
        <v>0</v>
      </c>
      <c r="I2737" t="s">
        <v>15</v>
      </c>
      <c r="J2737" t="s">
        <v>15</v>
      </c>
      <c r="K2737">
        <v>0</v>
      </c>
      <c r="L2737">
        <v>0</v>
      </c>
    </row>
    <row r="2738" spans="1:12" x14ac:dyDescent="0.3">
      <c r="A2738" t="s">
        <v>2754</v>
      </c>
      <c r="B2738" t="s">
        <v>21</v>
      </c>
      <c r="C2738">
        <v>4999</v>
      </c>
      <c r="D2738">
        <v>15</v>
      </c>
      <c r="E2738">
        <v>2.7</v>
      </c>
      <c r="F2738">
        <f>COUNTIFS(mdr_rate_cleaned!$A$2:$A$10,B2738,mdr_rate_cleaned!$B$2:$B$10,"&lt;"&amp;C2738,mdr_rate_cleaned!$F$2:$F$10,"&gt;="&amp;C2738)</f>
        <v>1</v>
      </c>
      <c r="G2738">
        <v>3.0000000000000001E-3</v>
      </c>
      <c r="H2738">
        <v>15</v>
      </c>
      <c r="I2738" t="s">
        <v>15</v>
      </c>
      <c r="J2738" t="s">
        <v>15</v>
      </c>
      <c r="K2738">
        <v>2.7</v>
      </c>
      <c r="L2738">
        <v>0</v>
      </c>
    </row>
    <row r="2739" spans="1:12" x14ac:dyDescent="0.3">
      <c r="A2739" t="s">
        <v>2755</v>
      </c>
      <c r="B2739" t="s">
        <v>21</v>
      </c>
      <c r="C2739">
        <v>1799</v>
      </c>
      <c r="D2739">
        <v>0</v>
      </c>
      <c r="E2739">
        <v>0</v>
      </c>
      <c r="F2739">
        <f>COUNTIFS(mdr_rate_cleaned!$A$2:$A$10,B2739,mdr_rate_cleaned!$B$2:$B$10,"&lt;"&amp;C2739,mdr_rate_cleaned!$F$2:$F$10,"&gt;="&amp;C2739)</f>
        <v>1</v>
      </c>
      <c r="G2739">
        <v>0</v>
      </c>
      <c r="H2739">
        <v>0</v>
      </c>
      <c r="I2739" t="s">
        <v>15</v>
      </c>
      <c r="J2739" t="s">
        <v>15</v>
      </c>
      <c r="K2739">
        <v>0</v>
      </c>
      <c r="L2739">
        <v>0</v>
      </c>
    </row>
    <row r="2740" spans="1:12" x14ac:dyDescent="0.3">
      <c r="A2740" t="s">
        <v>2756</v>
      </c>
      <c r="B2740" t="s">
        <v>17</v>
      </c>
      <c r="C2740">
        <v>5998</v>
      </c>
      <c r="D2740">
        <v>95.97</v>
      </c>
      <c r="E2740">
        <v>17.27</v>
      </c>
      <c r="F2740">
        <f>COUNTIFS(mdr_rate_cleaned!$A$2:$A$10,B2740,mdr_rate_cleaned!$B$2:$B$10,"&lt;"&amp;C2740,mdr_rate_cleaned!$F$2:$F$10,"&gt;="&amp;C2740)</f>
        <v>1</v>
      </c>
      <c r="G2740">
        <v>1.6E-2</v>
      </c>
      <c r="H2740">
        <v>95.97</v>
      </c>
      <c r="I2740" t="s">
        <v>15</v>
      </c>
      <c r="J2740" t="s">
        <v>15</v>
      </c>
      <c r="K2740">
        <v>17.27</v>
      </c>
      <c r="L2740">
        <v>0</v>
      </c>
    </row>
    <row r="2741" spans="1:12" x14ac:dyDescent="0.3">
      <c r="A2741" t="s">
        <v>2757</v>
      </c>
      <c r="B2741" t="s">
        <v>21</v>
      </c>
      <c r="C2741">
        <v>799</v>
      </c>
      <c r="D2741">
        <v>0</v>
      </c>
      <c r="E2741">
        <v>0</v>
      </c>
      <c r="F2741">
        <f>COUNTIFS(mdr_rate_cleaned!$A$2:$A$10,B2741,mdr_rate_cleaned!$B$2:$B$10,"&lt;"&amp;C2741,mdr_rate_cleaned!$F$2:$F$10,"&gt;="&amp;C2741)</f>
        <v>1</v>
      </c>
      <c r="G2741">
        <v>0</v>
      </c>
      <c r="H2741">
        <v>0</v>
      </c>
      <c r="I2741" t="s">
        <v>15</v>
      </c>
      <c r="J2741" t="s">
        <v>15</v>
      </c>
      <c r="K2741">
        <v>0</v>
      </c>
      <c r="L2741">
        <v>0</v>
      </c>
    </row>
    <row r="2742" spans="1:12" x14ac:dyDescent="0.3">
      <c r="A2742" t="s">
        <v>2758</v>
      </c>
      <c r="B2742" t="s">
        <v>17</v>
      </c>
      <c r="C2742">
        <v>2499</v>
      </c>
      <c r="D2742">
        <v>39.979999999999997</v>
      </c>
      <c r="E2742">
        <v>7.2</v>
      </c>
      <c r="F2742">
        <f>COUNTIFS(mdr_rate_cleaned!$A$2:$A$10,B2742,mdr_rate_cleaned!$B$2:$B$10,"&lt;"&amp;C2742,mdr_rate_cleaned!$F$2:$F$10,"&gt;="&amp;C2742)</f>
        <v>1</v>
      </c>
      <c r="G2742">
        <v>1.6E-2</v>
      </c>
      <c r="H2742">
        <v>39.979999999999997</v>
      </c>
      <c r="I2742" t="s">
        <v>15</v>
      </c>
      <c r="J2742" t="s">
        <v>15</v>
      </c>
      <c r="K2742">
        <v>7.2</v>
      </c>
      <c r="L2742">
        <v>0</v>
      </c>
    </row>
    <row r="2743" spans="1:12" x14ac:dyDescent="0.3">
      <c r="A2743" t="s">
        <v>2759</v>
      </c>
      <c r="B2743" t="s">
        <v>17</v>
      </c>
      <c r="C2743">
        <v>3097</v>
      </c>
      <c r="D2743">
        <v>49.55</v>
      </c>
      <c r="E2743">
        <v>8.92</v>
      </c>
      <c r="F2743">
        <f>COUNTIFS(mdr_rate_cleaned!$A$2:$A$10,B2743,mdr_rate_cleaned!$B$2:$B$10,"&lt;"&amp;C2743,mdr_rate_cleaned!$F$2:$F$10,"&gt;="&amp;C2743)</f>
        <v>1</v>
      </c>
      <c r="G2743">
        <v>1.6E-2</v>
      </c>
      <c r="H2743">
        <v>49.55</v>
      </c>
      <c r="I2743" t="s">
        <v>15</v>
      </c>
      <c r="J2743" t="s">
        <v>15</v>
      </c>
      <c r="K2743">
        <v>8.92</v>
      </c>
      <c r="L2743">
        <v>0</v>
      </c>
    </row>
    <row r="2744" spans="1:12" x14ac:dyDescent="0.3">
      <c r="A2744" t="s">
        <v>2760</v>
      </c>
      <c r="B2744" t="s">
        <v>21</v>
      </c>
      <c r="C2744">
        <v>3598</v>
      </c>
      <c r="D2744">
        <v>10.79</v>
      </c>
      <c r="E2744">
        <v>1.94</v>
      </c>
      <c r="F2744">
        <f>COUNTIFS(mdr_rate_cleaned!$A$2:$A$10,B2744,mdr_rate_cleaned!$B$2:$B$10,"&lt;"&amp;C2744,mdr_rate_cleaned!$F$2:$F$10,"&gt;="&amp;C2744)</f>
        <v>1</v>
      </c>
      <c r="G2744">
        <v>3.0000000000000001E-3</v>
      </c>
      <c r="H2744">
        <v>10.79</v>
      </c>
      <c r="I2744" t="s">
        <v>15</v>
      </c>
      <c r="J2744" t="s">
        <v>15</v>
      </c>
      <c r="K2744">
        <v>1.94</v>
      </c>
      <c r="L2744">
        <v>0</v>
      </c>
    </row>
    <row r="2745" spans="1:12" x14ac:dyDescent="0.3">
      <c r="A2745" t="s">
        <v>2761</v>
      </c>
      <c r="B2745" t="s">
        <v>21</v>
      </c>
      <c r="C2745">
        <v>1499</v>
      </c>
      <c r="D2745">
        <v>0</v>
      </c>
      <c r="E2745">
        <v>0</v>
      </c>
      <c r="F2745">
        <f>COUNTIFS(mdr_rate_cleaned!$A$2:$A$10,B2745,mdr_rate_cleaned!$B$2:$B$10,"&lt;"&amp;C2745,mdr_rate_cleaned!$F$2:$F$10,"&gt;="&amp;C2745)</f>
        <v>1</v>
      </c>
      <c r="G2745">
        <v>0</v>
      </c>
      <c r="H2745">
        <v>0</v>
      </c>
      <c r="I2745" t="s">
        <v>15</v>
      </c>
      <c r="J2745" t="s">
        <v>15</v>
      </c>
      <c r="K2745">
        <v>0</v>
      </c>
      <c r="L2745">
        <v>0</v>
      </c>
    </row>
    <row r="2746" spans="1:12" x14ac:dyDescent="0.3">
      <c r="A2746" t="s">
        <v>2762</v>
      </c>
      <c r="B2746" t="s">
        <v>21</v>
      </c>
      <c r="C2746">
        <v>10998</v>
      </c>
      <c r="D2746">
        <v>32.99</v>
      </c>
      <c r="E2746">
        <v>5.94</v>
      </c>
      <c r="F2746">
        <f>COUNTIFS(mdr_rate_cleaned!$A$2:$A$10,B2746,mdr_rate_cleaned!$B$2:$B$10,"&lt;"&amp;C2746,mdr_rate_cleaned!$F$2:$F$10,"&gt;="&amp;C2746)</f>
        <v>1</v>
      </c>
      <c r="G2746">
        <v>3.0000000000000001E-3</v>
      </c>
      <c r="H2746">
        <v>32.99</v>
      </c>
      <c r="I2746" t="s">
        <v>15</v>
      </c>
      <c r="J2746" t="s">
        <v>15</v>
      </c>
      <c r="K2746">
        <v>5.94</v>
      </c>
      <c r="L2746">
        <v>0</v>
      </c>
    </row>
    <row r="2747" spans="1:12" x14ac:dyDescent="0.3">
      <c r="A2747" t="s">
        <v>2763</v>
      </c>
      <c r="B2747" t="s">
        <v>17</v>
      </c>
      <c r="C2747">
        <v>6297</v>
      </c>
      <c r="D2747">
        <v>100.75</v>
      </c>
      <c r="E2747">
        <v>18.14</v>
      </c>
      <c r="F2747">
        <f>COUNTIFS(mdr_rate_cleaned!$A$2:$A$10,B2747,mdr_rate_cleaned!$B$2:$B$10,"&lt;"&amp;C2747,mdr_rate_cleaned!$F$2:$F$10,"&gt;="&amp;C2747)</f>
        <v>1</v>
      </c>
      <c r="G2747">
        <v>1.6E-2</v>
      </c>
      <c r="H2747">
        <v>100.75</v>
      </c>
      <c r="I2747" t="s">
        <v>15</v>
      </c>
      <c r="J2747" t="s">
        <v>15</v>
      </c>
      <c r="K2747">
        <v>18.14</v>
      </c>
      <c r="L2747">
        <v>0</v>
      </c>
    </row>
    <row r="2748" spans="1:12" x14ac:dyDescent="0.3">
      <c r="A2748" t="s">
        <v>2764</v>
      </c>
      <c r="B2748" t="s">
        <v>21</v>
      </c>
      <c r="C2748">
        <v>6897</v>
      </c>
      <c r="D2748">
        <v>20.69</v>
      </c>
      <c r="E2748">
        <v>3.72</v>
      </c>
      <c r="F2748">
        <f>COUNTIFS(mdr_rate_cleaned!$A$2:$A$10,B2748,mdr_rate_cleaned!$B$2:$B$10,"&lt;"&amp;C2748,mdr_rate_cleaned!$F$2:$F$10,"&gt;="&amp;C2748)</f>
        <v>1</v>
      </c>
      <c r="G2748">
        <v>3.0000000000000001E-3</v>
      </c>
      <c r="H2748">
        <v>20.69</v>
      </c>
      <c r="I2748" t="s">
        <v>15</v>
      </c>
      <c r="J2748" t="s">
        <v>15</v>
      </c>
      <c r="K2748">
        <v>3.72</v>
      </c>
      <c r="L2748">
        <v>0</v>
      </c>
    </row>
    <row r="2749" spans="1:12" x14ac:dyDescent="0.3">
      <c r="A2749" t="s">
        <v>2765</v>
      </c>
      <c r="B2749" t="s">
        <v>17</v>
      </c>
      <c r="C2749">
        <v>2098</v>
      </c>
      <c r="D2749">
        <v>33.57</v>
      </c>
      <c r="E2749">
        <v>6.04</v>
      </c>
      <c r="F2749">
        <f>COUNTIFS(mdr_rate_cleaned!$A$2:$A$10,B2749,mdr_rate_cleaned!$B$2:$B$10,"&lt;"&amp;C2749,mdr_rate_cleaned!$F$2:$F$10,"&gt;="&amp;C2749)</f>
        <v>1</v>
      </c>
      <c r="G2749">
        <v>1.6E-2</v>
      </c>
      <c r="H2749">
        <v>33.57</v>
      </c>
      <c r="I2749" t="s">
        <v>15</v>
      </c>
      <c r="J2749" t="s">
        <v>15</v>
      </c>
      <c r="K2749">
        <v>6.04</v>
      </c>
      <c r="L2749">
        <v>0</v>
      </c>
    </row>
    <row r="2750" spans="1:12" x14ac:dyDescent="0.3">
      <c r="A2750" t="s">
        <v>2766</v>
      </c>
      <c r="B2750" t="s">
        <v>13</v>
      </c>
      <c r="C2750">
        <v>4999</v>
      </c>
      <c r="D2750">
        <v>84.98</v>
      </c>
      <c r="E2750">
        <v>15.3</v>
      </c>
      <c r="F2750">
        <f>COUNTIFS(mdr_rate_cleaned!$A$2:$A$10,B2750,mdr_rate_cleaned!$B$2:$B$10,"&lt;"&amp;C2750,mdr_rate_cleaned!$F$2:$F$10,"&gt;="&amp;C2750)</f>
        <v>1</v>
      </c>
      <c r="G2750">
        <v>1.7000000000000001E-2</v>
      </c>
      <c r="H2750">
        <v>84.98</v>
      </c>
      <c r="I2750" t="s">
        <v>15</v>
      </c>
      <c r="J2750" t="s">
        <v>15</v>
      </c>
      <c r="K2750">
        <v>15.3</v>
      </c>
      <c r="L2750">
        <v>0</v>
      </c>
    </row>
    <row r="2751" spans="1:12" x14ac:dyDescent="0.3">
      <c r="A2751" t="s">
        <v>2767</v>
      </c>
      <c r="B2751" t="s">
        <v>21</v>
      </c>
      <c r="C2751">
        <v>799</v>
      </c>
      <c r="D2751">
        <v>0</v>
      </c>
      <c r="E2751">
        <v>0</v>
      </c>
      <c r="F2751">
        <f>COUNTIFS(mdr_rate_cleaned!$A$2:$A$10,B2751,mdr_rate_cleaned!$B$2:$B$10,"&lt;"&amp;C2751,mdr_rate_cleaned!$F$2:$F$10,"&gt;="&amp;C2751)</f>
        <v>1</v>
      </c>
      <c r="G2751">
        <v>0</v>
      </c>
      <c r="H2751">
        <v>0</v>
      </c>
      <c r="I2751" t="s">
        <v>15</v>
      </c>
      <c r="J2751" t="s">
        <v>15</v>
      </c>
      <c r="K2751">
        <v>0</v>
      </c>
      <c r="L2751">
        <v>0</v>
      </c>
    </row>
    <row r="2752" spans="1:12" x14ac:dyDescent="0.3">
      <c r="A2752" t="s">
        <v>2768</v>
      </c>
      <c r="B2752" t="s">
        <v>21</v>
      </c>
      <c r="C2752">
        <v>3298</v>
      </c>
      <c r="D2752">
        <v>9.89</v>
      </c>
      <c r="E2752">
        <v>1.78</v>
      </c>
      <c r="F2752">
        <f>COUNTIFS(mdr_rate_cleaned!$A$2:$A$10,B2752,mdr_rate_cleaned!$B$2:$B$10,"&lt;"&amp;C2752,mdr_rate_cleaned!$F$2:$F$10,"&gt;="&amp;C2752)</f>
        <v>1</v>
      </c>
      <c r="G2752">
        <v>3.0000000000000001E-3</v>
      </c>
      <c r="H2752">
        <v>9.89</v>
      </c>
      <c r="I2752" t="s">
        <v>15</v>
      </c>
      <c r="J2752" t="s">
        <v>15</v>
      </c>
      <c r="K2752">
        <v>1.78</v>
      </c>
      <c r="L2752">
        <v>0</v>
      </c>
    </row>
    <row r="2753" spans="1:12" x14ac:dyDescent="0.3">
      <c r="A2753" t="s">
        <v>2769</v>
      </c>
      <c r="B2753" t="s">
        <v>17</v>
      </c>
      <c r="C2753">
        <v>2598</v>
      </c>
      <c r="D2753">
        <v>41.57</v>
      </c>
      <c r="E2753">
        <v>7.48</v>
      </c>
      <c r="F2753">
        <f>COUNTIFS(mdr_rate_cleaned!$A$2:$A$10,B2753,mdr_rate_cleaned!$B$2:$B$10,"&lt;"&amp;C2753,mdr_rate_cleaned!$F$2:$F$10,"&gt;="&amp;C2753)</f>
        <v>1</v>
      </c>
      <c r="G2753">
        <v>1.6E-2</v>
      </c>
      <c r="H2753">
        <v>41.57</v>
      </c>
      <c r="I2753" t="s">
        <v>15</v>
      </c>
      <c r="J2753" t="s">
        <v>15</v>
      </c>
      <c r="K2753">
        <v>7.48</v>
      </c>
      <c r="L2753">
        <v>0</v>
      </c>
    </row>
    <row r="2754" spans="1:12" x14ac:dyDescent="0.3">
      <c r="A2754" t="s">
        <v>2770</v>
      </c>
      <c r="B2754" t="s">
        <v>21</v>
      </c>
      <c r="C2754">
        <v>1299</v>
      </c>
      <c r="D2754">
        <v>0</v>
      </c>
      <c r="E2754">
        <v>0</v>
      </c>
      <c r="F2754">
        <f>COUNTIFS(mdr_rate_cleaned!$A$2:$A$10,B2754,mdr_rate_cleaned!$B$2:$B$10,"&lt;"&amp;C2754,mdr_rate_cleaned!$F$2:$F$10,"&gt;="&amp;C2754)</f>
        <v>1</v>
      </c>
      <c r="G2754">
        <v>0</v>
      </c>
      <c r="H2754">
        <v>0</v>
      </c>
      <c r="I2754" t="s">
        <v>15</v>
      </c>
      <c r="J2754" t="s">
        <v>15</v>
      </c>
      <c r="K2754">
        <v>0</v>
      </c>
      <c r="L2754">
        <v>0</v>
      </c>
    </row>
    <row r="2755" spans="1:12" x14ac:dyDescent="0.3">
      <c r="A2755" t="s">
        <v>2771</v>
      </c>
      <c r="B2755" t="s">
        <v>21</v>
      </c>
      <c r="C2755">
        <v>599</v>
      </c>
      <c r="D2755">
        <v>0</v>
      </c>
      <c r="E2755">
        <v>0</v>
      </c>
      <c r="F2755">
        <f>COUNTIFS(mdr_rate_cleaned!$A$2:$A$10,B2755,mdr_rate_cleaned!$B$2:$B$10,"&lt;"&amp;C2755,mdr_rate_cleaned!$F$2:$F$10,"&gt;="&amp;C2755)</f>
        <v>1</v>
      </c>
      <c r="G2755">
        <v>0</v>
      </c>
      <c r="H2755">
        <v>0</v>
      </c>
      <c r="I2755" t="s">
        <v>15</v>
      </c>
      <c r="J2755" t="s">
        <v>15</v>
      </c>
      <c r="K2755">
        <v>0</v>
      </c>
      <c r="L2755">
        <v>0</v>
      </c>
    </row>
    <row r="2756" spans="1:12" x14ac:dyDescent="0.3">
      <c r="A2756" t="s">
        <v>2772</v>
      </c>
      <c r="B2756" t="s">
        <v>21</v>
      </c>
      <c r="C2756">
        <v>499</v>
      </c>
      <c r="D2756">
        <v>0</v>
      </c>
      <c r="E2756">
        <v>0</v>
      </c>
      <c r="F2756">
        <f>COUNTIFS(mdr_rate_cleaned!$A$2:$A$10,B2756,mdr_rate_cleaned!$B$2:$B$10,"&lt;"&amp;C2756,mdr_rate_cleaned!$F$2:$F$10,"&gt;="&amp;C2756)</f>
        <v>1</v>
      </c>
      <c r="G2756">
        <v>0</v>
      </c>
      <c r="H2756">
        <v>0</v>
      </c>
      <c r="I2756" t="s">
        <v>15</v>
      </c>
      <c r="J2756" t="s">
        <v>15</v>
      </c>
      <c r="K2756">
        <v>0</v>
      </c>
      <c r="L2756">
        <v>0</v>
      </c>
    </row>
    <row r="2757" spans="1:12" x14ac:dyDescent="0.3">
      <c r="A2757" t="s">
        <v>2773</v>
      </c>
      <c r="B2757" t="s">
        <v>21</v>
      </c>
      <c r="C2757">
        <v>999</v>
      </c>
      <c r="D2757">
        <v>0</v>
      </c>
      <c r="E2757">
        <v>0</v>
      </c>
      <c r="F2757">
        <f>COUNTIFS(mdr_rate_cleaned!$A$2:$A$10,B2757,mdr_rate_cleaned!$B$2:$B$10,"&lt;"&amp;C2757,mdr_rate_cleaned!$F$2:$F$10,"&gt;="&amp;C2757)</f>
        <v>1</v>
      </c>
      <c r="G2757">
        <v>0</v>
      </c>
      <c r="H2757">
        <v>0</v>
      </c>
      <c r="I2757" t="s">
        <v>15</v>
      </c>
      <c r="J2757" t="s">
        <v>15</v>
      </c>
      <c r="K2757">
        <v>0</v>
      </c>
      <c r="L2757">
        <v>0</v>
      </c>
    </row>
    <row r="2758" spans="1:12" x14ac:dyDescent="0.3">
      <c r="A2758" t="s">
        <v>2774</v>
      </c>
      <c r="B2758" t="s">
        <v>21</v>
      </c>
      <c r="C2758">
        <v>2797</v>
      </c>
      <c r="D2758">
        <v>8.39</v>
      </c>
      <c r="E2758">
        <v>1.51</v>
      </c>
      <c r="F2758">
        <f>COUNTIFS(mdr_rate_cleaned!$A$2:$A$10,B2758,mdr_rate_cleaned!$B$2:$B$10,"&lt;"&amp;C2758,mdr_rate_cleaned!$F$2:$F$10,"&gt;="&amp;C2758)</f>
        <v>1</v>
      </c>
      <c r="G2758">
        <v>3.0000000000000001E-3</v>
      </c>
      <c r="H2758">
        <v>8.39</v>
      </c>
      <c r="I2758" t="s">
        <v>15</v>
      </c>
      <c r="J2758" t="s">
        <v>15</v>
      </c>
      <c r="K2758">
        <v>1.51</v>
      </c>
      <c r="L2758">
        <v>0</v>
      </c>
    </row>
    <row r="2759" spans="1:12" x14ac:dyDescent="0.3">
      <c r="A2759" t="s">
        <v>2775</v>
      </c>
      <c r="B2759" t="s">
        <v>13</v>
      </c>
      <c r="C2759">
        <v>2148</v>
      </c>
      <c r="D2759">
        <v>36.520000000000003</v>
      </c>
      <c r="E2759">
        <v>6.57</v>
      </c>
      <c r="F2759">
        <f>COUNTIFS(mdr_rate_cleaned!$A$2:$A$10,B2759,mdr_rate_cleaned!$B$2:$B$10,"&lt;"&amp;C2759,mdr_rate_cleaned!$F$2:$F$10,"&gt;="&amp;C2759)</f>
        <v>1</v>
      </c>
      <c r="G2759">
        <v>1.7000000000000001E-2</v>
      </c>
      <c r="H2759">
        <v>36.520000000000003</v>
      </c>
      <c r="I2759" t="s">
        <v>15</v>
      </c>
      <c r="J2759" t="s">
        <v>15</v>
      </c>
      <c r="K2759">
        <v>6.57</v>
      </c>
      <c r="L2759">
        <v>0</v>
      </c>
    </row>
    <row r="2760" spans="1:12" x14ac:dyDescent="0.3">
      <c r="A2760" t="s">
        <v>2776</v>
      </c>
      <c r="B2760" t="s">
        <v>17</v>
      </c>
      <c r="C2760">
        <v>799</v>
      </c>
      <c r="D2760">
        <v>14.38</v>
      </c>
      <c r="E2760">
        <v>2.59</v>
      </c>
      <c r="F2760">
        <f>COUNTIFS(mdr_rate_cleaned!$A$2:$A$10,B2760,mdr_rate_cleaned!$B$2:$B$10,"&lt;"&amp;C2760,mdr_rate_cleaned!$F$2:$F$10,"&gt;="&amp;C2760)</f>
        <v>1</v>
      </c>
      <c r="G2760">
        <v>1.7999999999999999E-2</v>
      </c>
      <c r="H2760">
        <v>14.38</v>
      </c>
      <c r="I2760" t="s">
        <v>15</v>
      </c>
      <c r="J2760" t="s">
        <v>15</v>
      </c>
      <c r="K2760">
        <v>2.59</v>
      </c>
      <c r="L2760">
        <v>0</v>
      </c>
    </row>
    <row r="2761" spans="1:12" x14ac:dyDescent="0.3">
      <c r="A2761" t="s">
        <v>2777</v>
      </c>
      <c r="B2761" t="s">
        <v>21</v>
      </c>
      <c r="C2761">
        <v>1798</v>
      </c>
      <c r="D2761">
        <v>0</v>
      </c>
      <c r="E2761">
        <v>0</v>
      </c>
      <c r="F2761">
        <f>COUNTIFS(mdr_rate_cleaned!$A$2:$A$10,B2761,mdr_rate_cleaned!$B$2:$B$10,"&lt;"&amp;C2761,mdr_rate_cleaned!$F$2:$F$10,"&gt;="&amp;C2761)</f>
        <v>1</v>
      </c>
      <c r="G2761">
        <v>0</v>
      </c>
      <c r="H2761">
        <v>0</v>
      </c>
      <c r="I2761" t="s">
        <v>15</v>
      </c>
      <c r="J2761" t="s">
        <v>15</v>
      </c>
      <c r="K2761">
        <v>0</v>
      </c>
      <c r="L2761">
        <v>0</v>
      </c>
    </row>
    <row r="2762" spans="1:12" x14ac:dyDescent="0.3">
      <c r="A2762" t="s">
        <v>2778</v>
      </c>
      <c r="B2762" t="s">
        <v>39</v>
      </c>
      <c r="C2762">
        <v>7999</v>
      </c>
      <c r="D2762">
        <v>95.99</v>
      </c>
      <c r="E2762">
        <v>17.28</v>
      </c>
      <c r="F2762">
        <f>COUNTIFS(mdr_rate_cleaned!$A$2:$A$10,B2762,mdr_rate_cleaned!$B$2:$B$10,"&lt;"&amp;C2762,mdr_rate_cleaned!$F$2:$F$10,"&gt;="&amp;C2762)</f>
        <v>1</v>
      </c>
      <c r="G2762">
        <v>1.2E-2</v>
      </c>
      <c r="H2762">
        <v>95.99</v>
      </c>
      <c r="I2762" t="s">
        <v>15</v>
      </c>
      <c r="J2762" t="s">
        <v>15</v>
      </c>
      <c r="K2762">
        <v>17.28</v>
      </c>
      <c r="L2762">
        <v>0</v>
      </c>
    </row>
    <row r="2763" spans="1:12" x14ac:dyDescent="0.3">
      <c r="A2763" t="s">
        <v>2779</v>
      </c>
      <c r="B2763" t="s">
        <v>21</v>
      </c>
      <c r="C2763">
        <v>7999</v>
      </c>
      <c r="D2763">
        <v>24</v>
      </c>
      <c r="E2763">
        <v>4.32</v>
      </c>
      <c r="F2763">
        <f>COUNTIFS(mdr_rate_cleaned!$A$2:$A$10,B2763,mdr_rate_cleaned!$B$2:$B$10,"&lt;"&amp;C2763,mdr_rate_cleaned!$F$2:$F$10,"&gt;="&amp;C2763)</f>
        <v>1</v>
      </c>
      <c r="G2763">
        <v>3.0000000000000001E-3</v>
      </c>
      <c r="H2763">
        <v>24</v>
      </c>
      <c r="I2763" t="s">
        <v>15</v>
      </c>
      <c r="J2763" t="s">
        <v>15</v>
      </c>
      <c r="K2763">
        <v>4.32</v>
      </c>
      <c r="L2763">
        <v>0</v>
      </c>
    </row>
    <row r="2764" spans="1:12" x14ac:dyDescent="0.3">
      <c r="A2764" t="s">
        <v>2780</v>
      </c>
      <c r="B2764" t="s">
        <v>21</v>
      </c>
      <c r="C2764">
        <v>799</v>
      </c>
      <c r="D2764">
        <v>0</v>
      </c>
      <c r="E2764">
        <v>0</v>
      </c>
      <c r="F2764">
        <f>COUNTIFS(mdr_rate_cleaned!$A$2:$A$10,B2764,mdr_rate_cleaned!$B$2:$B$10,"&lt;"&amp;C2764,mdr_rate_cleaned!$F$2:$F$10,"&gt;="&amp;C2764)</f>
        <v>1</v>
      </c>
      <c r="G2764">
        <v>0</v>
      </c>
      <c r="H2764">
        <v>0</v>
      </c>
      <c r="I2764" t="s">
        <v>15</v>
      </c>
      <c r="J2764" t="s">
        <v>15</v>
      </c>
      <c r="K2764">
        <v>0</v>
      </c>
      <c r="L2764">
        <v>0</v>
      </c>
    </row>
    <row r="2765" spans="1:12" x14ac:dyDescent="0.3">
      <c r="A2765" t="s">
        <v>2781</v>
      </c>
      <c r="B2765" t="s">
        <v>21</v>
      </c>
      <c r="C2765">
        <v>11847</v>
      </c>
      <c r="D2765">
        <v>35.54</v>
      </c>
      <c r="E2765">
        <v>6.4</v>
      </c>
      <c r="F2765">
        <f>COUNTIFS(mdr_rate_cleaned!$A$2:$A$10,B2765,mdr_rate_cleaned!$B$2:$B$10,"&lt;"&amp;C2765,mdr_rate_cleaned!$F$2:$F$10,"&gt;="&amp;C2765)</f>
        <v>1</v>
      </c>
      <c r="G2765">
        <v>3.0000000000000001E-3</v>
      </c>
      <c r="H2765">
        <v>35.54</v>
      </c>
      <c r="I2765" t="s">
        <v>15</v>
      </c>
      <c r="J2765" t="s">
        <v>15</v>
      </c>
      <c r="K2765">
        <v>6.4</v>
      </c>
      <c r="L2765">
        <v>0</v>
      </c>
    </row>
    <row r="2766" spans="1:12" x14ac:dyDescent="0.3">
      <c r="A2766" t="s">
        <v>2782</v>
      </c>
      <c r="B2766" t="s">
        <v>17</v>
      </c>
      <c r="C2766">
        <v>7998</v>
      </c>
      <c r="D2766">
        <v>127.97</v>
      </c>
      <c r="E2766">
        <v>23.03</v>
      </c>
      <c r="F2766">
        <f>COUNTIFS(mdr_rate_cleaned!$A$2:$A$10,B2766,mdr_rate_cleaned!$B$2:$B$10,"&lt;"&amp;C2766,mdr_rate_cleaned!$F$2:$F$10,"&gt;="&amp;C2766)</f>
        <v>1</v>
      </c>
      <c r="G2766">
        <v>1.6E-2</v>
      </c>
      <c r="H2766">
        <v>127.97</v>
      </c>
      <c r="I2766" t="s">
        <v>15</v>
      </c>
      <c r="J2766" t="s">
        <v>15</v>
      </c>
      <c r="K2766">
        <v>23.03</v>
      </c>
      <c r="L2766">
        <v>0</v>
      </c>
    </row>
    <row r="2767" spans="1:12" x14ac:dyDescent="0.3">
      <c r="A2767" t="s">
        <v>2783</v>
      </c>
      <c r="B2767" t="s">
        <v>13</v>
      </c>
      <c r="C2767">
        <v>1499</v>
      </c>
      <c r="D2767">
        <v>28.48</v>
      </c>
      <c r="E2767">
        <v>5.13</v>
      </c>
      <c r="F2767">
        <f>COUNTIFS(mdr_rate_cleaned!$A$2:$A$10,B2767,mdr_rate_cleaned!$B$2:$B$10,"&lt;"&amp;C2767,mdr_rate_cleaned!$F$2:$F$10,"&gt;="&amp;C2767)</f>
        <v>1</v>
      </c>
      <c r="G2767">
        <v>1.9E-2</v>
      </c>
      <c r="H2767">
        <v>28.48</v>
      </c>
      <c r="I2767" t="s">
        <v>15</v>
      </c>
      <c r="J2767" t="s">
        <v>15</v>
      </c>
      <c r="K2767">
        <v>5.13</v>
      </c>
      <c r="L2767">
        <v>0</v>
      </c>
    </row>
    <row r="2768" spans="1:12" x14ac:dyDescent="0.3">
      <c r="A2768" t="s">
        <v>2784</v>
      </c>
      <c r="B2768" t="s">
        <v>39</v>
      </c>
      <c r="C2768">
        <v>4999</v>
      </c>
      <c r="D2768">
        <v>59.99</v>
      </c>
      <c r="E2768">
        <v>10.8</v>
      </c>
      <c r="F2768">
        <f>COUNTIFS(mdr_rate_cleaned!$A$2:$A$10,B2768,mdr_rate_cleaned!$B$2:$B$10,"&lt;"&amp;C2768,mdr_rate_cleaned!$F$2:$F$10,"&gt;="&amp;C2768)</f>
        <v>1</v>
      </c>
      <c r="G2768">
        <v>1.2E-2</v>
      </c>
      <c r="H2768">
        <v>59.99</v>
      </c>
      <c r="I2768" t="s">
        <v>15</v>
      </c>
      <c r="J2768" t="s">
        <v>15</v>
      </c>
      <c r="K2768">
        <v>10.8</v>
      </c>
      <c r="L2768">
        <v>0</v>
      </c>
    </row>
    <row r="2769" spans="1:12" x14ac:dyDescent="0.3">
      <c r="A2769" t="s">
        <v>2785</v>
      </c>
      <c r="B2769" t="s">
        <v>21</v>
      </c>
      <c r="C2769">
        <v>1499</v>
      </c>
      <c r="D2769">
        <v>0</v>
      </c>
      <c r="E2769">
        <v>0</v>
      </c>
      <c r="F2769">
        <f>COUNTIFS(mdr_rate_cleaned!$A$2:$A$10,B2769,mdr_rate_cleaned!$B$2:$B$10,"&lt;"&amp;C2769,mdr_rate_cleaned!$F$2:$F$10,"&gt;="&amp;C2769)</f>
        <v>1</v>
      </c>
      <c r="G2769">
        <v>0</v>
      </c>
      <c r="H2769">
        <v>0</v>
      </c>
      <c r="I2769" t="s">
        <v>15</v>
      </c>
      <c r="J2769" t="s">
        <v>15</v>
      </c>
      <c r="K2769">
        <v>0</v>
      </c>
      <c r="L2769">
        <v>0</v>
      </c>
    </row>
    <row r="2770" spans="1:12" x14ac:dyDescent="0.3">
      <c r="A2770" t="s">
        <v>2786</v>
      </c>
      <c r="B2770" t="s">
        <v>21</v>
      </c>
      <c r="C2770">
        <v>499</v>
      </c>
      <c r="D2770">
        <v>0</v>
      </c>
      <c r="E2770">
        <v>0</v>
      </c>
      <c r="F2770">
        <f>COUNTIFS(mdr_rate_cleaned!$A$2:$A$10,B2770,mdr_rate_cleaned!$B$2:$B$10,"&lt;"&amp;C2770,mdr_rate_cleaned!$F$2:$F$10,"&gt;="&amp;C2770)</f>
        <v>1</v>
      </c>
      <c r="G2770">
        <v>0</v>
      </c>
      <c r="H2770">
        <v>0</v>
      </c>
      <c r="I2770" t="s">
        <v>15</v>
      </c>
      <c r="J2770" t="s">
        <v>15</v>
      </c>
      <c r="K2770">
        <v>0</v>
      </c>
      <c r="L2770">
        <v>0</v>
      </c>
    </row>
    <row r="2771" spans="1:12" x14ac:dyDescent="0.3">
      <c r="A2771" t="s">
        <v>2787</v>
      </c>
      <c r="B2771" t="s">
        <v>39</v>
      </c>
      <c r="C2771">
        <v>2347</v>
      </c>
      <c r="D2771">
        <v>28.16</v>
      </c>
      <c r="E2771">
        <v>5.07</v>
      </c>
      <c r="F2771">
        <f>COUNTIFS(mdr_rate_cleaned!$A$2:$A$10,B2771,mdr_rate_cleaned!$B$2:$B$10,"&lt;"&amp;C2771,mdr_rate_cleaned!$F$2:$F$10,"&gt;="&amp;C2771)</f>
        <v>1</v>
      </c>
      <c r="G2771">
        <v>1.2E-2</v>
      </c>
      <c r="H2771">
        <v>28.16</v>
      </c>
      <c r="I2771" t="s">
        <v>15</v>
      </c>
      <c r="J2771" t="s">
        <v>15</v>
      </c>
      <c r="K2771">
        <v>5.07</v>
      </c>
      <c r="L2771">
        <v>0</v>
      </c>
    </row>
    <row r="2772" spans="1:12" x14ac:dyDescent="0.3">
      <c r="A2772" t="s">
        <v>2788</v>
      </c>
      <c r="B2772" t="s">
        <v>13</v>
      </c>
      <c r="C2772">
        <v>799</v>
      </c>
      <c r="D2772">
        <v>15.18</v>
      </c>
      <c r="E2772">
        <v>2.73</v>
      </c>
      <c r="F2772">
        <f>COUNTIFS(mdr_rate_cleaned!$A$2:$A$10,B2772,mdr_rate_cleaned!$B$2:$B$10,"&lt;"&amp;C2772,mdr_rate_cleaned!$F$2:$F$10,"&gt;="&amp;C2772)</f>
        <v>1</v>
      </c>
      <c r="G2772">
        <v>1.9E-2</v>
      </c>
      <c r="H2772">
        <v>15.18</v>
      </c>
      <c r="I2772" t="s">
        <v>15</v>
      </c>
      <c r="J2772" t="s">
        <v>15</v>
      </c>
      <c r="K2772">
        <v>2.73</v>
      </c>
      <c r="L2772">
        <v>0</v>
      </c>
    </row>
    <row r="2773" spans="1:12" x14ac:dyDescent="0.3">
      <c r="A2773" t="s">
        <v>2789</v>
      </c>
      <c r="B2773" t="s">
        <v>13</v>
      </c>
      <c r="C2773">
        <v>799</v>
      </c>
      <c r="D2773">
        <v>15.18</v>
      </c>
      <c r="E2773">
        <v>2.73</v>
      </c>
      <c r="F2773">
        <f>COUNTIFS(mdr_rate_cleaned!$A$2:$A$10,B2773,mdr_rate_cleaned!$B$2:$B$10,"&lt;"&amp;C2773,mdr_rate_cleaned!$F$2:$F$10,"&gt;="&amp;C2773)</f>
        <v>1</v>
      </c>
      <c r="G2773">
        <v>1.9E-2</v>
      </c>
      <c r="H2773">
        <v>15.18</v>
      </c>
      <c r="I2773" t="s">
        <v>15</v>
      </c>
      <c r="J2773" t="s">
        <v>15</v>
      </c>
      <c r="K2773">
        <v>2.73</v>
      </c>
      <c r="L2773">
        <v>0</v>
      </c>
    </row>
    <row r="2774" spans="1:12" x14ac:dyDescent="0.3">
      <c r="A2774" t="s">
        <v>2790</v>
      </c>
      <c r="B2774" t="s">
        <v>17</v>
      </c>
      <c r="C2774">
        <v>5598</v>
      </c>
      <c r="D2774">
        <v>89.57</v>
      </c>
      <c r="E2774">
        <v>16.12</v>
      </c>
      <c r="F2774">
        <f>COUNTIFS(mdr_rate_cleaned!$A$2:$A$10,B2774,mdr_rate_cleaned!$B$2:$B$10,"&lt;"&amp;C2774,mdr_rate_cleaned!$F$2:$F$10,"&gt;="&amp;C2774)</f>
        <v>1</v>
      </c>
      <c r="G2774">
        <v>1.6E-2</v>
      </c>
      <c r="H2774">
        <v>89.57</v>
      </c>
      <c r="I2774" t="s">
        <v>15</v>
      </c>
      <c r="J2774" t="s">
        <v>15</v>
      </c>
      <c r="K2774">
        <v>16.12</v>
      </c>
      <c r="L2774">
        <v>0</v>
      </c>
    </row>
    <row r="2775" spans="1:12" x14ac:dyDescent="0.3">
      <c r="A2775" t="s">
        <v>2791</v>
      </c>
      <c r="B2775" t="s">
        <v>21</v>
      </c>
      <c r="C2775">
        <v>799</v>
      </c>
      <c r="D2775">
        <v>0</v>
      </c>
      <c r="E2775">
        <v>0</v>
      </c>
      <c r="F2775">
        <f>COUNTIFS(mdr_rate_cleaned!$A$2:$A$10,B2775,mdr_rate_cleaned!$B$2:$B$10,"&lt;"&amp;C2775,mdr_rate_cleaned!$F$2:$F$10,"&gt;="&amp;C2775)</f>
        <v>1</v>
      </c>
      <c r="G2775">
        <v>0</v>
      </c>
      <c r="H2775">
        <v>0</v>
      </c>
      <c r="I2775" t="s">
        <v>15</v>
      </c>
      <c r="J2775" t="s">
        <v>15</v>
      </c>
      <c r="K2775">
        <v>0</v>
      </c>
      <c r="L2775">
        <v>0</v>
      </c>
    </row>
    <row r="2776" spans="1:12" x14ac:dyDescent="0.3">
      <c r="A2776" t="s">
        <v>2792</v>
      </c>
      <c r="B2776" t="s">
        <v>17</v>
      </c>
      <c r="C2776">
        <v>1947</v>
      </c>
      <c r="D2776">
        <v>35.049999999999997</v>
      </c>
      <c r="E2776">
        <v>6.31</v>
      </c>
      <c r="F2776">
        <f>COUNTIFS(mdr_rate_cleaned!$A$2:$A$10,B2776,mdr_rate_cleaned!$B$2:$B$10,"&lt;"&amp;C2776,mdr_rate_cleaned!$F$2:$F$10,"&gt;="&amp;C2776)</f>
        <v>1</v>
      </c>
      <c r="G2776">
        <v>1.7999999999999999E-2</v>
      </c>
      <c r="H2776">
        <v>35.049999999999997</v>
      </c>
      <c r="I2776" t="s">
        <v>15</v>
      </c>
      <c r="J2776" t="s">
        <v>15</v>
      </c>
      <c r="K2776">
        <v>6.31</v>
      </c>
      <c r="L2776">
        <v>0</v>
      </c>
    </row>
    <row r="2777" spans="1:12" x14ac:dyDescent="0.3">
      <c r="A2777" t="s">
        <v>2793</v>
      </c>
      <c r="B2777" t="s">
        <v>17</v>
      </c>
      <c r="C2777">
        <v>9097</v>
      </c>
      <c r="D2777">
        <v>145.55000000000001</v>
      </c>
      <c r="E2777">
        <v>26.2</v>
      </c>
      <c r="F2777">
        <f>COUNTIFS(mdr_rate_cleaned!$A$2:$A$10,B2777,mdr_rate_cleaned!$B$2:$B$10,"&lt;"&amp;C2777,mdr_rate_cleaned!$F$2:$F$10,"&gt;="&amp;C2777)</f>
        <v>1</v>
      </c>
      <c r="G2777">
        <v>1.6E-2</v>
      </c>
      <c r="H2777">
        <v>145.55000000000001</v>
      </c>
      <c r="I2777" t="s">
        <v>15</v>
      </c>
      <c r="J2777" t="s">
        <v>15</v>
      </c>
      <c r="K2777">
        <v>26.2</v>
      </c>
      <c r="L2777">
        <v>0</v>
      </c>
    </row>
    <row r="2778" spans="1:12" x14ac:dyDescent="0.3">
      <c r="A2778" t="s">
        <v>2794</v>
      </c>
      <c r="B2778" t="s">
        <v>17</v>
      </c>
      <c r="C2778">
        <v>9498</v>
      </c>
      <c r="D2778">
        <v>151.97</v>
      </c>
      <c r="E2778">
        <v>27.35</v>
      </c>
      <c r="F2778">
        <f>COUNTIFS(mdr_rate_cleaned!$A$2:$A$10,B2778,mdr_rate_cleaned!$B$2:$B$10,"&lt;"&amp;C2778,mdr_rate_cleaned!$F$2:$F$10,"&gt;="&amp;C2778)</f>
        <v>1</v>
      </c>
      <c r="G2778">
        <v>1.6E-2</v>
      </c>
      <c r="H2778">
        <v>151.97</v>
      </c>
      <c r="I2778" t="s">
        <v>15</v>
      </c>
      <c r="J2778" t="s">
        <v>15</v>
      </c>
      <c r="K2778">
        <v>27.35</v>
      </c>
      <c r="L2778">
        <v>0</v>
      </c>
    </row>
    <row r="2779" spans="1:12" x14ac:dyDescent="0.3">
      <c r="A2779" t="s">
        <v>2795</v>
      </c>
      <c r="B2779" t="s">
        <v>21</v>
      </c>
      <c r="C2779">
        <v>4999</v>
      </c>
      <c r="D2779">
        <v>15</v>
      </c>
      <c r="E2779">
        <v>2.7</v>
      </c>
      <c r="F2779">
        <f>COUNTIFS(mdr_rate_cleaned!$A$2:$A$10,B2779,mdr_rate_cleaned!$B$2:$B$10,"&lt;"&amp;C2779,mdr_rate_cleaned!$F$2:$F$10,"&gt;="&amp;C2779)</f>
        <v>1</v>
      </c>
      <c r="G2779">
        <v>3.0000000000000001E-3</v>
      </c>
      <c r="H2779">
        <v>15</v>
      </c>
      <c r="I2779" t="s">
        <v>15</v>
      </c>
      <c r="J2779" t="s">
        <v>15</v>
      </c>
      <c r="K2779">
        <v>2.7</v>
      </c>
      <c r="L2779">
        <v>0</v>
      </c>
    </row>
    <row r="2780" spans="1:12" x14ac:dyDescent="0.3">
      <c r="A2780" t="s">
        <v>2796</v>
      </c>
      <c r="B2780" t="s">
        <v>21</v>
      </c>
      <c r="C2780">
        <v>5998</v>
      </c>
      <c r="D2780">
        <v>17.989999999999998</v>
      </c>
      <c r="E2780">
        <v>3.24</v>
      </c>
      <c r="F2780">
        <f>COUNTIFS(mdr_rate_cleaned!$A$2:$A$10,B2780,mdr_rate_cleaned!$B$2:$B$10,"&lt;"&amp;C2780,mdr_rate_cleaned!$F$2:$F$10,"&gt;="&amp;C2780)</f>
        <v>1</v>
      </c>
      <c r="G2780">
        <v>3.0000000000000001E-3</v>
      </c>
      <c r="H2780">
        <v>17.989999999999998</v>
      </c>
      <c r="I2780" t="s">
        <v>15</v>
      </c>
      <c r="J2780" t="s">
        <v>15</v>
      </c>
      <c r="K2780">
        <v>3.24</v>
      </c>
      <c r="L2780">
        <v>0</v>
      </c>
    </row>
    <row r="2781" spans="1:12" x14ac:dyDescent="0.3">
      <c r="A2781" t="s">
        <v>2797</v>
      </c>
      <c r="B2781" t="s">
        <v>21</v>
      </c>
      <c r="C2781">
        <v>1848</v>
      </c>
      <c r="D2781">
        <v>0</v>
      </c>
      <c r="E2781">
        <v>0</v>
      </c>
      <c r="F2781">
        <f>COUNTIFS(mdr_rate_cleaned!$A$2:$A$10,B2781,mdr_rate_cleaned!$B$2:$B$10,"&lt;"&amp;C2781,mdr_rate_cleaned!$F$2:$F$10,"&gt;="&amp;C2781)</f>
        <v>1</v>
      </c>
      <c r="G2781">
        <v>0</v>
      </c>
      <c r="H2781">
        <v>0</v>
      </c>
      <c r="I2781" t="s">
        <v>15</v>
      </c>
      <c r="J2781" t="s">
        <v>15</v>
      </c>
      <c r="K2781">
        <v>0</v>
      </c>
      <c r="L2781">
        <v>0</v>
      </c>
    </row>
    <row r="2782" spans="1:12" x14ac:dyDescent="0.3">
      <c r="A2782" t="s">
        <v>2798</v>
      </c>
      <c r="B2782" t="s">
        <v>21</v>
      </c>
      <c r="C2782">
        <v>3499</v>
      </c>
      <c r="D2782">
        <v>10.5</v>
      </c>
      <c r="E2782">
        <v>1.89</v>
      </c>
      <c r="F2782">
        <f>COUNTIFS(mdr_rate_cleaned!$A$2:$A$10,B2782,mdr_rate_cleaned!$B$2:$B$10,"&lt;"&amp;C2782,mdr_rate_cleaned!$F$2:$F$10,"&gt;="&amp;C2782)</f>
        <v>1</v>
      </c>
      <c r="G2782">
        <v>3.0000000000000001E-3</v>
      </c>
      <c r="H2782">
        <v>10.5</v>
      </c>
      <c r="I2782" t="s">
        <v>15</v>
      </c>
      <c r="J2782" t="s">
        <v>15</v>
      </c>
      <c r="K2782">
        <v>1.89</v>
      </c>
      <c r="L2782">
        <v>0</v>
      </c>
    </row>
    <row r="2783" spans="1:12" x14ac:dyDescent="0.3">
      <c r="A2783" t="s">
        <v>2799</v>
      </c>
      <c r="B2783" t="s">
        <v>21</v>
      </c>
      <c r="C2783">
        <v>1499</v>
      </c>
      <c r="D2783">
        <v>0</v>
      </c>
      <c r="E2783">
        <v>0</v>
      </c>
      <c r="F2783">
        <f>COUNTIFS(mdr_rate_cleaned!$A$2:$A$10,B2783,mdr_rate_cleaned!$B$2:$B$10,"&lt;"&amp;C2783,mdr_rate_cleaned!$F$2:$F$10,"&gt;="&amp;C2783)</f>
        <v>1</v>
      </c>
      <c r="G2783">
        <v>0</v>
      </c>
      <c r="H2783">
        <v>0</v>
      </c>
      <c r="I2783" t="s">
        <v>15</v>
      </c>
      <c r="J2783" t="s">
        <v>15</v>
      </c>
      <c r="K2783">
        <v>0</v>
      </c>
      <c r="L2783">
        <v>0</v>
      </c>
    </row>
    <row r="2784" spans="1:12" x14ac:dyDescent="0.3">
      <c r="A2784" t="s">
        <v>2800</v>
      </c>
      <c r="B2784" t="s">
        <v>17</v>
      </c>
      <c r="C2784">
        <v>4999</v>
      </c>
      <c r="D2784">
        <v>79.98</v>
      </c>
      <c r="E2784">
        <v>14.4</v>
      </c>
      <c r="F2784">
        <f>COUNTIFS(mdr_rate_cleaned!$A$2:$A$10,B2784,mdr_rate_cleaned!$B$2:$B$10,"&lt;"&amp;C2784,mdr_rate_cleaned!$F$2:$F$10,"&gt;="&amp;C2784)</f>
        <v>1</v>
      </c>
      <c r="G2784">
        <v>1.6E-2</v>
      </c>
      <c r="H2784">
        <v>79.98</v>
      </c>
      <c r="I2784" t="s">
        <v>15</v>
      </c>
      <c r="J2784" t="s">
        <v>15</v>
      </c>
      <c r="K2784">
        <v>14.4</v>
      </c>
      <c r="L2784">
        <v>0</v>
      </c>
    </row>
    <row r="2785" spans="1:12" x14ac:dyDescent="0.3">
      <c r="A2785" t="s">
        <v>2801</v>
      </c>
      <c r="B2785" t="s">
        <v>17</v>
      </c>
      <c r="C2785">
        <v>6797</v>
      </c>
      <c r="D2785">
        <v>108.75</v>
      </c>
      <c r="E2785">
        <v>19.579999999999998</v>
      </c>
      <c r="F2785">
        <f>COUNTIFS(mdr_rate_cleaned!$A$2:$A$10,B2785,mdr_rate_cleaned!$B$2:$B$10,"&lt;"&amp;C2785,mdr_rate_cleaned!$F$2:$F$10,"&gt;="&amp;C2785)</f>
        <v>1</v>
      </c>
      <c r="G2785">
        <v>1.6E-2</v>
      </c>
      <c r="H2785">
        <v>108.75</v>
      </c>
      <c r="I2785" t="s">
        <v>15</v>
      </c>
      <c r="J2785" t="s">
        <v>15</v>
      </c>
      <c r="K2785">
        <v>19.579999999999998</v>
      </c>
      <c r="L2785">
        <v>0</v>
      </c>
    </row>
    <row r="2786" spans="1:12" x14ac:dyDescent="0.3">
      <c r="A2786" t="s">
        <v>2802</v>
      </c>
      <c r="B2786" t="s">
        <v>21</v>
      </c>
      <c r="C2786">
        <v>3598</v>
      </c>
      <c r="D2786">
        <v>10.79</v>
      </c>
      <c r="E2786">
        <v>1.94</v>
      </c>
      <c r="F2786">
        <f>COUNTIFS(mdr_rate_cleaned!$A$2:$A$10,B2786,mdr_rate_cleaned!$B$2:$B$10,"&lt;"&amp;C2786,mdr_rate_cleaned!$F$2:$F$10,"&gt;="&amp;C2786)</f>
        <v>1</v>
      </c>
      <c r="G2786">
        <v>3.0000000000000001E-3</v>
      </c>
      <c r="H2786">
        <v>10.79</v>
      </c>
      <c r="I2786" t="s">
        <v>15</v>
      </c>
      <c r="J2786" t="s">
        <v>15</v>
      </c>
      <c r="K2786">
        <v>1.94</v>
      </c>
      <c r="L2786">
        <v>0</v>
      </c>
    </row>
    <row r="2787" spans="1:12" x14ac:dyDescent="0.3">
      <c r="A2787" t="s">
        <v>2803</v>
      </c>
      <c r="B2787" t="s">
        <v>21</v>
      </c>
      <c r="C2787">
        <v>1697</v>
      </c>
      <c r="D2787">
        <v>0</v>
      </c>
      <c r="E2787">
        <v>0</v>
      </c>
      <c r="F2787">
        <f>COUNTIFS(mdr_rate_cleaned!$A$2:$A$10,B2787,mdr_rate_cleaned!$B$2:$B$10,"&lt;"&amp;C2787,mdr_rate_cleaned!$F$2:$F$10,"&gt;="&amp;C2787)</f>
        <v>1</v>
      </c>
      <c r="G2787">
        <v>0</v>
      </c>
      <c r="H2787">
        <v>0</v>
      </c>
      <c r="I2787" t="s">
        <v>15</v>
      </c>
      <c r="J2787" t="s">
        <v>15</v>
      </c>
      <c r="K2787">
        <v>0</v>
      </c>
      <c r="L2787">
        <v>0</v>
      </c>
    </row>
    <row r="2788" spans="1:12" x14ac:dyDescent="0.3">
      <c r="A2788" t="s">
        <v>2804</v>
      </c>
      <c r="B2788" t="s">
        <v>39</v>
      </c>
      <c r="C2788">
        <v>5998</v>
      </c>
      <c r="D2788">
        <v>71.98</v>
      </c>
      <c r="E2788">
        <v>12.96</v>
      </c>
      <c r="F2788">
        <f>COUNTIFS(mdr_rate_cleaned!$A$2:$A$10,B2788,mdr_rate_cleaned!$B$2:$B$10,"&lt;"&amp;C2788,mdr_rate_cleaned!$F$2:$F$10,"&gt;="&amp;C2788)</f>
        <v>1</v>
      </c>
      <c r="G2788">
        <v>1.2E-2</v>
      </c>
      <c r="H2788">
        <v>71.98</v>
      </c>
      <c r="I2788" t="s">
        <v>15</v>
      </c>
      <c r="J2788" t="s">
        <v>15</v>
      </c>
      <c r="K2788">
        <v>12.96</v>
      </c>
      <c r="L2788">
        <v>0</v>
      </c>
    </row>
    <row r="2789" spans="1:12" x14ac:dyDescent="0.3">
      <c r="A2789" t="s">
        <v>2805</v>
      </c>
      <c r="B2789" t="s">
        <v>13</v>
      </c>
      <c r="C2789">
        <v>698</v>
      </c>
      <c r="D2789">
        <v>13.26</v>
      </c>
      <c r="E2789">
        <v>2.39</v>
      </c>
      <c r="F2789">
        <f>COUNTIFS(mdr_rate_cleaned!$A$2:$A$10,B2789,mdr_rate_cleaned!$B$2:$B$10,"&lt;"&amp;C2789,mdr_rate_cleaned!$F$2:$F$10,"&gt;="&amp;C2789)</f>
        <v>1</v>
      </c>
      <c r="G2789">
        <v>1.9E-2</v>
      </c>
      <c r="H2789">
        <v>13.26</v>
      </c>
      <c r="I2789" t="s">
        <v>15</v>
      </c>
      <c r="J2789" t="s">
        <v>15</v>
      </c>
      <c r="K2789">
        <v>2.39</v>
      </c>
      <c r="L2789">
        <v>0</v>
      </c>
    </row>
    <row r="2790" spans="1:12" x14ac:dyDescent="0.3">
      <c r="A2790" t="s">
        <v>2806</v>
      </c>
      <c r="B2790" t="s">
        <v>13</v>
      </c>
      <c r="C2790">
        <v>1499</v>
      </c>
      <c r="D2790">
        <v>28.48</v>
      </c>
      <c r="E2790">
        <v>5.13</v>
      </c>
      <c r="F2790">
        <f>COUNTIFS(mdr_rate_cleaned!$A$2:$A$10,B2790,mdr_rate_cleaned!$B$2:$B$10,"&lt;"&amp;C2790,mdr_rate_cleaned!$F$2:$F$10,"&gt;="&amp;C2790)</f>
        <v>1</v>
      </c>
      <c r="G2790">
        <v>1.9E-2</v>
      </c>
      <c r="H2790">
        <v>28.48</v>
      </c>
      <c r="I2790" t="s">
        <v>15</v>
      </c>
      <c r="J2790" t="s">
        <v>15</v>
      </c>
      <c r="K2790">
        <v>5.13</v>
      </c>
      <c r="L2790">
        <v>0</v>
      </c>
    </row>
    <row r="2791" spans="1:12" x14ac:dyDescent="0.3">
      <c r="A2791" t="s">
        <v>2807</v>
      </c>
      <c r="B2791" t="s">
        <v>21</v>
      </c>
      <c r="C2791">
        <v>1648</v>
      </c>
      <c r="D2791">
        <v>0</v>
      </c>
      <c r="E2791">
        <v>0</v>
      </c>
      <c r="F2791">
        <f>COUNTIFS(mdr_rate_cleaned!$A$2:$A$10,B2791,mdr_rate_cleaned!$B$2:$B$10,"&lt;"&amp;C2791,mdr_rate_cleaned!$F$2:$F$10,"&gt;="&amp;C2791)</f>
        <v>1</v>
      </c>
      <c r="G2791">
        <v>0</v>
      </c>
      <c r="H2791">
        <v>0</v>
      </c>
      <c r="I2791" t="s">
        <v>15</v>
      </c>
      <c r="J2791" t="s">
        <v>15</v>
      </c>
      <c r="K2791">
        <v>0</v>
      </c>
      <c r="L2791">
        <v>0</v>
      </c>
    </row>
    <row r="2792" spans="1:12" x14ac:dyDescent="0.3">
      <c r="A2792" t="s">
        <v>2808</v>
      </c>
      <c r="B2792" t="s">
        <v>21</v>
      </c>
      <c r="C2792">
        <v>1098</v>
      </c>
      <c r="D2792">
        <v>0</v>
      </c>
      <c r="E2792">
        <v>0</v>
      </c>
      <c r="F2792">
        <f>COUNTIFS(mdr_rate_cleaned!$A$2:$A$10,B2792,mdr_rate_cleaned!$B$2:$B$10,"&lt;"&amp;C2792,mdr_rate_cleaned!$F$2:$F$10,"&gt;="&amp;C2792)</f>
        <v>1</v>
      </c>
      <c r="G2792">
        <v>0</v>
      </c>
      <c r="H2792">
        <v>0</v>
      </c>
      <c r="I2792" t="s">
        <v>15</v>
      </c>
      <c r="J2792" t="s">
        <v>15</v>
      </c>
      <c r="K2792">
        <v>0</v>
      </c>
      <c r="L2792">
        <v>0</v>
      </c>
    </row>
    <row r="2793" spans="1:12" x14ac:dyDescent="0.3">
      <c r="A2793" t="s">
        <v>2809</v>
      </c>
      <c r="B2793" t="s">
        <v>21</v>
      </c>
      <c r="C2793">
        <v>349</v>
      </c>
      <c r="D2793">
        <v>0</v>
      </c>
      <c r="E2793">
        <v>0</v>
      </c>
      <c r="F2793">
        <f>COUNTIFS(mdr_rate_cleaned!$A$2:$A$10,B2793,mdr_rate_cleaned!$B$2:$B$10,"&lt;"&amp;C2793,mdr_rate_cleaned!$F$2:$F$10,"&gt;="&amp;C2793)</f>
        <v>1</v>
      </c>
      <c r="G2793">
        <v>0</v>
      </c>
      <c r="H2793">
        <v>0</v>
      </c>
      <c r="I2793" t="s">
        <v>15</v>
      </c>
      <c r="J2793" t="s">
        <v>15</v>
      </c>
      <c r="K2793">
        <v>0</v>
      </c>
      <c r="L2793">
        <v>0</v>
      </c>
    </row>
    <row r="2794" spans="1:12" x14ac:dyDescent="0.3">
      <c r="A2794" t="s">
        <v>2810</v>
      </c>
      <c r="B2794" t="s">
        <v>17</v>
      </c>
      <c r="C2794">
        <v>4298</v>
      </c>
      <c r="D2794">
        <v>68.77</v>
      </c>
      <c r="E2794">
        <v>12.38</v>
      </c>
      <c r="F2794">
        <f>COUNTIFS(mdr_rate_cleaned!$A$2:$A$10,B2794,mdr_rate_cleaned!$B$2:$B$10,"&lt;"&amp;C2794,mdr_rate_cleaned!$F$2:$F$10,"&gt;="&amp;C2794)</f>
        <v>1</v>
      </c>
      <c r="G2794">
        <v>1.6E-2</v>
      </c>
      <c r="H2794">
        <v>68.77</v>
      </c>
      <c r="I2794" t="s">
        <v>15</v>
      </c>
      <c r="J2794" t="s">
        <v>15</v>
      </c>
      <c r="K2794">
        <v>12.38</v>
      </c>
      <c r="L2794">
        <v>0</v>
      </c>
    </row>
    <row r="2795" spans="1:12" x14ac:dyDescent="0.3">
      <c r="A2795" t="s">
        <v>2811</v>
      </c>
      <c r="B2795" t="s">
        <v>13</v>
      </c>
      <c r="C2795">
        <v>1499</v>
      </c>
      <c r="D2795">
        <v>28.48</v>
      </c>
      <c r="E2795">
        <v>5.13</v>
      </c>
      <c r="F2795">
        <f>COUNTIFS(mdr_rate_cleaned!$A$2:$A$10,B2795,mdr_rate_cleaned!$B$2:$B$10,"&lt;"&amp;C2795,mdr_rate_cleaned!$F$2:$F$10,"&gt;="&amp;C2795)</f>
        <v>1</v>
      </c>
      <c r="G2795">
        <v>1.9E-2</v>
      </c>
      <c r="H2795">
        <v>28.48</v>
      </c>
      <c r="I2795" t="s">
        <v>15</v>
      </c>
      <c r="J2795" t="s">
        <v>15</v>
      </c>
      <c r="K2795">
        <v>5.13</v>
      </c>
      <c r="L2795">
        <v>0</v>
      </c>
    </row>
    <row r="2796" spans="1:12" x14ac:dyDescent="0.3">
      <c r="A2796" t="s">
        <v>2812</v>
      </c>
      <c r="B2796" t="s">
        <v>21</v>
      </c>
      <c r="C2796">
        <v>3998</v>
      </c>
      <c r="D2796">
        <v>11.99</v>
      </c>
      <c r="E2796">
        <v>2.16</v>
      </c>
      <c r="F2796">
        <f>COUNTIFS(mdr_rate_cleaned!$A$2:$A$10,B2796,mdr_rate_cleaned!$B$2:$B$10,"&lt;"&amp;C2796,mdr_rate_cleaned!$F$2:$F$10,"&gt;="&amp;C2796)</f>
        <v>1</v>
      </c>
      <c r="G2796">
        <v>3.0000000000000001E-3</v>
      </c>
      <c r="H2796">
        <v>11.99</v>
      </c>
      <c r="I2796" t="s">
        <v>15</v>
      </c>
      <c r="J2796" t="s">
        <v>15</v>
      </c>
      <c r="K2796">
        <v>2.16</v>
      </c>
      <c r="L2796">
        <v>0</v>
      </c>
    </row>
    <row r="2797" spans="1:12" x14ac:dyDescent="0.3">
      <c r="A2797" t="s">
        <v>2813</v>
      </c>
      <c r="B2797" t="s">
        <v>17</v>
      </c>
      <c r="C2797">
        <v>599</v>
      </c>
      <c r="D2797">
        <v>10.78</v>
      </c>
      <c r="E2797">
        <v>1.94</v>
      </c>
      <c r="F2797">
        <f>COUNTIFS(mdr_rate_cleaned!$A$2:$A$10,B2797,mdr_rate_cleaned!$B$2:$B$10,"&lt;"&amp;C2797,mdr_rate_cleaned!$F$2:$F$10,"&gt;="&amp;C2797)</f>
        <v>1</v>
      </c>
      <c r="G2797">
        <v>1.7999999999999999E-2</v>
      </c>
      <c r="H2797">
        <v>10.78</v>
      </c>
      <c r="I2797" t="s">
        <v>15</v>
      </c>
      <c r="J2797" t="s">
        <v>15</v>
      </c>
      <c r="K2797">
        <v>1.94</v>
      </c>
      <c r="L2797">
        <v>0</v>
      </c>
    </row>
    <row r="2798" spans="1:12" x14ac:dyDescent="0.3">
      <c r="A2798" t="s">
        <v>2814</v>
      </c>
      <c r="B2798" t="s">
        <v>21</v>
      </c>
      <c r="C2798">
        <v>599</v>
      </c>
      <c r="D2798">
        <v>0</v>
      </c>
      <c r="E2798">
        <v>0</v>
      </c>
      <c r="F2798">
        <f>COUNTIFS(mdr_rate_cleaned!$A$2:$A$10,B2798,mdr_rate_cleaned!$B$2:$B$10,"&lt;"&amp;C2798,mdr_rate_cleaned!$F$2:$F$10,"&gt;="&amp;C2798)</f>
        <v>1</v>
      </c>
      <c r="G2798">
        <v>0</v>
      </c>
      <c r="H2798">
        <v>0</v>
      </c>
      <c r="I2798" t="s">
        <v>15</v>
      </c>
      <c r="J2798" t="s">
        <v>15</v>
      </c>
      <c r="K2798">
        <v>0</v>
      </c>
      <c r="L2798">
        <v>0</v>
      </c>
    </row>
    <row r="2799" spans="1:12" x14ac:dyDescent="0.3">
      <c r="A2799" t="s">
        <v>2815</v>
      </c>
      <c r="B2799" t="s">
        <v>39</v>
      </c>
      <c r="C2799">
        <v>2798</v>
      </c>
      <c r="D2799">
        <v>33.58</v>
      </c>
      <c r="E2799">
        <v>6.04</v>
      </c>
      <c r="F2799">
        <f>COUNTIFS(mdr_rate_cleaned!$A$2:$A$10,B2799,mdr_rate_cleaned!$B$2:$B$10,"&lt;"&amp;C2799,mdr_rate_cleaned!$F$2:$F$10,"&gt;="&amp;C2799)</f>
        <v>1</v>
      </c>
      <c r="G2799">
        <v>1.2E-2</v>
      </c>
      <c r="H2799">
        <v>33.58</v>
      </c>
      <c r="I2799" t="s">
        <v>15</v>
      </c>
      <c r="J2799" t="s">
        <v>15</v>
      </c>
      <c r="K2799">
        <v>6.04</v>
      </c>
      <c r="L2799">
        <v>0</v>
      </c>
    </row>
    <row r="2800" spans="1:12" x14ac:dyDescent="0.3">
      <c r="A2800" t="s">
        <v>2816</v>
      </c>
      <c r="B2800" t="s">
        <v>21</v>
      </c>
      <c r="C2800">
        <v>349</v>
      </c>
      <c r="D2800">
        <v>0</v>
      </c>
      <c r="E2800">
        <v>0</v>
      </c>
      <c r="F2800">
        <f>COUNTIFS(mdr_rate_cleaned!$A$2:$A$10,B2800,mdr_rate_cleaned!$B$2:$B$10,"&lt;"&amp;C2800,mdr_rate_cleaned!$F$2:$F$10,"&gt;="&amp;C2800)</f>
        <v>1</v>
      </c>
      <c r="G2800">
        <v>0</v>
      </c>
      <c r="H2800">
        <v>0</v>
      </c>
      <c r="I2800" t="s">
        <v>15</v>
      </c>
      <c r="J2800" t="s">
        <v>15</v>
      </c>
      <c r="K2800">
        <v>0</v>
      </c>
      <c r="L2800">
        <v>0</v>
      </c>
    </row>
    <row r="2801" spans="1:12" x14ac:dyDescent="0.3">
      <c r="A2801" t="s">
        <v>2817</v>
      </c>
      <c r="B2801" t="s">
        <v>21</v>
      </c>
      <c r="C2801">
        <v>799</v>
      </c>
      <c r="D2801">
        <v>0</v>
      </c>
      <c r="E2801">
        <v>0</v>
      </c>
      <c r="F2801">
        <f>COUNTIFS(mdr_rate_cleaned!$A$2:$A$10,B2801,mdr_rate_cleaned!$B$2:$B$10,"&lt;"&amp;C2801,mdr_rate_cleaned!$F$2:$F$10,"&gt;="&amp;C2801)</f>
        <v>1</v>
      </c>
      <c r="G2801">
        <v>0</v>
      </c>
      <c r="H2801">
        <v>0</v>
      </c>
      <c r="I2801" t="s">
        <v>15</v>
      </c>
      <c r="J2801" t="s">
        <v>15</v>
      </c>
      <c r="K2801">
        <v>0</v>
      </c>
      <c r="L2801">
        <v>0</v>
      </c>
    </row>
    <row r="2802" spans="1:12" x14ac:dyDescent="0.3">
      <c r="A2802" t="s">
        <v>2818</v>
      </c>
      <c r="B2802" t="s">
        <v>21</v>
      </c>
      <c r="C2802">
        <v>2499</v>
      </c>
      <c r="D2802">
        <v>7.5</v>
      </c>
      <c r="E2802">
        <v>1.35</v>
      </c>
      <c r="F2802">
        <f>COUNTIFS(mdr_rate_cleaned!$A$2:$A$10,B2802,mdr_rate_cleaned!$B$2:$B$10,"&lt;"&amp;C2802,mdr_rate_cleaned!$F$2:$F$10,"&gt;="&amp;C2802)</f>
        <v>1</v>
      </c>
      <c r="G2802">
        <v>3.0000000000000001E-3</v>
      </c>
      <c r="H2802">
        <v>7.5</v>
      </c>
      <c r="I2802" t="s">
        <v>15</v>
      </c>
      <c r="J2802" t="s">
        <v>15</v>
      </c>
      <c r="K2802">
        <v>1.35</v>
      </c>
      <c r="L2802">
        <v>0</v>
      </c>
    </row>
    <row r="2803" spans="1:12" x14ac:dyDescent="0.3">
      <c r="A2803" t="s">
        <v>2819</v>
      </c>
      <c r="B2803" t="s">
        <v>17</v>
      </c>
      <c r="C2803">
        <v>1799</v>
      </c>
      <c r="D2803">
        <v>32.380000000000003</v>
      </c>
      <c r="E2803">
        <v>5.83</v>
      </c>
      <c r="F2803">
        <f>COUNTIFS(mdr_rate_cleaned!$A$2:$A$10,B2803,mdr_rate_cleaned!$B$2:$B$10,"&lt;"&amp;C2803,mdr_rate_cleaned!$F$2:$F$10,"&gt;="&amp;C2803)</f>
        <v>1</v>
      </c>
      <c r="G2803">
        <v>1.7999999999999999E-2</v>
      </c>
      <c r="H2803">
        <v>32.380000000000003</v>
      </c>
      <c r="I2803" t="s">
        <v>15</v>
      </c>
      <c r="J2803" t="s">
        <v>15</v>
      </c>
      <c r="K2803">
        <v>5.83</v>
      </c>
      <c r="L2803">
        <v>0</v>
      </c>
    </row>
    <row r="2804" spans="1:12" x14ac:dyDescent="0.3">
      <c r="A2804" t="s">
        <v>2820</v>
      </c>
      <c r="B2804" t="s">
        <v>17</v>
      </c>
      <c r="C2804">
        <v>999</v>
      </c>
      <c r="D2804">
        <v>17.98</v>
      </c>
      <c r="E2804">
        <v>3.24</v>
      </c>
      <c r="F2804">
        <f>COUNTIFS(mdr_rate_cleaned!$A$2:$A$10,B2804,mdr_rate_cleaned!$B$2:$B$10,"&lt;"&amp;C2804,mdr_rate_cleaned!$F$2:$F$10,"&gt;="&amp;C2804)</f>
        <v>1</v>
      </c>
      <c r="G2804">
        <v>1.7999999999999999E-2</v>
      </c>
      <c r="H2804">
        <v>17.98</v>
      </c>
      <c r="I2804" t="s">
        <v>15</v>
      </c>
      <c r="J2804" t="s">
        <v>15</v>
      </c>
      <c r="K2804">
        <v>3.24</v>
      </c>
      <c r="L2804">
        <v>0</v>
      </c>
    </row>
    <row r="2805" spans="1:12" x14ac:dyDescent="0.3">
      <c r="A2805" t="s">
        <v>2821</v>
      </c>
      <c r="B2805" t="s">
        <v>21</v>
      </c>
      <c r="C2805">
        <v>598</v>
      </c>
      <c r="D2805">
        <v>0</v>
      </c>
      <c r="E2805">
        <v>0</v>
      </c>
      <c r="F2805">
        <f>COUNTIFS(mdr_rate_cleaned!$A$2:$A$10,B2805,mdr_rate_cleaned!$B$2:$B$10,"&lt;"&amp;C2805,mdr_rate_cleaned!$F$2:$F$10,"&gt;="&amp;C2805)</f>
        <v>1</v>
      </c>
      <c r="G2805">
        <v>0</v>
      </c>
      <c r="H2805">
        <v>0</v>
      </c>
      <c r="I2805" t="s">
        <v>15</v>
      </c>
      <c r="J2805" t="s">
        <v>15</v>
      </c>
      <c r="K2805">
        <v>0</v>
      </c>
      <c r="L2805">
        <v>0</v>
      </c>
    </row>
    <row r="2806" spans="1:12" x14ac:dyDescent="0.3">
      <c r="A2806" t="s">
        <v>2822</v>
      </c>
      <c r="B2806" t="s">
        <v>21</v>
      </c>
      <c r="C2806">
        <v>1898</v>
      </c>
      <c r="D2806">
        <v>0</v>
      </c>
      <c r="E2806">
        <v>0</v>
      </c>
      <c r="F2806">
        <f>COUNTIFS(mdr_rate_cleaned!$A$2:$A$10,B2806,mdr_rate_cleaned!$B$2:$B$10,"&lt;"&amp;C2806,mdr_rate_cleaned!$F$2:$F$10,"&gt;="&amp;C2806)</f>
        <v>1</v>
      </c>
      <c r="G2806">
        <v>0</v>
      </c>
      <c r="H2806">
        <v>0</v>
      </c>
      <c r="I2806" t="s">
        <v>15</v>
      </c>
      <c r="J2806" t="s">
        <v>15</v>
      </c>
      <c r="K2806">
        <v>0</v>
      </c>
      <c r="L2806">
        <v>0</v>
      </c>
    </row>
    <row r="2807" spans="1:12" x14ac:dyDescent="0.3">
      <c r="A2807" t="s">
        <v>2823</v>
      </c>
      <c r="B2807" t="s">
        <v>17</v>
      </c>
      <c r="C2807">
        <v>2499</v>
      </c>
      <c r="D2807">
        <v>39.979999999999997</v>
      </c>
      <c r="E2807">
        <v>7.2</v>
      </c>
      <c r="F2807">
        <f>COUNTIFS(mdr_rate_cleaned!$A$2:$A$10,B2807,mdr_rate_cleaned!$B$2:$B$10,"&lt;"&amp;C2807,mdr_rate_cleaned!$F$2:$F$10,"&gt;="&amp;C2807)</f>
        <v>1</v>
      </c>
      <c r="G2807">
        <v>1.6E-2</v>
      </c>
      <c r="H2807">
        <v>39.979999999999997</v>
      </c>
      <c r="I2807" t="s">
        <v>15</v>
      </c>
      <c r="J2807" t="s">
        <v>15</v>
      </c>
      <c r="K2807">
        <v>7.2</v>
      </c>
      <c r="L2807">
        <v>0</v>
      </c>
    </row>
    <row r="2808" spans="1:12" x14ac:dyDescent="0.3">
      <c r="A2808" t="s">
        <v>2824</v>
      </c>
      <c r="B2808" t="s">
        <v>17</v>
      </c>
      <c r="C2808">
        <v>999</v>
      </c>
      <c r="D2808">
        <v>17.98</v>
      </c>
      <c r="E2808">
        <v>3.24</v>
      </c>
      <c r="F2808">
        <f>COUNTIFS(mdr_rate_cleaned!$A$2:$A$10,B2808,mdr_rate_cleaned!$B$2:$B$10,"&lt;"&amp;C2808,mdr_rate_cleaned!$F$2:$F$10,"&gt;="&amp;C2808)</f>
        <v>1</v>
      </c>
      <c r="G2808">
        <v>1.7999999999999999E-2</v>
      </c>
      <c r="H2808">
        <v>17.98</v>
      </c>
      <c r="I2808" t="s">
        <v>15</v>
      </c>
      <c r="J2808" t="s">
        <v>15</v>
      </c>
      <c r="K2808">
        <v>3.24</v>
      </c>
      <c r="L2808">
        <v>0</v>
      </c>
    </row>
    <row r="2809" spans="1:12" x14ac:dyDescent="0.3">
      <c r="A2809" t="s">
        <v>2825</v>
      </c>
      <c r="B2809" t="s">
        <v>13</v>
      </c>
      <c r="C2809">
        <v>6798</v>
      </c>
      <c r="D2809">
        <v>115.57</v>
      </c>
      <c r="E2809">
        <v>20.8</v>
      </c>
      <c r="F2809">
        <f>COUNTIFS(mdr_rate_cleaned!$A$2:$A$10,B2809,mdr_rate_cleaned!$B$2:$B$10,"&lt;"&amp;C2809,mdr_rate_cleaned!$F$2:$F$10,"&gt;="&amp;C2809)</f>
        <v>1</v>
      </c>
      <c r="G2809">
        <v>1.7000000000000001E-2</v>
      </c>
      <c r="H2809">
        <v>115.57</v>
      </c>
      <c r="I2809" t="s">
        <v>15</v>
      </c>
      <c r="J2809" t="s">
        <v>15</v>
      </c>
      <c r="K2809">
        <v>20.8</v>
      </c>
      <c r="L2809">
        <v>0</v>
      </c>
    </row>
    <row r="2810" spans="1:12" x14ac:dyDescent="0.3">
      <c r="A2810" t="s">
        <v>2826</v>
      </c>
      <c r="B2810" t="s">
        <v>17</v>
      </c>
      <c r="C2810">
        <v>2999</v>
      </c>
      <c r="D2810">
        <v>47.98</v>
      </c>
      <c r="E2810">
        <v>8.64</v>
      </c>
      <c r="F2810">
        <f>COUNTIFS(mdr_rate_cleaned!$A$2:$A$10,B2810,mdr_rate_cleaned!$B$2:$B$10,"&lt;"&amp;C2810,mdr_rate_cleaned!$F$2:$F$10,"&gt;="&amp;C2810)</f>
        <v>1</v>
      </c>
      <c r="G2810">
        <v>1.6E-2</v>
      </c>
      <c r="H2810">
        <v>47.98</v>
      </c>
      <c r="I2810" t="s">
        <v>15</v>
      </c>
      <c r="J2810" t="s">
        <v>15</v>
      </c>
      <c r="K2810">
        <v>8.64</v>
      </c>
      <c r="L2810">
        <v>0</v>
      </c>
    </row>
    <row r="2811" spans="1:12" x14ac:dyDescent="0.3">
      <c r="A2811" t="s">
        <v>2827</v>
      </c>
      <c r="B2811" t="s">
        <v>21</v>
      </c>
      <c r="C2811">
        <v>3647</v>
      </c>
      <c r="D2811">
        <v>10.94</v>
      </c>
      <c r="E2811">
        <v>1.97</v>
      </c>
      <c r="F2811">
        <f>COUNTIFS(mdr_rate_cleaned!$A$2:$A$10,B2811,mdr_rate_cleaned!$B$2:$B$10,"&lt;"&amp;C2811,mdr_rate_cleaned!$F$2:$F$10,"&gt;="&amp;C2811)</f>
        <v>1</v>
      </c>
      <c r="G2811">
        <v>3.0000000000000001E-3</v>
      </c>
      <c r="H2811">
        <v>10.94</v>
      </c>
      <c r="I2811" t="s">
        <v>15</v>
      </c>
      <c r="J2811" t="s">
        <v>15</v>
      </c>
      <c r="K2811">
        <v>1.97</v>
      </c>
      <c r="L2811">
        <v>0</v>
      </c>
    </row>
    <row r="2812" spans="1:12" x14ac:dyDescent="0.3">
      <c r="A2812" t="s">
        <v>2828</v>
      </c>
      <c r="B2812" t="s">
        <v>17</v>
      </c>
      <c r="C2812">
        <v>7597</v>
      </c>
      <c r="D2812">
        <v>121.55</v>
      </c>
      <c r="E2812">
        <v>21.88</v>
      </c>
      <c r="F2812">
        <f>COUNTIFS(mdr_rate_cleaned!$A$2:$A$10,B2812,mdr_rate_cleaned!$B$2:$B$10,"&lt;"&amp;C2812,mdr_rate_cleaned!$F$2:$F$10,"&gt;="&amp;C2812)</f>
        <v>1</v>
      </c>
      <c r="G2812">
        <v>1.6E-2</v>
      </c>
      <c r="H2812">
        <v>121.55</v>
      </c>
      <c r="I2812" t="s">
        <v>15</v>
      </c>
      <c r="J2812" t="s">
        <v>15</v>
      </c>
      <c r="K2812">
        <v>21.88</v>
      </c>
      <c r="L2812">
        <v>0</v>
      </c>
    </row>
    <row r="2813" spans="1:12" x14ac:dyDescent="0.3">
      <c r="A2813" t="s">
        <v>2829</v>
      </c>
      <c r="B2813" t="s">
        <v>21</v>
      </c>
      <c r="C2813">
        <v>898</v>
      </c>
      <c r="D2813">
        <v>0</v>
      </c>
      <c r="E2813">
        <v>0</v>
      </c>
      <c r="F2813">
        <f>COUNTIFS(mdr_rate_cleaned!$A$2:$A$10,B2813,mdr_rate_cleaned!$B$2:$B$10,"&lt;"&amp;C2813,mdr_rate_cleaned!$F$2:$F$10,"&gt;="&amp;C2813)</f>
        <v>1</v>
      </c>
      <c r="G2813">
        <v>0</v>
      </c>
      <c r="H2813">
        <v>0</v>
      </c>
      <c r="I2813" t="s">
        <v>15</v>
      </c>
      <c r="J2813" t="s">
        <v>15</v>
      </c>
      <c r="K2813">
        <v>0</v>
      </c>
      <c r="L2813">
        <v>0</v>
      </c>
    </row>
    <row r="2814" spans="1:12" x14ac:dyDescent="0.3">
      <c r="A2814" t="s">
        <v>2830</v>
      </c>
      <c r="B2814" t="s">
        <v>21</v>
      </c>
      <c r="C2814">
        <v>499</v>
      </c>
      <c r="D2814">
        <v>0</v>
      </c>
      <c r="E2814">
        <v>0</v>
      </c>
      <c r="F2814">
        <f>COUNTIFS(mdr_rate_cleaned!$A$2:$A$10,B2814,mdr_rate_cleaned!$B$2:$B$10,"&lt;"&amp;C2814,mdr_rate_cleaned!$F$2:$F$10,"&gt;="&amp;C2814)</f>
        <v>1</v>
      </c>
      <c r="G2814">
        <v>0</v>
      </c>
      <c r="H2814">
        <v>0</v>
      </c>
      <c r="I2814" t="s">
        <v>15</v>
      </c>
      <c r="J2814" t="s">
        <v>15</v>
      </c>
      <c r="K2814">
        <v>0</v>
      </c>
      <c r="L2814">
        <v>0</v>
      </c>
    </row>
    <row r="2815" spans="1:12" x14ac:dyDescent="0.3">
      <c r="A2815" t="s">
        <v>2831</v>
      </c>
      <c r="B2815" t="s">
        <v>21</v>
      </c>
      <c r="C2815">
        <v>7097</v>
      </c>
      <c r="D2815">
        <v>21.29</v>
      </c>
      <c r="E2815">
        <v>3.83</v>
      </c>
      <c r="F2815">
        <f>COUNTIFS(mdr_rate_cleaned!$A$2:$A$10,B2815,mdr_rate_cleaned!$B$2:$B$10,"&lt;"&amp;C2815,mdr_rate_cleaned!$F$2:$F$10,"&gt;="&amp;C2815)</f>
        <v>1</v>
      </c>
      <c r="G2815">
        <v>3.0000000000000001E-3</v>
      </c>
      <c r="H2815">
        <v>21.29</v>
      </c>
      <c r="I2815" t="s">
        <v>15</v>
      </c>
      <c r="J2815" t="s">
        <v>15</v>
      </c>
      <c r="K2815">
        <v>3.83</v>
      </c>
      <c r="L2815">
        <v>0</v>
      </c>
    </row>
    <row r="2816" spans="1:12" x14ac:dyDescent="0.3">
      <c r="A2816" t="s">
        <v>2832</v>
      </c>
      <c r="B2816" t="s">
        <v>21</v>
      </c>
      <c r="C2816">
        <v>349</v>
      </c>
      <c r="D2816">
        <v>0</v>
      </c>
      <c r="E2816">
        <v>0</v>
      </c>
      <c r="F2816">
        <f>COUNTIFS(mdr_rate_cleaned!$A$2:$A$10,B2816,mdr_rate_cleaned!$B$2:$B$10,"&lt;"&amp;C2816,mdr_rate_cleaned!$F$2:$F$10,"&gt;="&amp;C2816)</f>
        <v>1</v>
      </c>
      <c r="G2816">
        <v>0</v>
      </c>
      <c r="H2816">
        <v>0</v>
      </c>
      <c r="I2816" t="s">
        <v>15</v>
      </c>
      <c r="J2816" t="s">
        <v>15</v>
      </c>
      <c r="K2816">
        <v>0</v>
      </c>
      <c r="L2816">
        <v>0</v>
      </c>
    </row>
    <row r="2817" spans="1:12" x14ac:dyDescent="0.3">
      <c r="A2817" t="s">
        <v>2833</v>
      </c>
      <c r="B2817" t="s">
        <v>17</v>
      </c>
      <c r="C2817">
        <v>9298</v>
      </c>
      <c r="D2817">
        <v>148.77000000000001</v>
      </c>
      <c r="E2817">
        <v>26.78</v>
      </c>
      <c r="F2817">
        <f>COUNTIFS(mdr_rate_cleaned!$A$2:$A$10,B2817,mdr_rate_cleaned!$B$2:$B$10,"&lt;"&amp;C2817,mdr_rate_cleaned!$F$2:$F$10,"&gt;="&amp;C2817)</f>
        <v>1</v>
      </c>
      <c r="G2817">
        <v>1.6E-2</v>
      </c>
      <c r="H2817">
        <v>148.77000000000001</v>
      </c>
      <c r="I2817" t="s">
        <v>15</v>
      </c>
      <c r="J2817" t="s">
        <v>15</v>
      </c>
      <c r="K2817">
        <v>26.78</v>
      </c>
      <c r="L2817">
        <v>0</v>
      </c>
    </row>
    <row r="2818" spans="1:12" x14ac:dyDescent="0.3">
      <c r="A2818" t="s">
        <v>2834</v>
      </c>
      <c r="B2818" t="s">
        <v>21</v>
      </c>
      <c r="C2818">
        <v>11797</v>
      </c>
      <c r="D2818">
        <v>35.39</v>
      </c>
      <c r="E2818">
        <v>6.37</v>
      </c>
      <c r="F2818">
        <f>COUNTIFS(mdr_rate_cleaned!$A$2:$A$10,B2818,mdr_rate_cleaned!$B$2:$B$10,"&lt;"&amp;C2818,mdr_rate_cleaned!$F$2:$F$10,"&gt;="&amp;C2818)</f>
        <v>1</v>
      </c>
      <c r="G2818">
        <v>3.0000000000000001E-3</v>
      </c>
      <c r="H2818">
        <v>35.39</v>
      </c>
      <c r="I2818" t="s">
        <v>15</v>
      </c>
      <c r="J2818" t="s">
        <v>15</v>
      </c>
      <c r="K2818">
        <v>6.37</v>
      </c>
      <c r="L2818">
        <v>0</v>
      </c>
    </row>
    <row r="2819" spans="1:12" x14ac:dyDescent="0.3">
      <c r="A2819" t="s">
        <v>2835</v>
      </c>
      <c r="B2819" t="s">
        <v>17</v>
      </c>
      <c r="C2819">
        <v>2999</v>
      </c>
      <c r="D2819">
        <v>47.98</v>
      </c>
      <c r="E2819">
        <v>8.64</v>
      </c>
      <c r="F2819">
        <f>COUNTIFS(mdr_rate_cleaned!$A$2:$A$10,B2819,mdr_rate_cleaned!$B$2:$B$10,"&lt;"&amp;C2819,mdr_rate_cleaned!$F$2:$F$10,"&gt;="&amp;C2819)</f>
        <v>1</v>
      </c>
      <c r="G2819">
        <v>1.6E-2</v>
      </c>
      <c r="H2819">
        <v>47.98</v>
      </c>
      <c r="I2819" t="s">
        <v>15</v>
      </c>
      <c r="J2819" t="s">
        <v>15</v>
      </c>
      <c r="K2819">
        <v>8.64</v>
      </c>
      <c r="L2819">
        <v>0</v>
      </c>
    </row>
    <row r="2820" spans="1:12" x14ac:dyDescent="0.3">
      <c r="A2820" t="s">
        <v>2836</v>
      </c>
      <c r="B2820" t="s">
        <v>21</v>
      </c>
      <c r="C2820">
        <v>2598</v>
      </c>
      <c r="D2820">
        <v>7.79</v>
      </c>
      <c r="E2820">
        <v>1.4</v>
      </c>
      <c r="F2820">
        <f>COUNTIFS(mdr_rate_cleaned!$A$2:$A$10,B2820,mdr_rate_cleaned!$B$2:$B$10,"&lt;"&amp;C2820,mdr_rate_cleaned!$F$2:$F$10,"&gt;="&amp;C2820)</f>
        <v>1</v>
      </c>
      <c r="G2820">
        <v>3.0000000000000001E-3</v>
      </c>
      <c r="H2820">
        <v>7.79</v>
      </c>
      <c r="I2820" t="s">
        <v>15</v>
      </c>
      <c r="J2820" t="s">
        <v>15</v>
      </c>
      <c r="K2820">
        <v>1.4</v>
      </c>
      <c r="L2820">
        <v>0</v>
      </c>
    </row>
    <row r="2821" spans="1:12" x14ac:dyDescent="0.3">
      <c r="A2821" t="s">
        <v>2837</v>
      </c>
      <c r="B2821" t="s">
        <v>13</v>
      </c>
      <c r="C2821">
        <v>9797</v>
      </c>
      <c r="D2821">
        <v>166.55</v>
      </c>
      <c r="E2821">
        <v>29.98</v>
      </c>
      <c r="F2821">
        <f>COUNTIFS(mdr_rate_cleaned!$A$2:$A$10,B2821,mdr_rate_cleaned!$B$2:$B$10,"&lt;"&amp;C2821,mdr_rate_cleaned!$F$2:$F$10,"&gt;="&amp;C2821)</f>
        <v>1</v>
      </c>
      <c r="G2821">
        <v>1.7000000000000001E-2</v>
      </c>
      <c r="H2821">
        <v>166.55</v>
      </c>
      <c r="I2821" t="s">
        <v>15</v>
      </c>
      <c r="J2821" t="s">
        <v>15</v>
      </c>
      <c r="K2821">
        <v>29.98</v>
      </c>
      <c r="L2821">
        <v>0</v>
      </c>
    </row>
    <row r="2822" spans="1:12" x14ac:dyDescent="0.3">
      <c r="A2822" t="s">
        <v>2838</v>
      </c>
      <c r="B2822" t="s">
        <v>17</v>
      </c>
      <c r="C2822">
        <v>7999</v>
      </c>
      <c r="D2822">
        <v>127.98</v>
      </c>
      <c r="E2822">
        <v>23.04</v>
      </c>
      <c r="F2822">
        <f>COUNTIFS(mdr_rate_cleaned!$A$2:$A$10,B2822,mdr_rate_cleaned!$B$2:$B$10,"&lt;"&amp;C2822,mdr_rate_cleaned!$F$2:$F$10,"&gt;="&amp;C2822)</f>
        <v>1</v>
      </c>
      <c r="G2822">
        <v>1.6E-2</v>
      </c>
      <c r="H2822">
        <v>127.98</v>
      </c>
      <c r="I2822" t="s">
        <v>15</v>
      </c>
      <c r="J2822" t="s">
        <v>15</v>
      </c>
      <c r="K2822">
        <v>23.04</v>
      </c>
      <c r="L2822">
        <v>0</v>
      </c>
    </row>
    <row r="2823" spans="1:12" x14ac:dyDescent="0.3">
      <c r="A2823" t="s">
        <v>2839</v>
      </c>
      <c r="B2823" t="s">
        <v>13</v>
      </c>
      <c r="C2823">
        <v>3499</v>
      </c>
      <c r="D2823">
        <v>59.48</v>
      </c>
      <c r="E2823">
        <v>10.71</v>
      </c>
      <c r="F2823">
        <f>COUNTIFS(mdr_rate_cleaned!$A$2:$A$10,B2823,mdr_rate_cleaned!$B$2:$B$10,"&lt;"&amp;C2823,mdr_rate_cleaned!$F$2:$F$10,"&gt;="&amp;C2823)</f>
        <v>1</v>
      </c>
      <c r="G2823">
        <v>1.7000000000000001E-2</v>
      </c>
      <c r="H2823">
        <v>59.48</v>
      </c>
      <c r="I2823" t="s">
        <v>15</v>
      </c>
      <c r="J2823" t="s">
        <v>15</v>
      </c>
      <c r="K2823">
        <v>10.71</v>
      </c>
      <c r="L2823">
        <v>0</v>
      </c>
    </row>
    <row r="2824" spans="1:12" x14ac:dyDescent="0.3">
      <c r="A2824" t="s">
        <v>2840</v>
      </c>
      <c r="B2824" t="s">
        <v>21</v>
      </c>
      <c r="C2824">
        <v>7999</v>
      </c>
      <c r="D2824">
        <v>24</v>
      </c>
      <c r="E2824">
        <v>4.32</v>
      </c>
      <c r="F2824">
        <f>COUNTIFS(mdr_rate_cleaned!$A$2:$A$10,B2824,mdr_rate_cleaned!$B$2:$B$10,"&lt;"&amp;C2824,mdr_rate_cleaned!$F$2:$F$10,"&gt;="&amp;C2824)</f>
        <v>1</v>
      </c>
      <c r="G2824">
        <v>3.0000000000000001E-3</v>
      </c>
      <c r="H2824">
        <v>24</v>
      </c>
      <c r="I2824" t="s">
        <v>15</v>
      </c>
      <c r="J2824" t="s">
        <v>15</v>
      </c>
      <c r="K2824">
        <v>4.32</v>
      </c>
      <c r="L2824">
        <v>0</v>
      </c>
    </row>
    <row r="2825" spans="1:12" x14ac:dyDescent="0.3">
      <c r="A2825" t="s">
        <v>2841</v>
      </c>
      <c r="B2825" t="s">
        <v>17</v>
      </c>
      <c r="C2825">
        <v>3298</v>
      </c>
      <c r="D2825">
        <v>52.77</v>
      </c>
      <c r="E2825">
        <v>9.5</v>
      </c>
      <c r="F2825">
        <f>COUNTIFS(mdr_rate_cleaned!$A$2:$A$10,B2825,mdr_rate_cleaned!$B$2:$B$10,"&lt;"&amp;C2825,mdr_rate_cleaned!$F$2:$F$10,"&gt;="&amp;C2825)</f>
        <v>1</v>
      </c>
      <c r="G2825">
        <v>1.6E-2</v>
      </c>
      <c r="H2825">
        <v>52.77</v>
      </c>
      <c r="I2825" t="s">
        <v>15</v>
      </c>
      <c r="J2825" t="s">
        <v>15</v>
      </c>
      <c r="K2825">
        <v>9.5</v>
      </c>
      <c r="L2825">
        <v>0</v>
      </c>
    </row>
    <row r="2826" spans="1:12" x14ac:dyDescent="0.3">
      <c r="A2826" t="s">
        <v>2842</v>
      </c>
      <c r="B2826" t="s">
        <v>13</v>
      </c>
      <c r="C2826">
        <v>1299</v>
      </c>
      <c r="D2826">
        <v>24.68</v>
      </c>
      <c r="E2826">
        <v>4.4400000000000004</v>
      </c>
      <c r="F2826">
        <f>COUNTIFS(mdr_rate_cleaned!$A$2:$A$10,B2826,mdr_rate_cleaned!$B$2:$B$10,"&lt;"&amp;C2826,mdr_rate_cleaned!$F$2:$F$10,"&gt;="&amp;C2826)</f>
        <v>1</v>
      </c>
      <c r="G2826">
        <v>1.9E-2</v>
      </c>
      <c r="H2826">
        <v>24.68</v>
      </c>
      <c r="I2826" t="s">
        <v>15</v>
      </c>
      <c r="J2826" t="s">
        <v>15</v>
      </c>
      <c r="K2826">
        <v>4.4400000000000004</v>
      </c>
      <c r="L2826">
        <v>0</v>
      </c>
    </row>
    <row r="2827" spans="1:12" x14ac:dyDescent="0.3">
      <c r="A2827" t="s">
        <v>2843</v>
      </c>
      <c r="B2827" t="s">
        <v>21</v>
      </c>
      <c r="C2827">
        <v>599</v>
      </c>
      <c r="D2827">
        <v>0</v>
      </c>
      <c r="E2827">
        <v>0</v>
      </c>
      <c r="F2827">
        <f>COUNTIFS(mdr_rate_cleaned!$A$2:$A$10,B2827,mdr_rate_cleaned!$B$2:$B$10,"&lt;"&amp;C2827,mdr_rate_cleaned!$F$2:$F$10,"&gt;="&amp;C2827)</f>
        <v>1</v>
      </c>
      <c r="G2827">
        <v>0</v>
      </c>
      <c r="H2827">
        <v>0</v>
      </c>
      <c r="I2827" t="s">
        <v>15</v>
      </c>
      <c r="J2827" t="s">
        <v>15</v>
      </c>
      <c r="K2827">
        <v>0</v>
      </c>
      <c r="L2827">
        <v>0</v>
      </c>
    </row>
    <row r="2828" spans="1:12" x14ac:dyDescent="0.3">
      <c r="A2828" t="s">
        <v>2844</v>
      </c>
      <c r="B2828" t="s">
        <v>13</v>
      </c>
      <c r="C2828">
        <v>299</v>
      </c>
      <c r="D2828">
        <v>5.68</v>
      </c>
      <c r="E2828">
        <v>1.02</v>
      </c>
      <c r="F2828">
        <f>COUNTIFS(mdr_rate_cleaned!$A$2:$A$10,B2828,mdr_rate_cleaned!$B$2:$B$10,"&lt;"&amp;C2828,mdr_rate_cleaned!$F$2:$F$10,"&gt;="&amp;C2828)</f>
        <v>1</v>
      </c>
      <c r="G2828">
        <v>1.9E-2</v>
      </c>
      <c r="H2828">
        <v>5.68</v>
      </c>
      <c r="I2828" t="s">
        <v>15</v>
      </c>
      <c r="J2828" t="s">
        <v>15</v>
      </c>
      <c r="K2828">
        <v>1.02</v>
      </c>
      <c r="L2828">
        <v>0</v>
      </c>
    </row>
    <row r="2829" spans="1:12" x14ac:dyDescent="0.3">
      <c r="A2829" t="s">
        <v>2845</v>
      </c>
      <c r="B2829" t="s">
        <v>17</v>
      </c>
      <c r="C2829">
        <v>4497</v>
      </c>
      <c r="D2829">
        <v>71.95</v>
      </c>
      <c r="E2829">
        <v>12.95</v>
      </c>
      <c r="F2829">
        <f>COUNTIFS(mdr_rate_cleaned!$A$2:$A$10,B2829,mdr_rate_cleaned!$B$2:$B$10,"&lt;"&amp;C2829,mdr_rate_cleaned!$F$2:$F$10,"&gt;="&amp;C2829)</f>
        <v>1</v>
      </c>
      <c r="G2829">
        <v>1.6E-2</v>
      </c>
      <c r="H2829">
        <v>71.95</v>
      </c>
      <c r="I2829" t="s">
        <v>15</v>
      </c>
      <c r="J2829" t="s">
        <v>15</v>
      </c>
      <c r="K2829">
        <v>12.95</v>
      </c>
      <c r="L2829">
        <v>0</v>
      </c>
    </row>
    <row r="2830" spans="1:12" x14ac:dyDescent="0.3">
      <c r="A2830" t="s">
        <v>2846</v>
      </c>
      <c r="B2830" t="s">
        <v>13</v>
      </c>
      <c r="C2830">
        <v>2499</v>
      </c>
      <c r="D2830">
        <v>42.48</v>
      </c>
      <c r="E2830">
        <v>7.65</v>
      </c>
      <c r="F2830">
        <f>COUNTIFS(mdr_rate_cleaned!$A$2:$A$10,B2830,mdr_rate_cleaned!$B$2:$B$10,"&lt;"&amp;C2830,mdr_rate_cleaned!$F$2:$F$10,"&gt;="&amp;C2830)</f>
        <v>1</v>
      </c>
      <c r="G2830">
        <v>1.7000000000000001E-2</v>
      </c>
      <c r="H2830">
        <v>42.48</v>
      </c>
      <c r="I2830" t="s">
        <v>15</v>
      </c>
      <c r="J2830" t="s">
        <v>15</v>
      </c>
      <c r="K2830">
        <v>7.65</v>
      </c>
      <c r="L2830">
        <v>0</v>
      </c>
    </row>
    <row r="2831" spans="1:12" x14ac:dyDescent="0.3">
      <c r="A2831" t="s">
        <v>2847</v>
      </c>
      <c r="B2831" t="s">
        <v>21</v>
      </c>
      <c r="C2831">
        <v>9997</v>
      </c>
      <c r="D2831">
        <v>29.99</v>
      </c>
      <c r="E2831">
        <v>5.4</v>
      </c>
      <c r="F2831">
        <f>COUNTIFS(mdr_rate_cleaned!$A$2:$A$10,B2831,mdr_rate_cleaned!$B$2:$B$10,"&lt;"&amp;C2831,mdr_rate_cleaned!$F$2:$F$10,"&gt;="&amp;C2831)</f>
        <v>1</v>
      </c>
      <c r="G2831">
        <v>3.0000000000000001E-3</v>
      </c>
      <c r="H2831">
        <v>29.99</v>
      </c>
      <c r="I2831" t="s">
        <v>15</v>
      </c>
      <c r="J2831" t="s">
        <v>15</v>
      </c>
      <c r="K2831">
        <v>5.4</v>
      </c>
      <c r="L2831">
        <v>0</v>
      </c>
    </row>
    <row r="2832" spans="1:12" x14ac:dyDescent="0.3">
      <c r="A2832" t="s">
        <v>2848</v>
      </c>
      <c r="B2832" t="s">
        <v>21</v>
      </c>
      <c r="C2832">
        <v>799</v>
      </c>
      <c r="D2832">
        <v>0</v>
      </c>
      <c r="E2832">
        <v>0</v>
      </c>
      <c r="F2832">
        <f>COUNTIFS(mdr_rate_cleaned!$A$2:$A$10,B2832,mdr_rate_cleaned!$B$2:$B$10,"&lt;"&amp;C2832,mdr_rate_cleaned!$F$2:$F$10,"&gt;="&amp;C2832)</f>
        <v>1</v>
      </c>
      <c r="G2832">
        <v>0</v>
      </c>
      <c r="H2832">
        <v>0</v>
      </c>
      <c r="I2832" t="s">
        <v>15</v>
      </c>
      <c r="J2832" t="s">
        <v>15</v>
      </c>
      <c r="K2832">
        <v>0</v>
      </c>
      <c r="L2832">
        <v>0</v>
      </c>
    </row>
    <row r="2833" spans="1:12" x14ac:dyDescent="0.3">
      <c r="A2833" t="s">
        <v>2849</v>
      </c>
      <c r="B2833" t="s">
        <v>21</v>
      </c>
      <c r="C2833">
        <v>2598</v>
      </c>
      <c r="D2833">
        <v>7.79</v>
      </c>
      <c r="E2833">
        <v>1.4</v>
      </c>
      <c r="F2833">
        <f>COUNTIFS(mdr_rate_cleaned!$A$2:$A$10,B2833,mdr_rate_cleaned!$B$2:$B$10,"&lt;"&amp;C2833,mdr_rate_cleaned!$F$2:$F$10,"&gt;="&amp;C2833)</f>
        <v>1</v>
      </c>
      <c r="G2833">
        <v>3.0000000000000001E-3</v>
      </c>
      <c r="H2833">
        <v>7.79</v>
      </c>
      <c r="I2833" t="s">
        <v>15</v>
      </c>
      <c r="J2833" t="s">
        <v>15</v>
      </c>
      <c r="K2833">
        <v>1.4</v>
      </c>
      <c r="L2833">
        <v>0</v>
      </c>
    </row>
    <row r="2834" spans="1:12" x14ac:dyDescent="0.3">
      <c r="A2834" t="s">
        <v>2850</v>
      </c>
      <c r="B2834" t="s">
        <v>21</v>
      </c>
      <c r="C2834">
        <v>2499</v>
      </c>
      <c r="D2834">
        <v>7.5</v>
      </c>
      <c r="E2834">
        <v>1.35</v>
      </c>
      <c r="F2834">
        <f>COUNTIFS(mdr_rate_cleaned!$A$2:$A$10,B2834,mdr_rate_cleaned!$B$2:$B$10,"&lt;"&amp;C2834,mdr_rate_cleaned!$F$2:$F$10,"&gt;="&amp;C2834)</f>
        <v>1</v>
      </c>
      <c r="G2834">
        <v>3.0000000000000001E-3</v>
      </c>
      <c r="H2834">
        <v>7.5</v>
      </c>
      <c r="I2834" t="s">
        <v>15</v>
      </c>
      <c r="J2834" t="s">
        <v>15</v>
      </c>
      <c r="K2834">
        <v>1.35</v>
      </c>
      <c r="L2834">
        <v>0</v>
      </c>
    </row>
    <row r="2835" spans="1:12" x14ac:dyDescent="0.3">
      <c r="A2835" t="s">
        <v>2851</v>
      </c>
      <c r="B2835" t="s">
        <v>21</v>
      </c>
      <c r="C2835">
        <v>3598</v>
      </c>
      <c r="D2835">
        <v>10.79</v>
      </c>
      <c r="E2835">
        <v>1.94</v>
      </c>
      <c r="F2835">
        <f>COUNTIFS(mdr_rate_cleaned!$A$2:$A$10,B2835,mdr_rate_cleaned!$B$2:$B$10,"&lt;"&amp;C2835,mdr_rate_cleaned!$F$2:$F$10,"&gt;="&amp;C2835)</f>
        <v>1</v>
      </c>
      <c r="G2835">
        <v>3.0000000000000001E-3</v>
      </c>
      <c r="H2835">
        <v>10.79</v>
      </c>
      <c r="I2835" t="s">
        <v>15</v>
      </c>
      <c r="J2835" t="s">
        <v>15</v>
      </c>
      <c r="K2835">
        <v>1.94</v>
      </c>
      <c r="L2835">
        <v>0</v>
      </c>
    </row>
    <row r="2836" spans="1:12" x14ac:dyDescent="0.3">
      <c r="A2836" t="s">
        <v>2852</v>
      </c>
      <c r="B2836" t="s">
        <v>21</v>
      </c>
      <c r="C2836">
        <v>11597</v>
      </c>
      <c r="D2836">
        <v>34.79</v>
      </c>
      <c r="E2836">
        <v>6.26</v>
      </c>
      <c r="F2836">
        <f>COUNTIFS(mdr_rate_cleaned!$A$2:$A$10,B2836,mdr_rate_cleaned!$B$2:$B$10,"&lt;"&amp;C2836,mdr_rate_cleaned!$F$2:$F$10,"&gt;="&amp;C2836)</f>
        <v>1</v>
      </c>
      <c r="G2836">
        <v>3.0000000000000001E-3</v>
      </c>
      <c r="H2836">
        <v>34.79</v>
      </c>
      <c r="I2836" t="s">
        <v>15</v>
      </c>
      <c r="J2836" t="s">
        <v>15</v>
      </c>
      <c r="K2836">
        <v>6.26</v>
      </c>
      <c r="L2836">
        <v>0</v>
      </c>
    </row>
    <row r="2837" spans="1:12" x14ac:dyDescent="0.3">
      <c r="A2837" t="s">
        <v>2853</v>
      </c>
      <c r="B2837" t="s">
        <v>17</v>
      </c>
      <c r="C2837">
        <v>8498</v>
      </c>
      <c r="D2837">
        <v>135.97</v>
      </c>
      <c r="E2837">
        <v>24.47</v>
      </c>
      <c r="F2837">
        <f>COUNTIFS(mdr_rate_cleaned!$A$2:$A$10,B2837,mdr_rate_cleaned!$B$2:$B$10,"&lt;"&amp;C2837,mdr_rate_cleaned!$F$2:$F$10,"&gt;="&amp;C2837)</f>
        <v>1</v>
      </c>
      <c r="G2837">
        <v>1.6E-2</v>
      </c>
      <c r="H2837">
        <v>135.97</v>
      </c>
      <c r="I2837" t="s">
        <v>15</v>
      </c>
      <c r="J2837" t="s">
        <v>15</v>
      </c>
      <c r="K2837">
        <v>24.47</v>
      </c>
      <c r="L2837">
        <v>0</v>
      </c>
    </row>
    <row r="2838" spans="1:12" x14ac:dyDescent="0.3">
      <c r="A2838" t="s">
        <v>2854</v>
      </c>
      <c r="B2838" t="s">
        <v>13</v>
      </c>
      <c r="C2838">
        <v>4297</v>
      </c>
      <c r="D2838">
        <v>73.05</v>
      </c>
      <c r="E2838">
        <v>13.15</v>
      </c>
      <c r="F2838">
        <f>COUNTIFS(mdr_rate_cleaned!$A$2:$A$10,B2838,mdr_rate_cleaned!$B$2:$B$10,"&lt;"&amp;C2838,mdr_rate_cleaned!$F$2:$F$10,"&gt;="&amp;C2838)</f>
        <v>1</v>
      </c>
      <c r="G2838">
        <v>1.7000000000000001E-2</v>
      </c>
      <c r="H2838">
        <v>73.05</v>
      </c>
      <c r="I2838" t="s">
        <v>15</v>
      </c>
      <c r="J2838" t="s">
        <v>15</v>
      </c>
      <c r="K2838">
        <v>13.15</v>
      </c>
      <c r="L2838">
        <v>0</v>
      </c>
    </row>
    <row r="2839" spans="1:12" x14ac:dyDescent="0.3">
      <c r="A2839" t="s">
        <v>2855</v>
      </c>
      <c r="B2839" t="s">
        <v>17</v>
      </c>
      <c r="C2839">
        <v>999</v>
      </c>
      <c r="D2839">
        <v>17.98</v>
      </c>
      <c r="E2839">
        <v>3.24</v>
      </c>
      <c r="F2839">
        <f>COUNTIFS(mdr_rate_cleaned!$A$2:$A$10,B2839,mdr_rate_cleaned!$B$2:$B$10,"&lt;"&amp;C2839,mdr_rate_cleaned!$F$2:$F$10,"&gt;="&amp;C2839)</f>
        <v>1</v>
      </c>
      <c r="G2839">
        <v>1.7999999999999999E-2</v>
      </c>
      <c r="H2839">
        <v>17.98</v>
      </c>
      <c r="I2839" t="s">
        <v>15</v>
      </c>
      <c r="J2839" t="s">
        <v>15</v>
      </c>
      <c r="K2839">
        <v>3.24</v>
      </c>
      <c r="L2839">
        <v>0</v>
      </c>
    </row>
    <row r="2840" spans="1:12" x14ac:dyDescent="0.3">
      <c r="A2840" t="s">
        <v>2856</v>
      </c>
      <c r="B2840" t="s">
        <v>17</v>
      </c>
      <c r="C2840">
        <v>13497</v>
      </c>
      <c r="D2840">
        <v>215.95</v>
      </c>
      <c r="E2840">
        <v>38.869999999999997</v>
      </c>
      <c r="F2840">
        <f>COUNTIFS(mdr_rate_cleaned!$A$2:$A$10,B2840,mdr_rate_cleaned!$B$2:$B$10,"&lt;"&amp;C2840,mdr_rate_cleaned!$F$2:$F$10,"&gt;="&amp;C2840)</f>
        <v>1</v>
      </c>
      <c r="G2840">
        <v>1.6E-2</v>
      </c>
      <c r="H2840">
        <v>215.95</v>
      </c>
      <c r="I2840" t="s">
        <v>15</v>
      </c>
      <c r="J2840" t="s">
        <v>15</v>
      </c>
      <c r="K2840">
        <v>38.869999999999997</v>
      </c>
      <c r="L2840">
        <v>0</v>
      </c>
    </row>
    <row r="2841" spans="1:12" x14ac:dyDescent="0.3">
      <c r="A2841" t="s">
        <v>2857</v>
      </c>
      <c r="B2841" t="s">
        <v>21</v>
      </c>
      <c r="C2841">
        <v>2647</v>
      </c>
      <c r="D2841">
        <v>7.94</v>
      </c>
      <c r="E2841">
        <v>1.43</v>
      </c>
      <c r="F2841">
        <f>COUNTIFS(mdr_rate_cleaned!$A$2:$A$10,B2841,mdr_rate_cleaned!$B$2:$B$10,"&lt;"&amp;C2841,mdr_rate_cleaned!$F$2:$F$10,"&gt;="&amp;C2841)</f>
        <v>1</v>
      </c>
      <c r="G2841">
        <v>3.0000000000000001E-3</v>
      </c>
      <c r="H2841">
        <v>7.94</v>
      </c>
      <c r="I2841" t="s">
        <v>15</v>
      </c>
      <c r="J2841" t="s">
        <v>15</v>
      </c>
      <c r="K2841">
        <v>1.43</v>
      </c>
      <c r="L2841">
        <v>0</v>
      </c>
    </row>
    <row r="2842" spans="1:12" x14ac:dyDescent="0.3">
      <c r="A2842" t="s">
        <v>2858</v>
      </c>
      <c r="B2842" t="s">
        <v>13</v>
      </c>
      <c r="C2842">
        <v>349</v>
      </c>
      <c r="D2842">
        <v>6.63</v>
      </c>
      <c r="E2842">
        <v>1.19</v>
      </c>
      <c r="F2842">
        <f>COUNTIFS(mdr_rate_cleaned!$A$2:$A$10,B2842,mdr_rate_cleaned!$B$2:$B$10,"&lt;"&amp;C2842,mdr_rate_cleaned!$F$2:$F$10,"&gt;="&amp;C2842)</f>
        <v>1</v>
      </c>
      <c r="G2842">
        <v>1.9E-2</v>
      </c>
      <c r="H2842">
        <v>6.63</v>
      </c>
      <c r="I2842" t="s">
        <v>15</v>
      </c>
      <c r="J2842" t="s">
        <v>15</v>
      </c>
      <c r="K2842">
        <v>1.19</v>
      </c>
      <c r="L2842">
        <v>0</v>
      </c>
    </row>
    <row r="2843" spans="1:12" x14ac:dyDescent="0.3">
      <c r="A2843" t="s">
        <v>2859</v>
      </c>
      <c r="B2843" t="s">
        <v>21</v>
      </c>
      <c r="C2843">
        <v>2999</v>
      </c>
      <c r="D2843">
        <v>9</v>
      </c>
      <c r="E2843">
        <v>1.62</v>
      </c>
      <c r="F2843">
        <f>COUNTIFS(mdr_rate_cleaned!$A$2:$A$10,B2843,mdr_rate_cleaned!$B$2:$B$10,"&lt;"&amp;C2843,mdr_rate_cleaned!$F$2:$F$10,"&gt;="&amp;C2843)</f>
        <v>1</v>
      </c>
      <c r="G2843">
        <v>3.0000000000000001E-3</v>
      </c>
      <c r="H2843">
        <v>9</v>
      </c>
      <c r="I2843" t="s">
        <v>15</v>
      </c>
      <c r="J2843" t="s">
        <v>15</v>
      </c>
      <c r="K2843">
        <v>1.62</v>
      </c>
      <c r="L2843">
        <v>0</v>
      </c>
    </row>
    <row r="2844" spans="1:12" x14ac:dyDescent="0.3">
      <c r="A2844" t="s">
        <v>2860</v>
      </c>
      <c r="B2844" t="s">
        <v>17</v>
      </c>
      <c r="C2844">
        <v>1499</v>
      </c>
      <c r="D2844">
        <v>26.98</v>
      </c>
      <c r="E2844">
        <v>4.8600000000000003</v>
      </c>
      <c r="F2844">
        <f>COUNTIFS(mdr_rate_cleaned!$A$2:$A$10,B2844,mdr_rate_cleaned!$B$2:$B$10,"&lt;"&amp;C2844,mdr_rate_cleaned!$F$2:$F$10,"&gt;="&amp;C2844)</f>
        <v>1</v>
      </c>
      <c r="G2844">
        <v>1.7999999999999999E-2</v>
      </c>
      <c r="H2844">
        <v>26.98</v>
      </c>
      <c r="I2844" t="s">
        <v>15</v>
      </c>
      <c r="J2844" t="s">
        <v>15</v>
      </c>
      <c r="K2844">
        <v>4.8600000000000003</v>
      </c>
      <c r="L2844">
        <v>0</v>
      </c>
    </row>
    <row r="2845" spans="1:12" x14ac:dyDescent="0.3">
      <c r="A2845" t="s">
        <v>2861</v>
      </c>
      <c r="B2845" t="s">
        <v>21</v>
      </c>
      <c r="C2845">
        <v>5597</v>
      </c>
      <c r="D2845">
        <v>16.79</v>
      </c>
      <c r="E2845">
        <v>3.02</v>
      </c>
      <c r="F2845">
        <f>COUNTIFS(mdr_rate_cleaned!$A$2:$A$10,B2845,mdr_rate_cleaned!$B$2:$B$10,"&lt;"&amp;C2845,mdr_rate_cleaned!$F$2:$F$10,"&gt;="&amp;C2845)</f>
        <v>1</v>
      </c>
      <c r="G2845">
        <v>3.0000000000000001E-3</v>
      </c>
      <c r="H2845">
        <v>16.79</v>
      </c>
      <c r="I2845" t="s">
        <v>15</v>
      </c>
      <c r="J2845" t="s">
        <v>15</v>
      </c>
      <c r="K2845">
        <v>3.02</v>
      </c>
      <c r="L2845">
        <v>0</v>
      </c>
    </row>
    <row r="2846" spans="1:12" x14ac:dyDescent="0.3">
      <c r="A2846" t="s">
        <v>2862</v>
      </c>
      <c r="B2846" t="s">
        <v>21</v>
      </c>
      <c r="C2846">
        <v>5348</v>
      </c>
      <c r="D2846">
        <v>16.04</v>
      </c>
      <c r="E2846">
        <v>2.89</v>
      </c>
      <c r="F2846">
        <f>COUNTIFS(mdr_rate_cleaned!$A$2:$A$10,B2846,mdr_rate_cleaned!$B$2:$B$10,"&lt;"&amp;C2846,mdr_rate_cleaned!$F$2:$F$10,"&gt;="&amp;C2846)</f>
        <v>1</v>
      </c>
      <c r="G2846">
        <v>3.0000000000000001E-3</v>
      </c>
      <c r="H2846">
        <v>16.04</v>
      </c>
      <c r="I2846" t="s">
        <v>15</v>
      </c>
      <c r="J2846" t="s">
        <v>15</v>
      </c>
      <c r="K2846">
        <v>2.89</v>
      </c>
      <c r="L2846">
        <v>0</v>
      </c>
    </row>
    <row r="2847" spans="1:12" x14ac:dyDescent="0.3">
      <c r="A2847" t="s">
        <v>2863</v>
      </c>
      <c r="B2847" t="s">
        <v>17</v>
      </c>
      <c r="C2847">
        <v>1498</v>
      </c>
      <c r="D2847">
        <v>26.96</v>
      </c>
      <c r="E2847">
        <v>4.8499999999999996</v>
      </c>
      <c r="F2847">
        <f>COUNTIFS(mdr_rate_cleaned!$A$2:$A$10,B2847,mdr_rate_cleaned!$B$2:$B$10,"&lt;"&amp;C2847,mdr_rate_cleaned!$F$2:$F$10,"&gt;="&amp;C2847)</f>
        <v>1</v>
      </c>
      <c r="G2847">
        <v>1.7999999999999999E-2</v>
      </c>
      <c r="H2847">
        <v>26.96</v>
      </c>
      <c r="I2847" t="s">
        <v>15</v>
      </c>
      <c r="J2847" t="s">
        <v>15</v>
      </c>
      <c r="K2847">
        <v>4.8499999999999996</v>
      </c>
      <c r="L2847">
        <v>0</v>
      </c>
    </row>
    <row r="2848" spans="1:12" x14ac:dyDescent="0.3">
      <c r="A2848" t="s">
        <v>2864</v>
      </c>
      <c r="B2848" t="s">
        <v>17</v>
      </c>
      <c r="C2848">
        <v>1299</v>
      </c>
      <c r="D2848">
        <v>23.38</v>
      </c>
      <c r="E2848">
        <v>4.21</v>
      </c>
      <c r="F2848">
        <f>COUNTIFS(mdr_rate_cleaned!$A$2:$A$10,B2848,mdr_rate_cleaned!$B$2:$B$10,"&lt;"&amp;C2848,mdr_rate_cleaned!$F$2:$F$10,"&gt;="&amp;C2848)</f>
        <v>1</v>
      </c>
      <c r="G2848">
        <v>1.7999999999999999E-2</v>
      </c>
      <c r="H2848">
        <v>23.38</v>
      </c>
      <c r="I2848" t="s">
        <v>15</v>
      </c>
      <c r="J2848" t="s">
        <v>15</v>
      </c>
      <c r="K2848">
        <v>4.21</v>
      </c>
      <c r="L2848">
        <v>0</v>
      </c>
    </row>
    <row r="2849" spans="1:12" x14ac:dyDescent="0.3">
      <c r="A2849" t="s">
        <v>2865</v>
      </c>
      <c r="B2849" t="s">
        <v>21</v>
      </c>
      <c r="C2849">
        <v>2499</v>
      </c>
      <c r="D2849">
        <v>7.5</v>
      </c>
      <c r="E2849">
        <v>1.35</v>
      </c>
      <c r="F2849">
        <f>COUNTIFS(mdr_rate_cleaned!$A$2:$A$10,B2849,mdr_rate_cleaned!$B$2:$B$10,"&lt;"&amp;C2849,mdr_rate_cleaned!$F$2:$F$10,"&gt;="&amp;C2849)</f>
        <v>1</v>
      </c>
      <c r="G2849">
        <v>3.0000000000000001E-3</v>
      </c>
      <c r="H2849">
        <v>7.5</v>
      </c>
      <c r="I2849" t="s">
        <v>15</v>
      </c>
      <c r="J2849" t="s">
        <v>15</v>
      </c>
      <c r="K2849">
        <v>1.35</v>
      </c>
      <c r="L2849">
        <v>0</v>
      </c>
    </row>
    <row r="2850" spans="1:12" x14ac:dyDescent="0.3">
      <c r="A2850" t="s">
        <v>2866</v>
      </c>
      <c r="B2850" t="s">
        <v>21</v>
      </c>
      <c r="C2850">
        <v>499</v>
      </c>
      <c r="D2850">
        <v>0</v>
      </c>
      <c r="E2850">
        <v>0</v>
      </c>
      <c r="F2850">
        <f>COUNTIFS(mdr_rate_cleaned!$A$2:$A$10,B2850,mdr_rate_cleaned!$B$2:$B$10,"&lt;"&amp;C2850,mdr_rate_cleaned!$F$2:$F$10,"&gt;="&amp;C2850)</f>
        <v>1</v>
      </c>
      <c r="G2850">
        <v>0</v>
      </c>
      <c r="H2850">
        <v>0</v>
      </c>
      <c r="I2850" t="s">
        <v>15</v>
      </c>
      <c r="J2850" t="s">
        <v>15</v>
      </c>
      <c r="K2850">
        <v>0</v>
      </c>
      <c r="L2850">
        <v>0</v>
      </c>
    </row>
    <row r="2851" spans="1:12" x14ac:dyDescent="0.3">
      <c r="A2851" t="s">
        <v>2867</v>
      </c>
      <c r="B2851" t="s">
        <v>21</v>
      </c>
      <c r="C2851">
        <v>11498</v>
      </c>
      <c r="D2851">
        <v>34.49</v>
      </c>
      <c r="E2851">
        <v>6.21</v>
      </c>
      <c r="F2851">
        <f>COUNTIFS(mdr_rate_cleaned!$A$2:$A$10,B2851,mdr_rate_cleaned!$B$2:$B$10,"&lt;"&amp;C2851,mdr_rate_cleaned!$F$2:$F$10,"&gt;="&amp;C2851)</f>
        <v>1</v>
      </c>
      <c r="G2851">
        <v>3.0000000000000001E-3</v>
      </c>
      <c r="H2851">
        <v>34.49</v>
      </c>
      <c r="I2851" t="s">
        <v>15</v>
      </c>
      <c r="J2851" t="s">
        <v>15</v>
      </c>
      <c r="K2851">
        <v>6.21</v>
      </c>
      <c r="L2851">
        <v>0</v>
      </c>
    </row>
    <row r="2852" spans="1:12" x14ac:dyDescent="0.3">
      <c r="A2852" t="s">
        <v>2868</v>
      </c>
      <c r="B2852" t="s">
        <v>17</v>
      </c>
      <c r="C2852">
        <v>4999</v>
      </c>
      <c r="D2852">
        <v>79.98</v>
      </c>
      <c r="E2852">
        <v>14.4</v>
      </c>
      <c r="F2852">
        <f>COUNTIFS(mdr_rate_cleaned!$A$2:$A$10,B2852,mdr_rate_cleaned!$B$2:$B$10,"&lt;"&amp;C2852,mdr_rate_cleaned!$F$2:$F$10,"&gt;="&amp;C2852)</f>
        <v>1</v>
      </c>
      <c r="G2852">
        <v>1.6E-2</v>
      </c>
      <c r="H2852">
        <v>79.98</v>
      </c>
      <c r="I2852" t="s">
        <v>15</v>
      </c>
      <c r="J2852" t="s">
        <v>15</v>
      </c>
      <c r="K2852">
        <v>14.4</v>
      </c>
      <c r="L2852">
        <v>0</v>
      </c>
    </row>
    <row r="2853" spans="1:12" x14ac:dyDescent="0.3">
      <c r="A2853" t="s">
        <v>2869</v>
      </c>
      <c r="B2853" t="s">
        <v>21</v>
      </c>
      <c r="C2853">
        <v>799</v>
      </c>
      <c r="D2853">
        <v>0</v>
      </c>
      <c r="E2853">
        <v>0</v>
      </c>
      <c r="F2853">
        <f>COUNTIFS(mdr_rate_cleaned!$A$2:$A$10,B2853,mdr_rate_cleaned!$B$2:$B$10,"&lt;"&amp;C2853,mdr_rate_cleaned!$F$2:$F$10,"&gt;="&amp;C2853)</f>
        <v>1</v>
      </c>
      <c r="G2853">
        <v>0</v>
      </c>
      <c r="H2853">
        <v>0</v>
      </c>
      <c r="I2853" t="s">
        <v>15</v>
      </c>
      <c r="J2853" t="s">
        <v>15</v>
      </c>
      <c r="K2853">
        <v>0</v>
      </c>
      <c r="L2853">
        <v>0</v>
      </c>
    </row>
    <row r="2854" spans="1:12" x14ac:dyDescent="0.3">
      <c r="A2854" t="s">
        <v>2870</v>
      </c>
      <c r="B2854" t="s">
        <v>21</v>
      </c>
      <c r="C2854">
        <v>299</v>
      </c>
      <c r="D2854">
        <v>0</v>
      </c>
      <c r="E2854">
        <v>0</v>
      </c>
      <c r="F2854">
        <f>COUNTIFS(mdr_rate_cleaned!$A$2:$A$10,B2854,mdr_rate_cleaned!$B$2:$B$10,"&lt;"&amp;C2854,mdr_rate_cleaned!$F$2:$F$10,"&gt;="&amp;C2854)</f>
        <v>1</v>
      </c>
      <c r="G2854">
        <v>0</v>
      </c>
      <c r="H2854">
        <v>0</v>
      </c>
      <c r="I2854" t="s">
        <v>15</v>
      </c>
      <c r="J2854" t="s">
        <v>15</v>
      </c>
      <c r="K2854">
        <v>0</v>
      </c>
      <c r="L2854">
        <v>0</v>
      </c>
    </row>
    <row r="2855" spans="1:12" x14ac:dyDescent="0.3">
      <c r="A2855" t="s">
        <v>2871</v>
      </c>
      <c r="B2855" t="s">
        <v>17</v>
      </c>
      <c r="C2855">
        <v>1499</v>
      </c>
      <c r="D2855">
        <v>26.98</v>
      </c>
      <c r="E2855">
        <v>4.8600000000000003</v>
      </c>
      <c r="F2855">
        <f>COUNTIFS(mdr_rate_cleaned!$A$2:$A$10,B2855,mdr_rate_cleaned!$B$2:$B$10,"&lt;"&amp;C2855,mdr_rate_cleaned!$F$2:$F$10,"&gt;="&amp;C2855)</f>
        <v>1</v>
      </c>
      <c r="G2855">
        <v>1.7999999999999999E-2</v>
      </c>
      <c r="H2855">
        <v>26.98</v>
      </c>
      <c r="I2855" t="s">
        <v>15</v>
      </c>
      <c r="J2855" t="s">
        <v>15</v>
      </c>
      <c r="K2855">
        <v>4.8600000000000003</v>
      </c>
      <c r="L2855">
        <v>0</v>
      </c>
    </row>
    <row r="2856" spans="1:12" x14ac:dyDescent="0.3">
      <c r="A2856" t="s">
        <v>2872</v>
      </c>
      <c r="B2856" t="s">
        <v>21</v>
      </c>
      <c r="C2856">
        <v>5998</v>
      </c>
      <c r="D2856">
        <v>17.989999999999998</v>
      </c>
      <c r="E2856">
        <v>3.24</v>
      </c>
      <c r="F2856">
        <f>COUNTIFS(mdr_rate_cleaned!$A$2:$A$10,B2856,mdr_rate_cleaned!$B$2:$B$10,"&lt;"&amp;C2856,mdr_rate_cleaned!$F$2:$F$10,"&gt;="&amp;C2856)</f>
        <v>1</v>
      </c>
      <c r="G2856">
        <v>3.0000000000000001E-3</v>
      </c>
      <c r="H2856">
        <v>17.989999999999998</v>
      </c>
      <c r="I2856" t="s">
        <v>15</v>
      </c>
      <c r="J2856" t="s">
        <v>15</v>
      </c>
      <c r="K2856">
        <v>3.24</v>
      </c>
      <c r="L2856">
        <v>0</v>
      </c>
    </row>
    <row r="2857" spans="1:12" x14ac:dyDescent="0.3">
      <c r="A2857" t="s">
        <v>2873</v>
      </c>
      <c r="B2857" t="s">
        <v>17</v>
      </c>
      <c r="C2857">
        <v>4999</v>
      </c>
      <c r="D2857">
        <v>79.98</v>
      </c>
      <c r="E2857">
        <v>14.4</v>
      </c>
      <c r="F2857">
        <f>COUNTIFS(mdr_rate_cleaned!$A$2:$A$10,B2857,mdr_rate_cleaned!$B$2:$B$10,"&lt;"&amp;C2857,mdr_rate_cleaned!$F$2:$F$10,"&gt;="&amp;C2857)</f>
        <v>1</v>
      </c>
      <c r="G2857">
        <v>1.6E-2</v>
      </c>
      <c r="H2857">
        <v>79.98</v>
      </c>
      <c r="I2857" t="s">
        <v>15</v>
      </c>
      <c r="J2857" t="s">
        <v>15</v>
      </c>
      <c r="K2857">
        <v>14.4</v>
      </c>
      <c r="L2857">
        <v>0</v>
      </c>
    </row>
    <row r="2858" spans="1:12" x14ac:dyDescent="0.3">
      <c r="A2858" t="s">
        <v>2874</v>
      </c>
      <c r="B2858" t="s">
        <v>17</v>
      </c>
      <c r="C2858">
        <v>12998</v>
      </c>
      <c r="D2858">
        <v>207.97</v>
      </c>
      <c r="E2858">
        <v>37.43</v>
      </c>
      <c r="F2858">
        <f>COUNTIFS(mdr_rate_cleaned!$A$2:$A$10,B2858,mdr_rate_cleaned!$B$2:$B$10,"&lt;"&amp;C2858,mdr_rate_cleaned!$F$2:$F$10,"&gt;="&amp;C2858)</f>
        <v>1</v>
      </c>
      <c r="G2858">
        <v>1.6E-2</v>
      </c>
      <c r="H2858">
        <v>207.97</v>
      </c>
      <c r="I2858" t="s">
        <v>15</v>
      </c>
      <c r="J2858" t="s">
        <v>15</v>
      </c>
      <c r="K2858">
        <v>37.43</v>
      </c>
      <c r="L2858">
        <v>0</v>
      </c>
    </row>
    <row r="2859" spans="1:12" x14ac:dyDescent="0.3">
      <c r="A2859" t="s">
        <v>2875</v>
      </c>
      <c r="B2859" t="s">
        <v>13</v>
      </c>
      <c r="C2859">
        <v>4998</v>
      </c>
      <c r="D2859">
        <v>84.97</v>
      </c>
      <c r="E2859">
        <v>15.29</v>
      </c>
      <c r="F2859">
        <f>COUNTIFS(mdr_rate_cleaned!$A$2:$A$10,B2859,mdr_rate_cleaned!$B$2:$B$10,"&lt;"&amp;C2859,mdr_rate_cleaned!$F$2:$F$10,"&gt;="&amp;C2859)</f>
        <v>1</v>
      </c>
      <c r="G2859">
        <v>1.7000000000000001E-2</v>
      </c>
      <c r="H2859">
        <v>84.97</v>
      </c>
      <c r="I2859" t="s">
        <v>15</v>
      </c>
      <c r="J2859" t="s">
        <v>15</v>
      </c>
      <c r="K2859">
        <v>15.29</v>
      </c>
      <c r="L2859">
        <v>0</v>
      </c>
    </row>
    <row r="2860" spans="1:12" x14ac:dyDescent="0.3">
      <c r="A2860" t="s">
        <v>2876</v>
      </c>
      <c r="B2860" t="s">
        <v>21</v>
      </c>
      <c r="C2860">
        <v>499</v>
      </c>
      <c r="D2860">
        <v>0</v>
      </c>
      <c r="E2860">
        <v>0</v>
      </c>
      <c r="F2860">
        <f>COUNTIFS(mdr_rate_cleaned!$A$2:$A$10,B2860,mdr_rate_cleaned!$B$2:$B$10,"&lt;"&amp;C2860,mdr_rate_cleaned!$F$2:$F$10,"&gt;="&amp;C2860)</f>
        <v>1</v>
      </c>
      <c r="G2860">
        <v>0</v>
      </c>
      <c r="H2860">
        <v>0</v>
      </c>
      <c r="I2860" t="s">
        <v>15</v>
      </c>
      <c r="J2860" t="s">
        <v>15</v>
      </c>
      <c r="K2860">
        <v>0</v>
      </c>
      <c r="L2860">
        <v>0</v>
      </c>
    </row>
    <row r="2861" spans="1:12" x14ac:dyDescent="0.3">
      <c r="A2861" t="s">
        <v>2877</v>
      </c>
      <c r="B2861" t="s">
        <v>17</v>
      </c>
      <c r="C2861">
        <v>349</v>
      </c>
      <c r="D2861">
        <v>6.28</v>
      </c>
      <c r="E2861">
        <v>1.1299999999999999</v>
      </c>
      <c r="F2861">
        <f>COUNTIFS(mdr_rate_cleaned!$A$2:$A$10,B2861,mdr_rate_cleaned!$B$2:$B$10,"&lt;"&amp;C2861,mdr_rate_cleaned!$F$2:$F$10,"&gt;="&amp;C2861)</f>
        <v>1</v>
      </c>
      <c r="G2861">
        <v>1.7999999999999999E-2</v>
      </c>
      <c r="H2861">
        <v>6.28</v>
      </c>
      <c r="I2861" t="s">
        <v>15</v>
      </c>
      <c r="J2861" t="s">
        <v>15</v>
      </c>
      <c r="K2861">
        <v>1.1299999999999999</v>
      </c>
      <c r="L2861">
        <v>0</v>
      </c>
    </row>
    <row r="2862" spans="1:12" x14ac:dyDescent="0.3">
      <c r="A2862" t="s">
        <v>2878</v>
      </c>
      <c r="B2862" t="s">
        <v>17</v>
      </c>
      <c r="C2862">
        <v>2297</v>
      </c>
      <c r="D2862">
        <v>36.75</v>
      </c>
      <c r="E2862">
        <v>6.62</v>
      </c>
      <c r="F2862">
        <f>COUNTIFS(mdr_rate_cleaned!$A$2:$A$10,B2862,mdr_rate_cleaned!$B$2:$B$10,"&lt;"&amp;C2862,mdr_rate_cleaned!$F$2:$F$10,"&gt;="&amp;C2862)</f>
        <v>1</v>
      </c>
      <c r="G2862">
        <v>1.6E-2</v>
      </c>
      <c r="H2862">
        <v>36.75</v>
      </c>
      <c r="I2862" t="s">
        <v>15</v>
      </c>
      <c r="J2862" t="s">
        <v>15</v>
      </c>
      <c r="K2862">
        <v>6.62</v>
      </c>
      <c r="L2862">
        <v>0</v>
      </c>
    </row>
    <row r="2863" spans="1:12" x14ac:dyDescent="0.3">
      <c r="A2863" t="s">
        <v>2879</v>
      </c>
      <c r="B2863" t="s">
        <v>21</v>
      </c>
      <c r="C2863">
        <v>2098</v>
      </c>
      <c r="D2863">
        <v>6.29</v>
      </c>
      <c r="E2863">
        <v>1.1299999999999999</v>
      </c>
      <c r="F2863">
        <f>COUNTIFS(mdr_rate_cleaned!$A$2:$A$10,B2863,mdr_rate_cleaned!$B$2:$B$10,"&lt;"&amp;C2863,mdr_rate_cleaned!$F$2:$F$10,"&gt;="&amp;C2863)</f>
        <v>1</v>
      </c>
      <c r="G2863">
        <v>3.0000000000000001E-3</v>
      </c>
      <c r="H2863">
        <v>6.29</v>
      </c>
      <c r="I2863" t="s">
        <v>15</v>
      </c>
      <c r="J2863" t="s">
        <v>15</v>
      </c>
      <c r="K2863">
        <v>1.1299999999999999</v>
      </c>
      <c r="L2863">
        <v>0</v>
      </c>
    </row>
    <row r="2864" spans="1:12" x14ac:dyDescent="0.3">
      <c r="A2864" t="s">
        <v>2880</v>
      </c>
      <c r="B2864" t="s">
        <v>21</v>
      </c>
      <c r="C2864">
        <v>1799</v>
      </c>
      <c r="D2864">
        <v>0</v>
      </c>
      <c r="E2864">
        <v>0</v>
      </c>
      <c r="F2864">
        <f>COUNTIFS(mdr_rate_cleaned!$A$2:$A$10,B2864,mdr_rate_cleaned!$B$2:$B$10,"&lt;"&amp;C2864,mdr_rate_cleaned!$F$2:$F$10,"&gt;="&amp;C2864)</f>
        <v>1</v>
      </c>
      <c r="G2864">
        <v>0</v>
      </c>
      <c r="H2864">
        <v>0</v>
      </c>
      <c r="I2864" t="s">
        <v>15</v>
      </c>
      <c r="J2864" t="s">
        <v>15</v>
      </c>
      <c r="K2864">
        <v>0</v>
      </c>
      <c r="L2864">
        <v>0</v>
      </c>
    </row>
    <row r="2865" spans="1:12" x14ac:dyDescent="0.3">
      <c r="A2865" t="s">
        <v>2881</v>
      </c>
      <c r="B2865" t="s">
        <v>17</v>
      </c>
      <c r="C2865">
        <v>1499</v>
      </c>
      <c r="D2865">
        <v>26.98</v>
      </c>
      <c r="E2865">
        <v>4.8600000000000003</v>
      </c>
      <c r="F2865">
        <f>COUNTIFS(mdr_rate_cleaned!$A$2:$A$10,B2865,mdr_rate_cleaned!$B$2:$B$10,"&lt;"&amp;C2865,mdr_rate_cleaned!$F$2:$F$10,"&gt;="&amp;C2865)</f>
        <v>1</v>
      </c>
      <c r="G2865">
        <v>1.7999999999999999E-2</v>
      </c>
      <c r="H2865">
        <v>26.98</v>
      </c>
      <c r="I2865" t="s">
        <v>15</v>
      </c>
      <c r="J2865" t="s">
        <v>15</v>
      </c>
      <c r="K2865">
        <v>4.8600000000000003</v>
      </c>
      <c r="L2865">
        <v>0</v>
      </c>
    </row>
    <row r="2866" spans="1:12" x14ac:dyDescent="0.3">
      <c r="A2866" t="s">
        <v>2882</v>
      </c>
      <c r="B2866" t="s">
        <v>21</v>
      </c>
      <c r="C2866">
        <v>7999</v>
      </c>
      <c r="D2866">
        <v>24</v>
      </c>
      <c r="E2866">
        <v>4.32</v>
      </c>
      <c r="F2866">
        <f>COUNTIFS(mdr_rate_cleaned!$A$2:$A$10,B2866,mdr_rate_cleaned!$B$2:$B$10,"&lt;"&amp;C2866,mdr_rate_cleaned!$F$2:$F$10,"&gt;="&amp;C2866)</f>
        <v>1</v>
      </c>
      <c r="G2866">
        <v>3.0000000000000001E-3</v>
      </c>
      <c r="H2866">
        <v>24</v>
      </c>
      <c r="I2866" t="s">
        <v>15</v>
      </c>
      <c r="J2866" t="s">
        <v>15</v>
      </c>
      <c r="K2866">
        <v>4.32</v>
      </c>
      <c r="L2866">
        <v>0</v>
      </c>
    </row>
    <row r="2867" spans="1:12" x14ac:dyDescent="0.3">
      <c r="A2867" t="s">
        <v>2883</v>
      </c>
      <c r="B2867" t="s">
        <v>21</v>
      </c>
      <c r="C2867">
        <v>10147</v>
      </c>
      <c r="D2867">
        <v>30.44</v>
      </c>
      <c r="E2867">
        <v>5.48</v>
      </c>
      <c r="F2867">
        <f>COUNTIFS(mdr_rate_cleaned!$A$2:$A$10,B2867,mdr_rate_cleaned!$B$2:$B$10,"&lt;"&amp;C2867,mdr_rate_cleaned!$F$2:$F$10,"&gt;="&amp;C2867)</f>
        <v>1</v>
      </c>
      <c r="G2867">
        <v>3.0000000000000001E-3</v>
      </c>
      <c r="H2867">
        <v>30.44</v>
      </c>
      <c r="I2867" t="s">
        <v>15</v>
      </c>
      <c r="J2867" t="s">
        <v>15</v>
      </c>
      <c r="K2867">
        <v>5.48</v>
      </c>
      <c r="L2867">
        <v>0</v>
      </c>
    </row>
    <row r="2868" spans="1:12" x14ac:dyDescent="0.3">
      <c r="A2868" t="s">
        <v>2884</v>
      </c>
      <c r="B2868" t="s">
        <v>21</v>
      </c>
      <c r="C2868">
        <v>599</v>
      </c>
      <c r="D2868">
        <v>0</v>
      </c>
      <c r="E2868">
        <v>0</v>
      </c>
      <c r="F2868">
        <f>COUNTIFS(mdr_rate_cleaned!$A$2:$A$10,B2868,mdr_rate_cleaned!$B$2:$B$10,"&lt;"&amp;C2868,mdr_rate_cleaned!$F$2:$F$10,"&gt;="&amp;C2868)</f>
        <v>1</v>
      </c>
      <c r="G2868">
        <v>0</v>
      </c>
      <c r="H2868">
        <v>0</v>
      </c>
      <c r="I2868" t="s">
        <v>15</v>
      </c>
      <c r="J2868" t="s">
        <v>15</v>
      </c>
      <c r="K2868">
        <v>0</v>
      </c>
      <c r="L2868">
        <v>0</v>
      </c>
    </row>
    <row r="2869" spans="1:12" x14ac:dyDescent="0.3">
      <c r="A2869" t="s">
        <v>2885</v>
      </c>
      <c r="B2869" t="s">
        <v>13</v>
      </c>
      <c r="C2869">
        <v>4999</v>
      </c>
      <c r="D2869">
        <v>84.98</v>
      </c>
      <c r="E2869">
        <v>15.3</v>
      </c>
      <c r="F2869">
        <f>COUNTIFS(mdr_rate_cleaned!$A$2:$A$10,B2869,mdr_rate_cleaned!$B$2:$B$10,"&lt;"&amp;C2869,mdr_rate_cleaned!$F$2:$F$10,"&gt;="&amp;C2869)</f>
        <v>1</v>
      </c>
      <c r="G2869">
        <v>1.7000000000000001E-2</v>
      </c>
      <c r="H2869">
        <v>84.98</v>
      </c>
      <c r="I2869" t="s">
        <v>15</v>
      </c>
      <c r="J2869" t="s">
        <v>15</v>
      </c>
      <c r="K2869">
        <v>15.3</v>
      </c>
      <c r="L2869">
        <v>0</v>
      </c>
    </row>
    <row r="2870" spans="1:12" x14ac:dyDescent="0.3">
      <c r="A2870" t="s">
        <v>2886</v>
      </c>
      <c r="B2870" t="s">
        <v>39</v>
      </c>
      <c r="C2870">
        <v>499</v>
      </c>
      <c r="D2870">
        <v>7.49</v>
      </c>
      <c r="E2870">
        <v>1.35</v>
      </c>
      <c r="F2870">
        <f>COUNTIFS(mdr_rate_cleaned!$A$2:$A$10,B2870,mdr_rate_cleaned!$B$2:$B$10,"&lt;"&amp;C2870,mdr_rate_cleaned!$F$2:$F$10,"&gt;="&amp;C2870)</f>
        <v>1</v>
      </c>
      <c r="G2870">
        <v>1.4999999999999999E-2</v>
      </c>
      <c r="H2870">
        <v>7.49</v>
      </c>
      <c r="I2870" t="s">
        <v>15</v>
      </c>
      <c r="J2870" t="s">
        <v>15</v>
      </c>
      <c r="K2870">
        <v>1.35</v>
      </c>
      <c r="L2870">
        <v>0</v>
      </c>
    </row>
    <row r="2871" spans="1:12" x14ac:dyDescent="0.3">
      <c r="A2871" t="s">
        <v>2887</v>
      </c>
      <c r="B2871" t="s">
        <v>17</v>
      </c>
      <c r="C2871">
        <v>2647</v>
      </c>
      <c r="D2871">
        <v>42.35</v>
      </c>
      <c r="E2871">
        <v>7.62</v>
      </c>
      <c r="F2871">
        <f>COUNTIFS(mdr_rate_cleaned!$A$2:$A$10,B2871,mdr_rate_cleaned!$B$2:$B$10,"&lt;"&amp;C2871,mdr_rate_cleaned!$F$2:$F$10,"&gt;="&amp;C2871)</f>
        <v>1</v>
      </c>
      <c r="G2871">
        <v>1.6E-2</v>
      </c>
      <c r="H2871">
        <v>42.35</v>
      </c>
      <c r="I2871" t="s">
        <v>15</v>
      </c>
      <c r="J2871" t="s">
        <v>15</v>
      </c>
      <c r="K2871">
        <v>7.62</v>
      </c>
      <c r="L2871">
        <v>0</v>
      </c>
    </row>
    <row r="2872" spans="1:12" x14ac:dyDescent="0.3">
      <c r="A2872" t="s">
        <v>2888</v>
      </c>
      <c r="B2872" t="s">
        <v>17</v>
      </c>
      <c r="C2872">
        <v>4999</v>
      </c>
      <c r="D2872">
        <v>79.98</v>
      </c>
      <c r="E2872">
        <v>14.4</v>
      </c>
      <c r="F2872">
        <f>COUNTIFS(mdr_rate_cleaned!$A$2:$A$10,B2872,mdr_rate_cleaned!$B$2:$B$10,"&lt;"&amp;C2872,mdr_rate_cleaned!$F$2:$F$10,"&gt;="&amp;C2872)</f>
        <v>1</v>
      </c>
      <c r="G2872">
        <v>1.6E-2</v>
      </c>
      <c r="H2872">
        <v>79.98</v>
      </c>
      <c r="I2872" t="s">
        <v>15</v>
      </c>
      <c r="J2872" t="s">
        <v>15</v>
      </c>
      <c r="K2872">
        <v>14.4</v>
      </c>
      <c r="L2872">
        <v>0</v>
      </c>
    </row>
    <row r="2873" spans="1:12" x14ac:dyDescent="0.3">
      <c r="A2873" t="s">
        <v>2889</v>
      </c>
      <c r="B2873" t="s">
        <v>21</v>
      </c>
      <c r="C2873">
        <v>8998</v>
      </c>
      <c r="D2873">
        <v>26.99</v>
      </c>
      <c r="E2873">
        <v>4.8600000000000003</v>
      </c>
      <c r="F2873">
        <f>COUNTIFS(mdr_rate_cleaned!$A$2:$A$10,B2873,mdr_rate_cleaned!$B$2:$B$10,"&lt;"&amp;C2873,mdr_rate_cleaned!$F$2:$F$10,"&gt;="&amp;C2873)</f>
        <v>1</v>
      </c>
      <c r="G2873">
        <v>3.0000000000000001E-3</v>
      </c>
      <c r="H2873">
        <v>26.99</v>
      </c>
      <c r="I2873" t="s">
        <v>15</v>
      </c>
      <c r="J2873" t="s">
        <v>15</v>
      </c>
      <c r="K2873">
        <v>4.8600000000000003</v>
      </c>
      <c r="L2873">
        <v>0</v>
      </c>
    </row>
    <row r="2874" spans="1:12" x14ac:dyDescent="0.3">
      <c r="A2874" t="s">
        <v>2890</v>
      </c>
      <c r="B2874" t="s">
        <v>21</v>
      </c>
      <c r="C2874">
        <v>5598</v>
      </c>
      <c r="D2874">
        <v>16.79</v>
      </c>
      <c r="E2874">
        <v>3.02</v>
      </c>
      <c r="F2874">
        <f>COUNTIFS(mdr_rate_cleaned!$A$2:$A$10,B2874,mdr_rate_cleaned!$B$2:$B$10,"&lt;"&amp;C2874,mdr_rate_cleaned!$F$2:$F$10,"&gt;="&amp;C2874)</f>
        <v>1</v>
      </c>
      <c r="G2874">
        <v>3.0000000000000001E-3</v>
      </c>
      <c r="H2874">
        <v>16.79</v>
      </c>
      <c r="I2874" t="s">
        <v>15</v>
      </c>
      <c r="J2874" t="s">
        <v>15</v>
      </c>
      <c r="K2874">
        <v>3.02</v>
      </c>
      <c r="L2874">
        <v>0</v>
      </c>
    </row>
    <row r="2875" spans="1:12" x14ac:dyDescent="0.3">
      <c r="A2875" t="s">
        <v>2891</v>
      </c>
      <c r="B2875" t="s">
        <v>39</v>
      </c>
      <c r="C2875">
        <v>299</v>
      </c>
      <c r="D2875">
        <v>4.49</v>
      </c>
      <c r="E2875">
        <v>0.81</v>
      </c>
      <c r="F2875">
        <f>COUNTIFS(mdr_rate_cleaned!$A$2:$A$10,B2875,mdr_rate_cleaned!$B$2:$B$10,"&lt;"&amp;C2875,mdr_rate_cleaned!$F$2:$F$10,"&gt;="&amp;C2875)</f>
        <v>1</v>
      </c>
      <c r="G2875">
        <v>1.4999999999999999E-2</v>
      </c>
      <c r="H2875">
        <v>4.49</v>
      </c>
      <c r="I2875" t="s">
        <v>15</v>
      </c>
      <c r="J2875" t="s">
        <v>15</v>
      </c>
      <c r="K2875">
        <v>0.81</v>
      </c>
      <c r="L2875">
        <v>0</v>
      </c>
    </row>
    <row r="2876" spans="1:12" x14ac:dyDescent="0.3">
      <c r="A2876" t="s">
        <v>2892</v>
      </c>
      <c r="B2876" t="s">
        <v>17</v>
      </c>
      <c r="C2876">
        <v>5998</v>
      </c>
      <c r="D2876">
        <v>95.97</v>
      </c>
      <c r="E2876">
        <v>17.27</v>
      </c>
      <c r="F2876">
        <f>COUNTIFS(mdr_rate_cleaned!$A$2:$A$10,B2876,mdr_rate_cleaned!$B$2:$B$10,"&lt;"&amp;C2876,mdr_rate_cleaned!$F$2:$F$10,"&gt;="&amp;C2876)</f>
        <v>1</v>
      </c>
      <c r="G2876">
        <v>1.6E-2</v>
      </c>
      <c r="H2876">
        <v>95.97</v>
      </c>
      <c r="I2876" t="s">
        <v>15</v>
      </c>
      <c r="J2876" t="s">
        <v>15</v>
      </c>
      <c r="K2876">
        <v>17.27</v>
      </c>
      <c r="L2876">
        <v>0</v>
      </c>
    </row>
    <row r="2877" spans="1:12" x14ac:dyDescent="0.3">
      <c r="A2877" t="s">
        <v>2893</v>
      </c>
      <c r="B2877" t="s">
        <v>17</v>
      </c>
      <c r="C2877">
        <v>4298</v>
      </c>
      <c r="D2877">
        <v>68.77</v>
      </c>
      <c r="E2877">
        <v>12.38</v>
      </c>
      <c r="F2877">
        <f>COUNTIFS(mdr_rate_cleaned!$A$2:$A$10,B2877,mdr_rate_cleaned!$B$2:$B$10,"&lt;"&amp;C2877,mdr_rate_cleaned!$F$2:$F$10,"&gt;="&amp;C2877)</f>
        <v>1</v>
      </c>
      <c r="G2877">
        <v>1.6E-2</v>
      </c>
      <c r="H2877">
        <v>68.77</v>
      </c>
      <c r="I2877" t="s">
        <v>15</v>
      </c>
      <c r="J2877" t="s">
        <v>15</v>
      </c>
      <c r="K2877">
        <v>12.38</v>
      </c>
      <c r="L2877">
        <v>0</v>
      </c>
    </row>
    <row r="2878" spans="1:12" x14ac:dyDescent="0.3">
      <c r="A2878" t="s">
        <v>2894</v>
      </c>
      <c r="B2878" t="s">
        <v>21</v>
      </c>
      <c r="C2878">
        <v>999</v>
      </c>
      <c r="D2878">
        <v>0</v>
      </c>
      <c r="E2878">
        <v>0</v>
      </c>
      <c r="F2878">
        <f>COUNTIFS(mdr_rate_cleaned!$A$2:$A$10,B2878,mdr_rate_cleaned!$B$2:$B$10,"&lt;"&amp;C2878,mdr_rate_cleaned!$F$2:$F$10,"&gt;="&amp;C2878)</f>
        <v>1</v>
      </c>
      <c r="G2878">
        <v>0</v>
      </c>
      <c r="H2878">
        <v>0</v>
      </c>
      <c r="I2878" t="s">
        <v>15</v>
      </c>
      <c r="J2878" t="s">
        <v>15</v>
      </c>
      <c r="K2878">
        <v>0</v>
      </c>
      <c r="L2878">
        <v>0</v>
      </c>
    </row>
    <row r="2879" spans="1:12" x14ac:dyDescent="0.3">
      <c r="A2879" t="s">
        <v>2895</v>
      </c>
      <c r="B2879" t="s">
        <v>21</v>
      </c>
      <c r="C2879">
        <v>1299</v>
      </c>
      <c r="D2879">
        <v>0</v>
      </c>
      <c r="E2879">
        <v>0</v>
      </c>
      <c r="F2879">
        <f>COUNTIFS(mdr_rate_cleaned!$A$2:$A$10,B2879,mdr_rate_cleaned!$B$2:$B$10,"&lt;"&amp;C2879,mdr_rate_cleaned!$F$2:$F$10,"&gt;="&amp;C2879)</f>
        <v>1</v>
      </c>
      <c r="G2879">
        <v>0</v>
      </c>
      <c r="H2879">
        <v>0</v>
      </c>
      <c r="I2879" t="s">
        <v>15</v>
      </c>
      <c r="J2879" t="s">
        <v>15</v>
      </c>
      <c r="K2879">
        <v>0</v>
      </c>
      <c r="L2879">
        <v>0</v>
      </c>
    </row>
    <row r="2880" spans="1:12" x14ac:dyDescent="0.3">
      <c r="A2880" t="s">
        <v>2896</v>
      </c>
      <c r="B2880" t="s">
        <v>21</v>
      </c>
      <c r="C2880">
        <v>7999</v>
      </c>
      <c r="D2880">
        <v>24</v>
      </c>
      <c r="E2880">
        <v>4.32</v>
      </c>
      <c r="F2880">
        <f>COUNTIFS(mdr_rate_cleaned!$A$2:$A$10,B2880,mdr_rate_cleaned!$B$2:$B$10,"&lt;"&amp;C2880,mdr_rate_cleaned!$F$2:$F$10,"&gt;="&amp;C2880)</f>
        <v>1</v>
      </c>
      <c r="G2880">
        <v>3.0000000000000001E-3</v>
      </c>
      <c r="H2880">
        <v>24</v>
      </c>
      <c r="I2880" t="s">
        <v>15</v>
      </c>
      <c r="J2880" t="s">
        <v>15</v>
      </c>
      <c r="K2880">
        <v>4.32</v>
      </c>
      <c r="L2880">
        <v>0</v>
      </c>
    </row>
    <row r="2881" spans="1:12" x14ac:dyDescent="0.3">
      <c r="A2881" t="s">
        <v>2897</v>
      </c>
      <c r="B2881" t="s">
        <v>17</v>
      </c>
      <c r="C2881">
        <v>499</v>
      </c>
      <c r="D2881">
        <v>8.98</v>
      </c>
      <c r="E2881">
        <v>1.62</v>
      </c>
      <c r="F2881">
        <f>COUNTIFS(mdr_rate_cleaned!$A$2:$A$10,B2881,mdr_rate_cleaned!$B$2:$B$10,"&lt;"&amp;C2881,mdr_rate_cleaned!$F$2:$F$10,"&gt;="&amp;C2881)</f>
        <v>1</v>
      </c>
      <c r="G2881">
        <v>1.7999999999999999E-2</v>
      </c>
      <c r="H2881">
        <v>8.98</v>
      </c>
      <c r="I2881" t="s">
        <v>15</v>
      </c>
      <c r="J2881" t="s">
        <v>15</v>
      </c>
      <c r="K2881">
        <v>1.62</v>
      </c>
      <c r="L2881">
        <v>0</v>
      </c>
    </row>
    <row r="2882" spans="1:12" x14ac:dyDescent="0.3">
      <c r="A2882" t="s">
        <v>2898</v>
      </c>
      <c r="B2882" t="s">
        <v>21</v>
      </c>
      <c r="C2882">
        <v>4999</v>
      </c>
      <c r="D2882">
        <v>15</v>
      </c>
      <c r="E2882">
        <v>2.7</v>
      </c>
      <c r="F2882">
        <f>COUNTIFS(mdr_rate_cleaned!$A$2:$A$10,B2882,mdr_rate_cleaned!$B$2:$B$10,"&lt;"&amp;C2882,mdr_rate_cleaned!$F$2:$F$10,"&gt;="&amp;C2882)</f>
        <v>1</v>
      </c>
      <c r="G2882">
        <v>3.0000000000000001E-3</v>
      </c>
      <c r="H2882">
        <v>15</v>
      </c>
      <c r="I2882" t="s">
        <v>15</v>
      </c>
      <c r="J2882" t="s">
        <v>15</v>
      </c>
      <c r="K2882">
        <v>2.7</v>
      </c>
      <c r="L2882">
        <v>0</v>
      </c>
    </row>
    <row r="2883" spans="1:12" x14ac:dyDescent="0.3">
      <c r="A2883" t="s">
        <v>2899</v>
      </c>
      <c r="B2883" t="s">
        <v>21</v>
      </c>
      <c r="C2883">
        <v>299</v>
      </c>
      <c r="D2883">
        <v>0</v>
      </c>
      <c r="E2883">
        <v>0</v>
      </c>
      <c r="F2883">
        <f>COUNTIFS(mdr_rate_cleaned!$A$2:$A$10,B2883,mdr_rate_cleaned!$B$2:$B$10,"&lt;"&amp;C2883,mdr_rate_cleaned!$F$2:$F$10,"&gt;="&amp;C2883)</f>
        <v>1</v>
      </c>
      <c r="G2883">
        <v>0</v>
      </c>
      <c r="H2883">
        <v>0</v>
      </c>
      <c r="I2883" t="s">
        <v>15</v>
      </c>
      <c r="J2883" t="s">
        <v>15</v>
      </c>
      <c r="K2883">
        <v>0</v>
      </c>
      <c r="L2883">
        <v>0</v>
      </c>
    </row>
    <row r="2884" spans="1:12" x14ac:dyDescent="0.3">
      <c r="A2884" t="s">
        <v>2900</v>
      </c>
      <c r="B2884" t="s">
        <v>17</v>
      </c>
      <c r="C2884">
        <v>3499</v>
      </c>
      <c r="D2884">
        <v>55.98</v>
      </c>
      <c r="E2884">
        <v>10.08</v>
      </c>
      <c r="F2884">
        <f>COUNTIFS(mdr_rate_cleaned!$A$2:$A$10,B2884,mdr_rate_cleaned!$B$2:$B$10,"&lt;"&amp;C2884,mdr_rate_cleaned!$F$2:$F$10,"&gt;="&amp;C2884)</f>
        <v>1</v>
      </c>
      <c r="G2884">
        <v>1.6E-2</v>
      </c>
      <c r="H2884">
        <v>55.98</v>
      </c>
      <c r="I2884" t="s">
        <v>15</v>
      </c>
      <c r="J2884" t="s">
        <v>15</v>
      </c>
      <c r="K2884">
        <v>10.08</v>
      </c>
      <c r="L2884">
        <v>0</v>
      </c>
    </row>
    <row r="2885" spans="1:12" x14ac:dyDescent="0.3">
      <c r="A2885" t="s">
        <v>2901</v>
      </c>
      <c r="B2885" t="s">
        <v>21</v>
      </c>
      <c r="C2885">
        <v>2498</v>
      </c>
      <c r="D2885">
        <v>7.49</v>
      </c>
      <c r="E2885">
        <v>1.35</v>
      </c>
      <c r="F2885">
        <f>COUNTIFS(mdr_rate_cleaned!$A$2:$A$10,B2885,mdr_rate_cleaned!$B$2:$B$10,"&lt;"&amp;C2885,mdr_rate_cleaned!$F$2:$F$10,"&gt;="&amp;C2885)</f>
        <v>1</v>
      </c>
      <c r="G2885">
        <v>3.0000000000000001E-3</v>
      </c>
      <c r="H2885">
        <v>7.49</v>
      </c>
      <c r="I2885" t="s">
        <v>15</v>
      </c>
      <c r="J2885" t="s">
        <v>15</v>
      </c>
      <c r="K2885">
        <v>1.35</v>
      </c>
      <c r="L2885">
        <v>0</v>
      </c>
    </row>
    <row r="2886" spans="1:12" x14ac:dyDescent="0.3">
      <c r="A2886" t="s">
        <v>2902</v>
      </c>
      <c r="B2886" t="s">
        <v>21</v>
      </c>
      <c r="C2886">
        <v>1998</v>
      </c>
      <c r="D2886">
        <v>0</v>
      </c>
      <c r="E2886">
        <v>0</v>
      </c>
      <c r="F2886">
        <f>COUNTIFS(mdr_rate_cleaned!$A$2:$A$10,B2886,mdr_rate_cleaned!$B$2:$B$10,"&lt;"&amp;C2886,mdr_rate_cleaned!$F$2:$F$10,"&gt;="&amp;C2886)</f>
        <v>1</v>
      </c>
      <c r="G2886">
        <v>0</v>
      </c>
      <c r="H2886">
        <v>0</v>
      </c>
      <c r="I2886" t="s">
        <v>15</v>
      </c>
      <c r="J2886" t="s">
        <v>15</v>
      </c>
      <c r="K2886">
        <v>0</v>
      </c>
      <c r="L2886">
        <v>0</v>
      </c>
    </row>
    <row r="2887" spans="1:12" x14ac:dyDescent="0.3">
      <c r="A2887" t="s">
        <v>2903</v>
      </c>
      <c r="B2887" t="s">
        <v>21</v>
      </c>
      <c r="C2887">
        <v>299</v>
      </c>
      <c r="D2887">
        <v>0</v>
      </c>
      <c r="E2887">
        <v>0</v>
      </c>
      <c r="F2887">
        <f>COUNTIFS(mdr_rate_cleaned!$A$2:$A$10,B2887,mdr_rate_cleaned!$B$2:$B$10,"&lt;"&amp;C2887,mdr_rate_cleaned!$F$2:$F$10,"&gt;="&amp;C2887)</f>
        <v>1</v>
      </c>
      <c r="G2887">
        <v>0</v>
      </c>
      <c r="H2887">
        <v>0</v>
      </c>
      <c r="I2887" t="s">
        <v>15</v>
      </c>
      <c r="J2887" t="s">
        <v>15</v>
      </c>
      <c r="K2887">
        <v>0</v>
      </c>
      <c r="L2887">
        <v>0</v>
      </c>
    </row>
    <row r="2888" spans="1:12" x14ac:dyDescent="0.3">
      <c r="A2888" t="s">
        <v>2904</v>
      </c>
      <c r="B2888" t="s">
        <v>17</v>
      </c>
      <c r="C2888">
        <v>1799</v>
      </c>
      <c r="D2888">
        <v>32.380000000000003</v>
      </c>
      <c r="E2888">
        <v>5.83</v>
      </c>
      <c r="F2888">
        <f>COUNTIFS(mdr_rate_cleaned!$A$2:$A$10,B2888,mdr_rate_cleaned!$B$2:$B$10,"&lt;"&amp;C2888,mdr_rate_cleaned!$F$2:$F$10,"&gt;="&amp;C2888)</f>
        <v>1</v>
      </c>
      <c r="G2888">
        <v>1.7999999999999999E-2</v>
      </c>
      <c r="H2888">
        <v>32.380000000000003</v>
      </c>
      <c r="I2888" t="s">
        <v>15</v>
      </c>
      <c r="J2888" t="s">
        <v>15</v>
      </c>
      <c r="K2888">
        <v>5.83</v>
      </c>
      <c r="L2888">
        <v>0</v>
      </c>
    </row>
    <row r="2889" spans="1:12" x14ac:dyDescent="0.3">
      <c r="A2889" t="s">
        <v>2905</v>
      </c>
      <c r="B2889" t="s">
        <v>21</v>
      </c>
      <c r="C2889">
        <v>1299</v>
      </c>
      <c r="D2889">
        <v>0</v>
      </c>
      <c r="E2889">
        <v>0</v>
      </c>
      <c r="F2889">
        <f>COUNTIFS(mdr_rate_cleaned!$A$2:$A$10,B2889,mdr_rate_cleaned!$B$2:$B$10,"&lt;"&amp;C2889,mdr_rate_cleaned!$F$2:$F$10,"&gt;="&amp;C2889)</f>
        <v>1</v>
      </c>
      <c r="G2889">
        <v>0</v>
      </c>
      <c r="H2889">
        <v>0</v>
      </c>
      <c r="I2889" t="s">
        <v>15</v>
      </c>
      <c r="J2889" t="s">
        <v>15</v>
      </c>
      <c r="K2889">
        <v>0</v>
      </c>
      <c r="L2889">
        <v>0</v>
      </c>
    </row>
    <row r="2890" spans="1:12" x14ac:dyDescent="0.3">
      <c r="A2890" t="s">
        <v>2906</v>
      </c>
      <c r="B2890" t="s">
        <v>39</v>
      </c>
      <c r="C2890">
        <v>1799</v>
      </c>
      <c r="D2890">
        <v>26.99</v>
      </c>
      <c r="E2890">
        <v>4.8600000000000003</v>
      </c>
      <c r="F2890">
        <f>COUNTIFS(mdr_rate_cleaned!$A$2:$A$10,B2890,mdr_rate_cleaned!$B$2:$B$10,"&lt;"&amp;C2890,mdr_rate_cleaned!$F$2:$F$10,"&gt;="&amp;C2890)</f>
        <v>1</v>
      </c>
      <c r="G2890">
        <v>1.4999999999999999E-2</v>
      </c>
      <c r="H2890">
        <v>26.99</v>
      </c>
      <c r="I2890" t="s">
        <v>15</v>
      </c>
      <c r="J2890" t="s">
        <v>15</v>
      </c>
      <c r="K2890">
        <v>4.8600000000000003</v>
      </c>
      <c r="L2890">
        <v>0</v>
      </c>
    </row>
    <row r="2891" spans="1:12" x14ac:dyDescent="0.3">
      <c r="A2891" t="s">
        <v>2907</v>
      </c>
      <c r="B2891" t="s">
        <v>17</v>
      </c>
      <c r="C2891">
        <v>1749</v>
      </c>
      <c r="D2891">
        <v>31.48</v>
      </c>
      <c r="E2891">
        <v>5.67</v>
      </c>
      <c r="F2891">
        <f>COUNTIFS(mdr_rate_cleaned!$A$2:$A$10,B2891,mdr_rate_cleaned!$B$2:$B$10,"&lt;"&amp;C2891,mdr_rate_cleaned!$F$2:$F$10,"&gt;="&amp;C2891)</f>
        <v>1</v>
      </c>
      <c r="G2891">
        <v>1.7999999999999999E-2</v>
      </c>
      <c r="H2891">
        <v>31.48</v>
      </c>
      <c r="I2891" t="s">
        <v>15</v>
      </c>
      <c r="J2891" t="s">
        <v>15</v>
      </c>
      <c r="K2891">
        <v>5.67</v>
      </c>
      <c r="L2891">
        <v>0</v>
      </c>
    </row>
    <row r="2892" spans="1:12" x14ac:dyDescent="0.3">
      <c r="A2892" t="s">
        <v>2908</v>
      </c>
      <c r="B2892" t="s">
        <v>21</v>
      </c>
      <c r="C2892">
        <v>2499</v>
      </c>
      <c r="D2892">
        <v>7.5</v>
      </c>
      <c r="E2892">
        <v>1.35</v>
      </c>
      <c r="F2892">
        <f>COUNTIFS(mdr_rate_cleaned!$A$2:$A$10,B2892,mdr_rate_cleaned!$B$2:$B$10,"&lt;"&amp;C2892,mdr_rate_cleaned!$F$2:$F$10,"&gt;="&amp;C2892)</f>
        <v>1</v>
      </c>
      <c r="G2892">
        <v>3.0000000000000001E-3</v>
      </c>
      <c r="H2892">
        <v>7.5</v>
      </c>
      <c r="I2892" t="s">
        <v>15</v>
      </c>
      <c r="J2892" t="s">
        <v>15</v>
      </c>
      <c r="K2892">
        <v>1.35</v>
      </c>
      <c r="L2892">
        <v>0</v>
      </c>
    </row>
    <row r="2893" spans="1:12" x14ac:dyDescent="0.3">
      <c r="A2893" t="s">
        <v>2909</v>
      </c>
      <c r="B2893" t="s">
        <v>39</v>
      </c>
      <c r="C2893">
        <v>7999</v>
      </c>
      <c r="D2893">
        <v>95.99</v>
      </c>
      <c r="E2893">
        <v>17.28</v>
      </c>
      <c r="F2893">
        <f>COUNTIFS(mdr_rate_cleaned!$A$2:$A$10,B2893,mdr_rate_cleaned!$B$2:$B$10,"&lt;"&amp;C2893,mdr_rate_cleaned!$F$2:$F$10,"&gt;="&amp;C2893)</f>
        <v>1</v>
      </c>
      <c r="G2893">
        <v>1.2E-2</v>
      </c>
      <c r="H2893">
        <v>95.99</v>
      </c>
      <c r="I2893" t="s">
        <v>15</v>
      </c>
      <c r="J2893" t="s">
        <v>15</v>
      </c>
      <c r="K2893">
        <v>17.28</v>
      </c>
      <c r="L2893">
        <v>0</v>
      </c>
    </row>
    <row r="2894" spans="1:12" x14ac:dyDescent="0.3">
      <c r="A2894" t="s">
        <v>2910</v>
      </c>
      <c r="B2894" t="s">
        <v>21</v>
      </c>
      <c r="C2894">
        <v>948</v>
      </c>
      <c r="D2894">
        <v>0</v>
      </c>
      <c r="E2894">
        <v>0</v>
      </c>
      <c r="F2894">
        <f>COUNTIFS(mdr_rate_cleaned!$A$2:$A$10,B2894,mdr_rate_cleaned!$B$2:$B$10,"&lt;"&amp;C2894,mdr_rate_cleaned!$F$2:$F$10,"&gt;="&amp;C2894)</f>
        <v>1</v>
      </c>
      <c r="G2894">
        <v>0</v>
      </c>
      <c r="H2894">
        <v>0</v>
      </c>
      <c r="I2894" t="s">
        <v>15</v>
      </c>
      <c r="J2894" t="s">
        <v>15</v>
      </c>
      <c r="K2894">
        <v>0</v>
      </c>
      <c r="L2894">
        <v>0</v>
      </c>
    </row>
    <row r="2895" spans="1:12" x14ac:dyDescent="0.3">
      <c r="A2895" t="s">
        <v>2911</v>
      </c>
      <c r="B2895" t="s">
        <v>21</v>
      </c>
      <c r="C2895">
        <v>5597</v>
      </c>
      <c r="D2895">
        <v>16.79</v>
      </c>
      <c r="E2895">
        <v>3.02</v>
      </c>
      <c r="F2895">
        <f>COUNTIFS(mdr_rate_cleaned!$A$2:$A$10,B2895,mdr_rate_cleaned!$B$2:$B$10,"&lt;"&amp;C2895,mdr_rate_cleaned!$F$2:$F$10,"&gt;="&amp;C2895)</f>
        <v>1</v>
      </c>
      <c r="G2895">
        <v>3.0000000000000001E-3</v>
      </c>
      <c r="H2895">
        <v>16.79</v>
      </c>
      <c r="I2895" t="s">
        <v>15</v>
      </c>
      <c r="J2895" t="s">
        <v>15</v>
      </c>
      <c r="K2895">
        <v>3.02</v>
      </c>
      <c r="L2895">
        <v>0</v>
      </c>
    </row>
    <row r="2896" spans="1:12" x14ac:dyDescent="0.3">
      <c r="A2896" t="s">
        <v>2912</v>
      </c>
      <c r="B2896" t="s">
        <v>21</v>
      </c>
      <c r="C2896">
        <v>8498</v>
      </c>
      <c r="D2896">
        <v>25.49</v>
      </c>
      <c r="E2896">
        <v>4.59</v>
      </c>
      <c r="F2896">
        <f>COUNTIFS(mdr_rate_cleaned!$A$2:$A$10,B2896,mdr_rate_cleaned!$B$2:$B$10,"&lt;"&amp;C2896,mdr_rate_cleaned!$F$2:$F$10,"&gt;="&amp;C2896)</f>
        <v>1</v>
      </c>
      <c r="G2896">
        <v>3.0000000000000001E-3</v>
      </c>
      <c r="H2896">
        <v>25.49</v>
      </c>
      <c r="I2896" t="s">
        <v>15</v>
      </c>
      <c r="J2896" t="s">
        <v>15</v>
      </c>
      <c r="K2896">
        <v>4.59</v>
      </c>
      <c r="L2896">
        <v>0</v>
      </c>
    </row>
    <row r="2897" spans="1:12" x14ac:dyDescent="0.3">
      <c r="A2897" t="s">
        <v>2913</v>
      </c>
      <c r="B2897" t="s">
        <v>21</v>
      </c>
      <c r="C2897">
        <v>7999</v>
      </c>
      <c r="D2897">
        <v>24</v>
      </c>
      <c r="E2897">
        <v>4.32</v>
      </c>
      <c r="F2897">
        <f>COUNTIFS(mdr_rate_cleaned!$A$2:$A$10,B2897,mdr_rate_cleaned!$B$2:$B$10,"&lt;"&amp;C2897,mdr_rate_cleaned!$F$2:$F$10,"&gt;="&amp;C2897)</f>
        <v>1</v>
      </c>
      <c r="G2897">
        <v>3.0000000000000001E-3</v>
      </c>
      <c r="H2897">
        <v>24</v>
      </c>
      <c r="I2897" t="s">
        <v>15</v>
      </c>
      <c r="J2897" t="s">
        <v>15</v>
      </c>
      <c r="K2897">
        <v>4.32</v>
      </c>
      <c r="L2897">
        <v>0</v>
      </c>
    </row>
    <row r="2898" spans="1:12" x14ac:dyDescent="0.3">
      <c r="A2898" t="s">
        <v>2914</v>
      </c>
      <c r="B2898" t="s">
        <v>21</v>
      </c>
      <c r="C2898">
        <v>5097</v>
      </c>
      <c r="D2898">
        <v>15.29</v>
      </c>
      <c r="E2898">
        <v>2.75</v>
      </c>
      <c r="F2898">
        <f>COUNTIFS(mdr_rate_cleaned!$A$2:$A$10,B2898,mdr_rate_cleaned!$B$2:$B$10,"&lt;"&amp;C2898,mdr_rate_cleaned!$F$2:$F$10,"&gt;="&amp;C2898)</f>
        <v>1</v>
      </c>
      <c r="G2898">
        <v>3.0000000000000001E-3</v>
      </c>
      <c r="H2898">
        <v>15.29</v>
      </c>
      <c r="I2898" t="s">
        <v>15</v>
      </c>
      <c r="J2898" t="s">
        <v>15</v>
      </c>
      <c r="K2898">
        <v>2.75</v>
      </c>
      <c r="L2898">
        <v>0</v>
      </c>
    </row>
    <row r="2899" spans="1:12" x14ac:dyDescent="0.3">
      <c r="A2899" t="s">
        <v>2915</v>
      </c>
      <c r="B2899" t="s">
        <v>17</v>
      </c>
      <c r="C2899">
        <v>599</v>
      </c>
      <c r="D2899">
        <v>10.78</v>
      </c>
      <c r="E2899">
        <v>1.94</v>
      </c>
      <c r="F2899">
        <f>COUNTIFS(mdr_rate_cleaned!$A$2:$A$10,B2899,mdr_rate_cleaned!$B$2:$B$10,"&lt;"&amp;C2899,mdr_rate_cleaned!$F$2:$F$10,"&gt;="&amp;C2899)</f>
        <v>1</v>
      </c>
      <c r="G2899">
        <v>1.7999999999999999E-2</v>
      </c>
      <c r="H2899">
        <v>10.78</v>
      </c>
      <c r="I2899" t="s">
        <v>15</v>
      </c>
      <c r="J2899" t="s">
        <v>15</v>
      </c>
      <c r="K2899">
        <v>1.94</v>
      </c>
      <c r="L2899">
        <v>0</v>
      </c>
    </row>
    <row r="2900" spans="1:12" x14ac:dyDescent="0.3">
      <c r="A2900" t="s">
        <v>2916</v>
      </c>
      <c r="B2900" t="s">
        <v>17</v>
      </c>
      <c r="C2900">
        <v>4097</v>
      </c>
      <c r="D2900">
        <v>65.55</v>
      </c>
      <c r="E2900">
        <v>11.8</v>
      </c>
      <c r="F2900">
        <f>COUNTIFS(mdr_rate_cleaned!$A$2:$A$10,B2900,mdr_rate_cleaned!$B$2:$B$10,"&lt;"&amp;C2900,mdr_rate_cleaned!$F$2:$F$10,"&gt;="&amp;C2900)</f>
        <v>1</v>
      </c>
      <c r="G2900">
        <v>1.6E-2</v>
      </c>
      <c r="H2900">
        <v>65.55</v>
      </c>
      <c r="I2900" t="s">
        <v>15</v>
      </c>
      <c r="J2900" t="s">
        <v>15</v>
      </c>
      <c r="K2900">
        <v>11.8</v>
      </c>
      <c r="L2900">
        <v>0</v>
      </c>
    </row>
    <row r="2901" spans="1:12" x14ac:dyDescent="0.3">
      <c r="A2901" t="s">
        <v>2917</v>
      </c>
      <c r="B2901" t="s">
        <v>39</v>
      </c>
      <c r="C2901">
        <v>499</v>
      </c>
      <c r="D2901">
        <v>7.49</v>
      </c>
      <c r="E2901">
        <v>1.35</v>
      </c>
      <c r="F2901">
        <f>COUNTIFS(mdr_rate_cleaned!$A$2:$A$10,B2901,mdr_rate_cleaned!$B$2:$B$10,"&lt;"&amp;C2901,mdr_rate_cleaned!$F$2:$F$10,"&gt;="&amp;C2901)</f>
        <v>1</v>
      </c>
      <c r="G2901">
        <v>1.4999999999999999E-2</v>
      </c>
      <c r="H2901">
        <v>7.49</v>
      </c>
      <c r="I2901" t="s">
        <v>15</v>
      </c>
      <c r="J2901" t="s">
        <v>15</v>
      </c>
      <c r="K2901">
        <v>1.35</v>
      </c>
      <c r="L2901">
        <v>0</v>
      </c>
    </row>
    <row r="2902" spans="1:12" x14ac:dyDescent="0.3">
      <c r="A2902" t="s">
        <v>2918</v>
      </c>
      <c r="B2902" t="s">
        <v>13</v>
      </c>
      <c r="C2902">
        <v>13497</v>
      </c>
      <c r="D2902">
        <v>229.45</v>
      </c>
      <c r="E2902">
        <v>41.3</v>
      </c>
      <c r="F2902">
        <f>COUNTIFS(mdr_rate_cleaned!$A$2:$A$10,B2902,mdr_rate_cleaned!$B$2:$B$10,"&lt;"&amp;C2902,mdr_rate_cleaned!$F$2:$F$10,"&gt;="&amp;C2902)</f>
        <v>1</v>
      </c>
      <c r="G2902">
        <v>1.7000000000000001E-2</v>
      </c>
      <c r="H2902">
        <v>229.45</v>
      </c>
      <c r="I2902" t="s">
        <v>15</v>
      </c>
      <c r="J2902" t="s">
        <v>15</v>
      </c>
      <c r="K2902">
        <v>41.3</v>
      </c>
      <c r="L2902">
        <v>0</v>
      </c>
    </row>
    <row r="2903" spans="1:12" x14ac:dyDescent="0.3">
      <c r="A2903" t="s">
        <v>2919</v>
      </c>
      <c r="B2903" t="s">
        <v>39</v>
      </c>
      <c r="C2903">
        <v>8498</v>
      </c>
      <c r="D2903">
        <v>101.98</v>
      </c>
      <c r="E2903">
        <v>18.36</v>
      </c>
      <c r="F2903">
        <f>COUNTIFS(mdr_rate_cleaned!$A$2:$A$10,B2903,mdr_rate_cleaned!$B$2:$B$10,"&lt;"&amp;C2903,mdr_rate_cleaned!$F$2:$F$10,"&gt;="&amp;C2903)</f>
        <v>1</v>
      </c>
      <c r="G2903">
        <v>1.2E-2</v>
      </c>
      <c r="H2903">
        <v>101.98</v>
      </c>
      <c r="I2903" t="s">
        <v>15</v>
      </c>
      <c r="J2903" t="s">
        <v>15</v>
      </c>
      <c r="K2903">
        <v>18.36</v>
      </c>
      <c r="L2903">
        <v>0</v>
      </c>
    </row>
    <row r="2904" spans="1:12" x14ac:dyDescent="0.3">
      <c r="A2904" t="s">
        <v>2920</v>
      </c>
      <c r="B2904" t="s">
        <v>39</v>
      </c>
      <c r="C2904">
        <v>499</v>
      </c>
      <c r="D2904">
        <v>7.49</v>
      </c>
      <c r="E2904">
        <v>1.35</v>
      </c>
      <c r="F2904">
        <f>COUNTIFS(mdr_rate_cleaned!$A$2:$A$10,B2904,mdr_rate_cleaned!$B$2:$B$10,"&lt;"&amp;C2904,mdr_rate_cleaned!$F$2:$F$10,"&gt;="&amp;C2904)</f>
        <v>1</v>
      </c>
      <c r="G2904">
        <v>1.4999999999999999E-2</v>
      </c>
      <c r="H2904">
        <v>7.49</v>
      </c>
      <c r="I2904" t="s">
        <v>15</v>
      </c>
      <c r="J2904" t="s">
        <v>15</v>
      </c>
      <c r="K2904">
        <v>1.35</v>
      </c>
      <c r="L2904">
        <v>0</v>
      </c>
    </row>
    <row r="2905" spans="1:12" x14ac:dyDescent="0.3">
      <c r="A2905" t="s">
        <v>2921</v>
      </c>
      <c r="B2905" t="s">
        <v>21</v>
      </c>
      <c r="C2905">
        <v>1299</v>
      </c>
      <c r="D2905">
        <v>0</v>
      </c>
      <c r="E2905">
        <v>0</v>
      </c>
      <c r="F2905">
        <f>COUNTIFS(mdr_rate_cleaned!$A$2:$A$10,B2905,mdr_rate_cleaned!$B$2:$B$10,"&lt;"&amp;C2905,mdr_rate_cleaned!$F$2:$F$10,"&gt;="&amp;C2905)</f>
        <v>1</v>
      </c>
      <c r="G2905">
        <v>0</v>
      </c>
      <c r="H2905">
        <v>0</v>
      </c>
      <c r="I2905" t="s">
        <v>15</v>
      </c>
      <c r="J2905" t="s">
        <v>15</v>
      </c>
      <c r="K2905">
        <v>0</v>
      </c>
      <c r="L2905">
        <v>0</v>
      </c>
    </row>
    <row r="2906" spans="1:12" x14ac:dyDescent="0.3">
      <c r="A2906" t="s">
        <v>2922</v>
      </c>
      <c r="B2906" t="s">
        <v>17</v>
      </c>
      <c r="C2906">
        <v>1598</v>
      </c>
      <c r="D2906">
        <v>28.76</v>
      </c>
      <c r="E2906">
        <v>5.18</v>
      </c>
      <c r="F2906">
        <f>COUNTIFS(mdr_rate_cleaned!$A$2:$A$10,B2906,mdr_rate_cleaned!$B$2:$B$10,"&lt;"&amp;C2906,mdr_rate_cleaned!$F$2:$F$10,"&gt;="&amp;C2906)</f>
        <v>1</v>
      </c>
      <c r="G2906">
        <v>1.7999999999999999E-2</v>
      </c>
      <c r="H2906">
        <v>28.76</v>
      </c>
      <c r="I2906" t="s">
        <v>15</v>
      </c>
      <c r="J2906" t="s">
        <v>15</v>
      </c>
      <c r="K2906">
        <v>5.18</v>
      </c>
      <c r="L2906">
        <v>0</v>
      </c>
    </row>
    <row r="2907" spans="1:12" x14ac:dyDescent="0.3">
      <c r="A2907" t="s">
        <v>2923</v>
      </c>
      <c r="B2907" t="s">
        <v>13</v>
      </c>
      <c r="C2907">
        <v>499</v>
      </c>
      <c r="D2907">
        <v>9.48</v>
      </c>
      <c r="E2907">
        <v>1.71</v>
      </c>
      <c r="F2907">
        <f>COUNTIFS(mdr_rate_cleaned!$A$2:$A$10,B2907,mdr_rate_cleaned!$B$2:$B$10,"&lt;"&amp;C2907,mdr_rate_cleaned!$F$2:$F$10,"&gt;="&amp;C2907)</f>
        <v>1</v>
      </c>
      <c r="G2907">
        <v>1.9E-2</v>
      </c>
      <c r="H2907">
        <v>9.48</v>
      </c>
      <c r="I2907" t="s">
        <v>15</v>
      </c>
      <c r="J2907" t="s">
        <v>15</v>
      </c>
      <c r="K2907">
        <v>1.71</v>
      </c>
      <c r="L2907">
        <v>0</v>
      </c>
    </row>
    <row r="2908" spans="1:12" x14ac:dyDescent="0.3">
      <c r="A2908" t="s">
        <v>2924</v>
      </c>
      <c r="B2908" t="s">
        <v>13</v>
      </c>
      <c r="C2908">
        <v>1799</v>
      </c>
      <c r="D2908">
        <v>34.18</v>
      </c>
      <c r="E2908">
        <v>6.15</v>
      </c>
      <c r="F2908">
        <f>COUNTIFS(mdr_rate_cleaned!$A$2:$A$10,B2908,mdr_rate_cleaned!$B$2:$B$10,"&lt;"&amp;C2908,mdr_rate_cleaned!$F$2:$F$10,"&gt;="&amp;C2908)</f>
        <v>1</v>
      </c>
      <c r="G2908">
        <v>1.9E-2</v>
      </c>
      <c r="H2908">
        <v>34.18</v>
      </c>
      <c r="I2908" t="s">
        <v>15</v>
      </c>
      <c r="J2908" t="s">
        <v>15</v>
      </c>
      <c r="K2908">
        <v>6.15</v>
      </c>
      <c r="L2908">
        <v>0</v>
      </c>
    </row>
    <row r="2909" spans="1:12" x14ac:dyDescent="0.3">
      <c r="A2909" t="s">
        <v>2925</v>
      </c>
      <c r="B2909" t="s">
        <v>17</v>
      </c>
      <c r="C2909">
        <v>9797</v>
      </c>
      <c r="D2909">
        <v>156.75</v>
      </c>
      <c r="E2909">
        <v>28.22</v>
      </c>
      <c r="F2909">
        <f>COUNTIFS(mdr_rate_cleaned!$A$2:$A$10,B2909,mdr_rate_cleaned!$B$2:$B$10,"&lt;"&amp;C2909,mdr_rate_cleaned!$F$2:$F$10,"&gt;="&amp;C2909)</f>
        <v>1</v>
      </c>
      <c r="G2909">
        <v>1.6E-2</v>
      </c>
      <c r="H2909">
        <v>156.75</v>
      </c>
      <c r="I2909" t="s">
        <v>15</v>
      </c>
      <c r="J2909" t="s">
        <v>15</v>
      </c>
      <c r="K2909">
        <v>28.22</v>
      </c>
      <c r="L2909">
        <v>0</v>
      </c>
    </row>
    <row r="2910" spans="1:12" x14ac:dyDescent="0.3">
      <c r="A2910" t="s">
        <v>2926</v>
      </c>
      <c r="B2910" t="s">
        <v>21</v>
      </c>
      <c r="C2910">
        <v>3348</v>
      </c>
      <c r="D2910">
        <v>10.039999999999999</v>
      </c>
      <c r="E2910">
        <v>1.81</v>
      </c>
      <c r="F2910">
        <f>COUNTIFS(mdr_rate_cleaned!$A$2:$A$10,B2910,mdr_rate_cleaned!$B$2:$B$10,"&lt;"&amp;C2910,mdr_rate_cleaned!$F$2:$F$10,"&gt;="&amp;C2910)</f>
        <v>1</v>
      </c>
      <c r="G2910">
        <v>3.0000000000000001E-3</v>
      </c>
      <c r="H2910">
        <v>10.039999999999999</v>
      </c>
      <c r="I2910" t="s">
        <v>15</v>
      </c>
      <c r="J2910" t="s">
        <v>15</v>
      </c>
      <c r="K2910">
        <v>1.81</v>
      </c>
      <c r="L2910">
        <v>0</v>
      </c>
    </row>
    <row r="2911" spans="1:12" x14ac:dyDescent="0.3">
      <c r="A2911" t="s">
        <v>2927</v>
      </c>
      <c r="B2911" t="s">
        <v>21</v>
      </c>
      <c r="C2911">
        <v>1499</v>
      </c>
      <c r="D2911">
        <v>0</v>
      </c>
      <c r="E2911">
        <v>0</v>
      </c>
      <c r="F2911">
        <f>COUNTIFS(mdr_rate_cleaned!$A$2:$A$10,B2911,mdr_rate_cleaned!$B$2:$B$10,"&lt;"&amp;C2911,mdr_rate_cleaned!$F$2:$F$10,"&gt;="&amp;C2911)</f>
        <v>1</v>
      </c>
      <c r="G2911">
        <v>0</v>
      </c>
      <c r="H2911">
        <v>0</v>
      </c>
      <c r="I2911" t="s">
        <v>15</v>
      </c>
      <c r="J2911" t="s">
        <v>15</v>
      </c>
      <c r="K2911">
        <v>0</v>
      </c>
      <c r="L2911">
        <v>0</v>
      </c>
    </row>
    <row r="2912" spans="1:12" x14ac:dyDescent="0.3">
      <c r="A2912" t="s">
        <v>2928</v>
      </c>
      <c r="B2912" t="s">
        <v>17</v>
      </c>
      <c r="C2912">
        <v>4897</v>
      </c>
      <c r="D2912">
        <v>78.349999999999994</v>
      </c>
      <c r="E2912">
        <v>14.1</v>
      </c>
      <c r="F2912">
        <f>COUNTIFS(mdr_rate_cleaned!$A$2:$A$10,B2912,mdr_rate_cleaned!$B$2:$B$10,"&lt;"&amp;C2912,mdr_rate_cleaned!$F$2:$F$10,"&gt;="&amp;C2912)</f>
        <v>1</v>
      </c>
      <c r="G2912">
        <v>1.6E-2</v>
      </c>
      <c r="H2912">
        <v>78.349999999999994</v>
      </c>
      <c r="I2912" t="s">
        <v>15</v>
      </c>
      <c r="J2912" t="s">
        <v>15</v>
      </c>
      <c r="K2912">
        <v>14.1</v>
      </c>
      <c r="L2912">
        <v>0</v>
      </c>
    </row>
    <row r="2913" spans="1:12" x14ac:dyDescent="0.3">
      <c r="A2913" t="s">
        <v>2929</v>
      </c>
      <c r="B2913" t="s">
        <v>39</v>
      </c>
      <c r="C2913">
        <v>799</v>
      </c>
      <c r="D2913">
        <v>11.99</v>
      </c>
      <c r="E2913">
        <v>2.16</v>
      </c>
      <c r="F2913">
        <f>COUNTIFS(mdr_rate_cleaned!$A$2:$A$10,B2913,mdr_rate_cleaned!$B$2:$B$10,"&lt;"&amp;C2913,mdr_rate_cleaned!$F$2:$F$10,"&gt;="&amp;C2913)</f>
        <v>1</v>
      </c>
      <c r="G2913">
        <v>1.4999999999999999E-2</v>
      </c>
      <c r="H2913">
        <v>11.99</v>
      </c>
      <c r="I2913" t="s">
        <v>15</v>
      </c>
      <c r="J2913" t="s">
        <v>15</v>
      </c>
      <c r="K2913">
        <v>2.16</v>
      </c>
      <c r="L2913">
        <v>0</v>
      </c>
    </row>
    <row r="2914" spans="1:12" x14ac:dyDescent="0.3">
      <c r="A2914" t="s">
        <v>2930</v>
      </c>
      <c r="B2914" t="s">
        <v>17</v>
      </c>
      <c r="C2914">
        <v>5798</v>
      </c>
      <c r="D2914">
        <v>92.77</v>
      </c>
      <c r="E2914">
        <v>16.7</v>
      </c>
      <c r="F2914">
        <f>COUNTIFS(mdr_rate_cleaned!$A$2:$A$10,B2914,mdr_rate_cleaned!$B$2:$B$10,"&lt;"&amp;C2914,mdr_rate_cleaned!$F$2:$F$10,"&gt;="&amp;C2914)</f>
        <v>1</v>
      </c>
      <c r="G2914">
        <v>1.6E-2</v>
      </c>
      <c r="H2914">
        <v>92.77</v>
      </c>
      <c r="I2914" t="s">
        <v>15</v>
      </c>
      <c r="J2914" t="s">
        <v>15</v>
      </c>
      <c r="K2914">
        <v>16.7</v>
      </c>
      <c r="L2914">
        <v>0</v>
      </c>
    </row>
    <row r="2915" spans="1:12" x14ac:dyDescent="0.3">
      <c r="A2915" t="s">
        <v>2931</v>
      </c>
      <c r="B2915" t="s">
        <v>21</v>
      </c>
      <c r="C2915">
        <v>499</v>
      </c>
      <c r="D2915">
        <v>0</v>
      </c>
      <c r="E2915">
        <v>0</v>
      </c>
      <c r="F2915">
        <f>COUNTIFS(mdr_rate_cleaned!$A$2:$A$10,B2915,mdr_rate_cleaned!$B$2:$B$10,"&lt;"&amp;C2915,mdr_rate_cleaned!$F$2:$F$10,"&gt;="&amp;C2915)</f>
        <v>1</v>
      </c>
      <c r="G2915">
        <v>0</v>
      </c>
      <c r="H2915">
        <v>0</v>
      </c>
      <c r="I2915" t="s">
        <v>15</v>
      </c>
      <c r="J2915" t="s">
        <v>15</v>
      </c>
      <c r="K2915">
        <v>0</v>
      </c>
      <c r="L2915">
        <v>0</v>
      </c>
    </row>
    <row r="2916" spans="1:12" x14ac:dyDescent="0.3">
      <c r="A2916" t="s">
        <v>2932</v>
      </c>
      <c r="B2916" t="s">
        <v>17</v>
      </c>
      <c r="C2916">
        <v>2999</v>
      </c>
      <c r="D2916">
        <v>47.98</v>
      </c>
      <c r="E2916">
        <v>8.64</v>
      </c>
      <c r="F2916">
        <f>COUNTIFS(mdr_rate_cleaned!$A$2:$A$10,B2916,mdr_rate_cleaned!$B$2:$B$10,"&lt;"&amp;C2916,mdr_rate_cleaned!$F$2:$F$10,"&gt;="&amp;C2916)</f>
        <v>1</v>
      </c>
      <c r="G2916">
        <v>1.6E-2</v>
      </c>
      <c r="H2916">
        <v>47.98</v>
      </c>
      <c r="I2916" t="s">
        <v>15</v>
      </c>
      <c r="J2916" t="s">
        <v>15</v>
      </c>
      <c r="K2916">
        <v>8.64</v>
      </c>
      <c r="L2916">
        <v>0</v>
      </c>
    </row>
    <row r="2917" spans="1:12" x14ac:dyDescent="0.3">
      <c r="A2917" t="s">
        <v>2933</v>
      </c>
      <c r="B2917" t="s">
        <v>21</v>
      </c>
      <c r="C2917">
        <v>7999</v>
      </c>
      <c r="D2917">
        <v>24</v>
      </c>
      <c r="E2917">
        <v>4.32</v>
      </c>
      <c r="F2917">
        <f>COUNTIFS(mdr_rate_cleaned!$A$2:$A$10,B2917,mdr_rate_cleaned!$B$2:$B$10,"&lt;"&amp;C2917,mdr_rate_cleaned!$F$2:$F$10,"&gt;="&amp;C2917)</f>
        <v>1</v>
      </c>
      <c r="G2917">
        <v>3.0000000000000001E-3</v>
      </c>
      <c r="H2917">
        <v>24</v>
      </c>
      <c r="I2917" t="s">
        <v>15</v>
      </c>
      <c r="J2917" t="s">
        <v>15</v>
      </c>
      <c r="K2917">
        <v>4.32</v>
      </c>
      <c r="L2917">
        <v>0</v>
      </c>
    </row>
    <row r="2918" spans="1:12" x14ac:dyDescent="0.3">
      <c r="A2918" t="s">
        <v>2934</v>
      </c>
      <c r="B2918" t="s">
        <v>21</v>
      </c>
      <c r="C2918">
        <v>4098</v>
      </c>
      <c r="D2918">
        <v>12.29</v>
      </c>
      <c r="E2918">
        <v>2.21</v>
      </c>
      <c r="F2918">
        <f>COUNTIFS(mdr_rate_cleaned!$A$2:$A$10,B2918,mdr_rate_cleaned!$B$2:$B$10,"&lt;"&amp;C2918,mdr_rate_cleaned!$F$2:$F$10,"&gt;="&amp;C2918)</f>
        <v>1</v>
      </c>
      <c r="G2918">
        <v>3.0000000000000001E-3</v>
      </c>
      <c r="H2918">
        <v>12.29</v>
      </c>
      <c r="I2918" t="s">
        <v>15</v>
      </c>
      <c r="J2918" t="s">
        <v>15</v>
      </c>
      <c r="K2918">
        <v>2.21</v>
      </c>
      <c r="L2918">
        <v>0</v>
      </c>
    </row>
    <row r="2919" spans="1:12" x14ac:dyDescent="0.3">
      <c r="A2919" t="s">
        <v>2935</v>
      </c>
      <c r="B2919" t="s">
        <v>21</v>
      </c>
      <c r="C2919">
        <v>4647</v>
      </c>
      <c r="D2919">
        <v>13.94</v>
      </c>
      <c r="E2919">
        <v>2.5099999999999998</v>
      </c>
      <c r="F2919">
        <f>COUNTIFS(mdr_rate_cleaned!$A$2:$A$10,B2919,mdr_rate_cleaned!$B$2:$B$10,"&lt;"&amp;C2919,mdr_rate_cleaned!$F$2:$F$10,"&gt;="&amp;C2919)</f>
        <v>1</v>
      </c>
      <c r="G2919">
        <v>3.0000000000000001E-3</v>
      </c>
      <c r="H2919">
        <v>13.94</v>
      </c>
      <c r="I2919" t="s">
        <v>15</v>
      </c>
      <c r="J2919" t="s">
        <v>15</v>
      </c>
      <c r="K2919">
        <v>2.5099999999999998</v>
      </c>
      <c r="L2919">
        <v>0</v>
      </c>
    </row>
    <row r="2920" spans="1:12" x14ac:dyDescent="0.3">
      <c r="A2920" t="s">
        <v>2936</v>
      </c>
      <c r="B2920" t="s">
        <v>13</v>
      </c>
      <c r="C2920">
        <v>4798</v>
      </c>
      <c r="D2920">
        <v>81.569999999999993</v>
      </c>
      <c r="E2920">
        <v>14.68</v>
      </c>
      <c r="F2920">
        <f>COUNTIFS(mdr_rate_cleaned!$A$2:$A$10,B2920,mdr_rate_cleaned!$B$2:$B$10,"&lt;"&amp;C2920,mdr_rate_cleaned!$F$2:$F$10,"&gt;="&amp;C2920)</f>
        <v>1</v>
      </c>
      <c r="G2920">
        <v>1.7000000000000001E-2</v>
      </c>
      <c r="H2920">
        <v>81.569999999999993</v>
      </c>
      <c r="I2920" t="s">
        <v>15</v>
      </c>
      <c r="J2920" t="s">
        <v>15</v>
      </c>
      <c r="K2920">
        <v>14.68</v>
      </c>
      <c r="L2920">
        <v>0</v>
      </c>
    </row>
    <row r="2921" spans="1:12" x14ac:dyDescent="0.3">
      <c r="A2921" t="s">
        <v>2937</v>
      </c>
      <c r="B2921" t="s">
        <v>21</v>
      </c>
      <c r="C2921">
        <v>3498</v>
      </c>
      <c r="D2921">
        <v>10.49</v>
      </c>
      <c r="E2921">
        <v>1.89</v>
      </c>
      <c r="F2921">
        <f>COUNTIFS(mdr_rate_cleaned!$A$2:$A$10,B2921,mdr_rate_cleaned!$B$2:$B$10,"&lt;"&amp;C2921,mdr_rate_cleaned!$F$2:$F$10,"&gt;="&amp;C2921)</f>
        <v>1</v>
      </c>
      <c r="G2921">
        <v>3.0000000000000001E-3</v>
      </c>
      <c r="H2921">
        <v>10.49</v>
      </c>
      <c r="I2921" t="s">
        <v>15</v>
      </c>
      <c r="J2921" t="s">
        <v>15</v>
      </c>
      <c r="K2921">
        <v>1.89</v>
      </c>
      <c r="L2921">
        <v>0</v>
      </c>
    </row>
    <row r="2922" spans="1:12" x14ac:dyDescent="0.3">
      <c r="A2922" t="s">
        <v>2938</v>
      </c>
      <c r="B2922" t="s">
        <v>17</v>
      </c>
      <c r="C2922">
        <v>1299</v>
      </c>
      <c r="D2922">
        <v>23.38</v>
      </c>
      <c r="E2922">
        <v>4.21</v>
      </c>
      <c r="F2922">
        <f>COUNTIFS(mdr_rate_cleaned!$A$2:$A$10,B2922,mdr_rate_cleaned!$B$2:$B$10,"&lt;"&amp;C2922,mdr_rate_cleaned!$F$2:$F$10,"&gt;="&amp;C2922)</f>
        <v>1</v>
      </c>
      <c r="G2922">
        <v>1.7999999999999999E-2</v>
      </c>
      <c r="H2922">
        <v>23.38</v>
      </c>
      <c r="I2922" t="s">
        <v>15</v>
      </c>
      <c r="J2922" t="s">
        <v>15</v>
      </c>
      <c r="K2922">
        <v>4.21</v>
      </c>
      <c r="L2922">
        <v>0</v>
      </c>
    </row>
    <row r="2923" spans="1:12" x14ac:dyDescent="0.3">
      <c r="A2923" t="s">
        <v>2939</v>
      </c>
      <c r="B2923" t="s">
        <v>17</v>
      </c>
      <c r="C2923">
        <v>7999</v>
      </c>
      <c r="D2923">
        <v>127.98</v>
      </c>
      <c r="E2923">
        <v>23.04</v>
      </c>
      <c r="F2923">
        <f>COUNTIFS(mdr_rate_cleaned!$A$2:$A$10,B2923,mdr_rate_cleaned!$B$2:$B$10,"&lt;"&amp;C2923,mdr_rate_cleaned!$F$2:$F$10,"&gt;="&amp;C2923)</f>
        <v>1</v>
      </c>
      <c r="G2923">
        <v>1.6E-2</v>
      </c>
      <c r="H2923">
        <v>127.98</v>
      </c>
      <c r="I2923" t="s">
        <v>15</v>
      </c>
      <c r="J2923" t="s">
        <v>15</v>
      </c>
      <c r="K2923">
        <v>23.04</v>
      </c>
      <c r="L2923">
        <v>0</v>
      </c>
    </row>
    <row r="2924" spans="1:12" x14ac:dyDescent="0.3">
      <c r="A2924" t="s">
        <v>2940</v>
      </c>
      <c r="B2924" t="s">
        <v>21</v>
      </c>
      <c r="C2924">
        <v>599</v>
      </c>
      <c r="D2924">
        <v>0</v>
      </c>
      <c r="E2924">
        <v>0</v>
      </c>
      <c r="F2924">
        <f>COUNTIFS(mdr_rate_cleaned!$A$2:$A$10,B2924,mdr_rate_cleaned!$B$2:$B$10,"&lt;"&amp;C2924,mdr_rate_cleaned!$F$2:$F$10,"&gt;="&amp;C2924)</f>
        <v>1</v>
      </c>
      <c r="G2924">
        <v>0</v>
      </c>
      <c r="H2924">
        <v>0</v>
      </c>
      <c r="I2924" t="s">
        <v>15</v>
      </c>
      <c r="J2924" t="s">
        <v>15</v>
      </c>
      <c r="K2924">
        <v>0</v>
      </c>
      <c r="L2924">
        <v>0</v>
      </c>
    </row>
    <row r="2925" spans="1:12" x14ac:dyDescent="0.3">
      <c r="A2925" t="s">
        <v>2941</v>
      </c>
      <c r="B2925" t="s">
        <v>17</v>
      </c>
      <c r="C2925">
        <v>1498</v>
      </c>
      <c r="D2925">
        <v>26.96</v>
      </c>
      <c r="E2925">
        <v>4.8499999999999996</v>
      </c>
      <c r="F2925">
        <f>COUNTIFS(mdr_rate_cleaned!$A$2:$A$10,B2925,mdr_rate_cleaned!$B$2:$B$10,"&lt;"&amp;C2925,mdr_rate_cleaned!$F$2:$F$10,"&gt;="&amp;C2925)</f>
        <v>1</v>
      </c>
      <c r="G2925">
        <v>1.7999999999999999E-2</v>
      </c>
      <c r="H2925">
        <v>26.96</v>
      </c>
      <c r="I2925" t="s">
        <v>15</v>
      </c>
      <c r="J2925" t="s">
        <v>15</v>
      </c>
      <c r="K2925">
        <v>4.8499999999999996</v>
      </c>
      <c r="L2925">
        <v>0</v>
      </c>
    </row>
    <row r="2926" spans="1:12" x14ac:dyDescent="0.3">
      <c r="A2926" t="s">
        <v>2942</v>
      </c>
      <c r="B2926" t="s">
        <v>17</v>
      </c>
      <c r="C2926">
        <v>1499</v>
      </c>
      <c r="D2926">
        <v>26.98</v>
      </c>
      <c r="E2926">
        <v>4.8600000000000003</v>
      </c>
      <c r="F2926">
        <f>COUNTIFS(mdr_rate_cleaned!$A$2:$A$10,B2926,mdr_rate_cleaned!$B$2:$B$10,"&lt;"&amp;C2926,mdr_rate_cleaned!$F$2:$F$10,"&gt;="&amp;C2926)</f>
        <v>1</v>
      </c>
      <c r="G2926">
        <v>1.7999999999999999E-2</v>
      </c>
      <c r="H2926">
        <v>26.98</v>
      </c>
      <c r="I2926" t="s">
        <v>15</v>
      </c>
      <c r="J2926" t="s">
        <v>15</v>
      </c>
      <c r="K2926">
        <v>4.8600000000000003</v>
      </c>
      <c r="L2926">
        <v>0</v>
      </c>
    </row>
    <row r="2927" spans="1:12" x14ac:dyDescent="0.3">
      <c r="A2927" t="s">
        <v>2943</v>
      </c>
      <c r="B2927" t="s">
        <v>21</v>
      </c>
      <c r="C2927">
        <v>2397</v>
      </c>
      <c r="D2927">
        <v>7.19</v>
      </c>
      <c r="E2927">
        <v>1.29</v>
      </c>
      <c r="F2927">
        <f>COUNTIFS(mdr_rate_cleaned!$A$2:$A$10,B2927,mdr_rate_cleaned!$B$2:$B$10,"&lt;"&amp;C2927,mdr_rate_cleaned!$F$2:$F$10,"&gt;="&amp;C2927)</f>
        <v>1</v>
      </c>
      <c r="G2927">
        <v>3.0000000000000001E-3</v>
      </c>
      <c r="H2927">
        <v>7.19</v>
      </c>
      <c r="I2927" t="s">
        <v>15</v>
      </c>
      <c r="J2927" t="s">
        <v>15</v>
      </c>
      <c r="K2927">
        <v>1.29</v>
      </c>
      <c r="L2927">
        <v>0</v>
      </c>
    </row>
    <row r="2928" spans="1:12" x14ac:dyDescent="0.3">
      <c r="A2928" t="s">
        <v>2944</v>
      </c>
      <c r="B2928" t="s">
        <v>13</v>
      </c>
      <c r="C2928">
        <v>3499</v>
      </c>
      <c r="D2928">
        <v>59.48</v>
      </c>
      <c r="E2928">
        <v>10.71</v>
      </c>
      <c r="F2928">
        <f>COUNTIFS(mdr_rate_cleaned!$A$2:$A$10,B2928,mdr_rate_cleaned!$B$2:$B$10,"&lt;"&amp;C2928,mdr_rate_cleaned!$F$2:$F$10,"&gt;="&amp;C2928)</f>
        <v>1</v>
      </c>
      <c r="G2928">
        <v>1.7000000000000001E-2</v>
      </c>
      <c r="H2928">
        <v>59.48</v>
      </c>
      <c r="I2928" t="s">
        <v>15</v>
      </c>
      <c r="J2928" t="s">
        <v>15</v>
      </c>
      <c r="K2928">
        <v>10.71</v>
      </c>
      <c r="L2928">
        <v>0</v>
      </c>
    </row>
    <row r="2929" spans="1:12" x14ac:dyDescent="0.3">
      <c r="A2929" t="s">
        <v>2945</v>
      </c>
      <c r="B2929" t="s">
        <v>21</v>
      </c>
      <c r="C2929">
        <v>1799</v>
      </c>
      <c r="D2929">
        <v>0</v>
      </c>
      <c r="E2929">
        <v>0</v>
      </c>
      <c r="F2929">
        <f>COUNTIFS(mdr_rate_cleaned!$A$2:$A$10,B2929,mdr_rate_cleaned!$B$2:$B$10,"&lt;"&amp;C2929,mdr_rate_cleaned!$F$2:$F$10,"&gt;="&amp;C2929)</f>
        <v>1</v>
      </c>
      <c r="G2929">
        <v>0</v>
      </c>
      <c r="H2929">
        <v>0</v>
      </c>
      <c r="I2929" t="s">
        <v>15</v>
      </c>
      <c r="J2929" t="s">
        <v>15</v>
      </c>
      <c r="K2929">
        <v>0</v>
      </c>
      <c r="L2929">
        <v>0</v>
      </c>
    </row>
    <row r="2930" spans="1:12" x14ac:dyDescent="0.3">
      <c r="A2930" t="s">
        <v>2946</v>
      </c>
      <c r="B2930" t="s">
        <v>21</v>
      </c>
      <c r="C2930">
        <v>7999</v>
      </c>
      <c r="D2930">
        <v>24</v>
      </c>
      <c r="E2930">
        <v>4.32</v>
      </c>
      <c r="F2930">
        <f>COUNTIFS(mdr_rate_cleaned!$A$2:$A$10,B2930,mdr_rate_cleaned!$B$2:$B$10,"&lt;"&amp;C2930,mdr_rate_cleaned!$F$2:$F$10,"&gt;="&amp;C2930)</f>
        <v>1</v>
      </c>
      <c r="G2930">
        <v>3.0000000000000001E-3</v>
      </c>
      <c r="H2930">
        <v>24</v>
      </c>
      <c r="I2930" t="s">
        <v>15</v>
      </c>
      <c r="J2930" t="s">
        <v>15</v>
      </c>
      <c r="K2930">
        <v>4.32</v>
      </c>
      <c r="L2930">
        <v>0</v>
      </c>
    </row>
    <row r="2931" spans="1:12" x14ac:dyDescent="0.3">
      <c r="A2931" t="s">
        <v>2947</v>
      </c>
      <c r="B2931" t="s">
        <v>17</v>
      </c>
      <c r="C2931">
        <v>5298</v>
      </c>
      <c r="D2931">
        <v>84.77</v>
      </c>
      <c r="E2931">
        <v>15.26</v>
      </c>
      <c r="F2931">
        <f>COUNTIFS(mdr_rate_cleaned!$A$2:$A$10,B2931,mdr_rate_cleaned!$B$2:$B$10,"&lt;"&amp;C2931,mdr_rate_cleaned!$F$2:$F$10,"&gt;="&amp;C2931)</f>
        <v>1</v>
      </c>
      <c r="G2931">
        <v>1.6E-2</v>
      </c>
      <c r="H2931">
        <v>84.77</v>
      </c>
      <c r="I2931" t="s">
        <v>15</v>
      </c>
      <c r="J2931" t="s">
        <v>15</v>
      </c>
      <c r="K2931">
        <v>15.26</v>
      </c>
      <c r="L2931">
        <v>0</v>
      </c>
    </row>
    <row r="2932" spans="1:12" x14ac:dyDescent="0.3">
      <c r="A2932" t="s">
        <v>2948</v>
      </c>
      <c r="B2932" t="s">
        <v>21</v>
      </c>
      <c r="C2932">
        <v>1799</v>
      </c>
      <c r="D2932">
        <v>0</v>
      </c>
      <c r="E2932">
        <v>0</v>
      </c>
      <c r="F2932">
        <f>COUNTIFS(mdr_rate_cleaned!$A$2:$A$10,B2932,mdr_rate_cleaned!$B$2:$B$10,"&lt;"&amp;C2932,mdr_rate_cleaned!$F$2:$F$10,"&gt;="&amp;C2932)</f>
        <v>1</v>
      </c>
      <c r="G2932">
        <v>0</v>
      </c>
      <c r="H2932">
        <v>0</v>
      </c>
      <c r="I2932" t="s">
        <v>15</v>
      </c>
      <c r="J2932" t="s">
        <v>15</v>
      </c>
      <c r="K2932">
        <v>0</v>
      </c>
      <c r="L2932">
        <v>0</v>
      </c>
    </row>
    <row r="2933" spans="1:12" x14ac:dyDescent="0.3">
      <c r="A2933" t="s">
        <v>2949</v>
      </c>
      <c r="B2933" t="s">
        <v>39</v>
      </c>
      <c r="C2933">
        <v>6298</v>
      </c>
      <c r="D2933">
        <v>75.58</v>
      </c>
      <c r="E2933">
        <v>13.6</v>
      </c>
      <c r="F2933">
        <f>COUNTIFS(mdr_rate_cleaned!$A$2:$A$10,B2933,mdr_rate_cleaned!$B$2:$B$10,"&lt;"&amp;C2933,mdr_rate_cleaned!$F$2:$F$10,"&gt;="&amp;C2933)</f>
        <v>1</v>
      </c>
      <c r="G2933">
        <v>1.2E-2</v>
      </c>
      <c r="H2933">
        <v>75.58</v>
      </c>
      <c r="I2933" t="s">
        <v>15</v>
      </c>
      <c r="J2933" t="s">
        <v>15</v>
      </c>
      <c r="K2933">
        <v>13.6</v>
      </c>
      <c r="L2933">
        <v>0</v>
      </c>
    </row>
    <row r="2934" spans="1:12" x14ac:dyDescent="0.3">
      <c r="A2934" t="s">
        <v>2950</v>
      </c>
      <c r="B2934" t="s">
        <v>21</v>
      </c>
      <c r="C2934">
        <v>1947</v>
      </c>
      <c r="D2934">
        <v>0</v>
      </c>
      <c r="E2934">
        <v>0</v>
      </c>
      <c r="F2934">
        <f>COUNTIFS(mdr_rate_cleaned!$A$2:$A$10,B2934,mdr_rate_cleaned!$B$2:$B$10,"&lt;"&amp;C2934,mdr_rate_cleaned!$F$2:$F$10,"&gt;="&amp;C2934)</f>
        <v>1</v>
      </c>
      <c r="G2934">
        <v>0</v>
      </c>
      <c r="H2934">
        <v>0</v>
      </c>
      <c r="I2934" t="s">
        <v>15</v>
      </c>
      <c r="J2934" t="s">
        <v>15</v>
      </c>
      <c r="K2934">
        <v>0</v>
      </c>
      <c r="L2934">
        <v>0</v>
      </c>
    </row>
    <row r="2935" spans="1:12" x14ac:dyDescent="0.3">
      <c r="A2935" t="s">
        <v>2951</v>
      </c>
      <c r="B2935" t="s">
        <v>21</v>
      </c>
      <c r="C2935">
        <v>2999</v>
      </c>
      <c r="D2935">
        <v>9</v>
      </c>
      <c r="E2935">
        <v>1.62</v>
      </c>
      <c r="F2935">
        <f>COUNTIFS(mdr_rate_cleaned!$A$2:$A$10,B2935,mdr_rate_cleaned!$B$2:$B$10,"&lt;"&amp;C2935,mdr_rate_cleaned!$F$2:$F$10,"&gt;="&amp;C2935)</f>
        <v>1</v>
      </c>
      <c r="G2935">
        <v>3.0000000000000001E-3</v>
      </c>
      <c r="H2935">
        <v>9</v>
      </c>
      <c r="I2935" t="s">
        <v>15</v>
      </c>
      <c r="J2935" t="s">
        <v>15</v>
      </c>
      <c r="K2935">
        <v>1.62</v>
      </c>
      <c r="L2935">
        <v>0</v>
      </c>
    </row>
    <row r="2936" spans="1:12" x14ac:dyDescent="0.3">
      <c r="A2936" t="s">
        <v>2952</v>
      </c>
      <c r="B2936" t="s">
        <v>21</v>
      </c>
      <c r="C2936">
        <v>3798</v>
      </c>
      <c r="D2936">
        <v>11.39</v>
      </c>
      <c r="E2936">
        <v>2.0499999999999998</v>
      </c>
      <c r="F2936">
        <f>COUNTIFS(mdr_rate_cleaned!$A$2:$A$10,B2936,mdr_rate_cleaned!$B$2:$B$10,"&lt;"&amp;C2936,mdr_rate_cleaned!$F$2:$F$10,"&gt;="&amp;C2936)</f>
        <v>1</v>
      </c>
      <c r="G2936">
        <v>3.0000000000000001E-3</v>
      </c>
      <c r="H2936">
        <v>11.39</v>
      </c>
      <c r="I2936" t="s">
        <v>15</v>
      </c>
      <c r="J2936" t="s">
        <v>15</v>
      </c>
      <c r="K2936">
        <v>2.0499999999999998</v>
      </c>
      <c r="L2936">
        <v>0</v>
      </c>
    </row>
    <row r="2937" spans="1:12" x14ac:dyDescent="0.3">
      <c r="A2937" t="s">
        <v>2953</v>
      </c>
      <c r="B2937" t="s">
        <v>13</v>
      </c>
      <c r="C2937">
        <v>999</v>
      </c>
      <c r="D2937">
        <v>18.98</v>
      </c>
      <c r="E2937">
        <v>3.42</v>
      </c>
      <c r="F2937">
        <f>COUNTIFS(mdr_rate_cleaned!$A$2:$A$10,B2937,mdr_rate_cleaned!$B$2:$B$10,"&lt;"&amp;C2937,mdr_rate_cleaned!$F$2:$F$10,"&gt;="&amp;C2937)</f>
        <v>1</v>
      </c>
      <c r="G2937">
        <v>1.9E-2</v>
      </c>
      <c r="H2937">
        <v>18.98</v>
      </c>
      <c r="I2937" t="s">
        <v>15</v>
      </c>
      <c r="J2937" t="s">
        <v>15</v>
      </c>
      <c r="K2937">
        <v>3.42</v>
      </c>
      <c r="L2937">
        <v>0</v>
      </c>
    </row>
    <row r="2938" spans="1:12" x14ac:dyDescent="0.3">
      <c r="A2938" t="s">
        <v>2954</v>
      </c>
      <c r="B2938" t="s">
        <v>21</v>
      </c>
      <c r="C2938">
        <v>4498</v>
      </c>
      <c r="D2938">
        <v>13.49</v>
      </c>
      <c r="E2938">
        <v>2.4300000000000002</v>
      </c>
      <c r="F2938">
        <f>COUNTIFS(mdr_rate_cleaned!$A$2:$A$10,B2938,mdr_rate_cleaned!$B$2:$B$10,"&lt;"&amp;C2938,mdr_rate_cleaned!$F$2:$F$10,"&gt;="&amp;C2938)</f>
        <v>1</v>
      </c>
      <c r="G2938">
        <v>3.0000000000000001E-3</v>
      </c>
      <c r="H2938">
        <v>13.49</v>
      </c>
      <c r="I2938" t="s">
        <v>15</v>
      </c>
      <c r="J2938" t="s">
        <v>15</v>
      </c>
      <c r="K2938">
        <v>2.4300000000000002</v>
      </c>
      <c r="L2938">
        <v>0</v>
      </c>
    </row>
    <row r="2939" spans="1:12" x14ac:dyDescent="0.3">
      <c r="A2939" t="s">
        <v>2955</v>
      </c>
      <c r="B2939" t="s">
        <v>21</v>
      </c>
      <c r="C2939">
        <v>1299</v>
      </c>
      <c r="D2939">
        <v>0</v>
      </c>
      <c r="E2939">
        <v>0</v>
      </c>
      <c r="F2939">
        <f>COUNTIFS(mdr_rate_cleaned!$A$2:$A$10,B2939,mdr_rate_cleaned!$B$2:$B$10,"&lt;"&amp;C2939,mdr_rate_cleaned!$F$2:$F$10,"&gt;="&amp;C2939)</f>
        <v>1</v>
      </c>
      <c r="G2939">
        <v>0</v>
      </c>
      <c r="H2939">
        <v>0</v>
      </c>
      <c r="I2939" t="s">
        <v>15</v>
      </c>
      <c r="J2939" t="s">
        <v>15</v>
      </c>
      <c r="K2939">
        <v>0</v>
      </c>
      <c r="L2939">
        <v>0</v>
      </c>
    </row>
    <row r="2940" spans="1:12" x14ac:dyDescent="0.3">
      <c r="A2940" t="s">
        <v>2956</v>
      </c>
      <c r="B2940" t="s">
        <v>39</v>
      </c>
      <c r="C2940">
        <v>2597</v>
      </c>
      <c r="D2940">
        <v>31.16</v>
      </c>
      <c r="E2940">
        <v>5.61</v>
      </c>
      <c r="F2940">
        <f>COUNTIFS(mdr_rate_cleaned!$A$2:$A$10,B2940,mdr_rate_cleaned!$B$2:$B$10,"&lt;"&amp;C2940,mdr_rate_cleaned!$F$2:$F$10,"&gt;="&amp;C2940)</f>
        <v>1</v>
      </c>
      <c r="G2940">
        <v>1.2E-2</v>
      </c>
      <c r="H2940">
        <v>31.16</v>
      </c>
      <c r="I2940" t="s">
        <v>15</v>
      </c>
      <c r="J2940" t="s">
        <v>15</v>
      </c>
      <c r="K2940">
        <v>5.61</v>
      </c>
      <c r="L2940">
        <v>0</v>
      </c>
    </row>
    <row r="2941" spans="1:12" x14ac:dyDescent="0.3">
      <c r="A2941" t="s">
        <v>2957</v>
      </c>
      <c r="B2941" t="s">
        <v>21</v>
      </c>
      <c r="C2941">
        <v>7998</v>
      </c>
      <c r="D2941">
        <v>23.99</v>
      </c>
      <c r="E2941">
        <v>4.32</v>
      </c>
      <c r="F2941">
        <f>COUNTIFS(mdr_rate_cleaned!$A$2:$A$10,B2941,mdr_rate_cleaned!$B$2:$B$10,"&lt;"&amp;C2941,mdr_rate_cleaned!$F$2:$F$10,"&gt;="&amp;C2941)</f>
        <v>1</v>
      </c>
      <c r="G2941">
        <v>3.0000000000000001E-3</v>
      </c>
      <c r="H2941">
        <v>23.99</v>
      </c>
      <c r="I2941" t="s">
        <v>15</v>
      </c>
      <c r="J2941" t="s">
        <v>15</v>
      </c>
      <c r="K2941">
        <v>4.32</v>
      </c>
      <c r="L2941">
        <v>0</v>
      </c>
    </row>
    <row r="2942" spans="1:12" x14ac:dyDescent="0.3">
      <c r="A2942" t="s">
        <v>2958</v>
      </c>
      <c r="B2942" t="s">
        <v>21</v>
      </c>
      <c r="C2942">
        <v>7997</v>
      </c>
      <c r="D2942">
        <v>23.99</v>
      </c>
      <c r="E2942">
        <v>4.32</v>
      </c>
      <c r="F2942">
        <f>COUNTIFS(mdr_rate_cleaned!$A$2:$A$10,B2942,mdr_rate_cleaned!$B$2:$B$10,"&lt;"&amp;C2942,mdr_rate_cleaned!$F$2:$F$10,"&gt;="&amp;C2942)</f>
        <v>1</v>
      </c>
      <c r="G2942">
        <v>3.0000000000000001E-3</v>
      </c>
      <c r="H2942">
        <v>23.99</v>
      </c>
      <c r="I2942" t="s">
        <v>15</v>
      </c>
      <c r="J2942" t="s">
        <v>15</v>
      </c>
      <c r="K2942">
        <v>4.32</v>
      </c>
      <c r="L2942">
        <v>0</v>
      </c>
    </row>
    <row r="2943" spans="1:12" x14ac:dyDescent="0.3">
      <c r="A2943" t="s">
        <v>2959</v>
      </c>
      <c r="B2943" t="s">
        <v>21</v>
      </c>
      <c r="C2943">
        <v>1299</v>
      </c>
      <c r="D2943">
        <v>0</v>
      </c>
      <c r="E2943">
        <v>0</v>
      </c>
      <c r="F2943">
        <f>COUNTIFS(mdr_rate_cleaned!$A$2:$A$10,B2943,mdr_rate_cleaned!$B$2:$B$10,"&lt;"&amp;C2943,mdr_rate_cleaned!$F$2:$F$10,"&gt;="&amp;C2943)</f>
        <v>1</v>
      </c>
      <c r="G2943">
        <v>0</v>
      </c>
      <c r="H2943">
        <v>0</v>
      </c>
      <c r="I2943" t="s">
        <v>15</v>
      </c>
      <c r="J2943" t="s">
        <v>15</v>
      </c>
      <c r="K2943">
        <v>0</v>
      </c>
      <c r="L2943">
        <v>0</v>
      </c>
    </row>
    <row r="2944" spans="1:12" x14ac:dyDescent="0.3">
      <c r="A2944" t="s">
        <v>2960</v>
      </c>
      <c r="B2944" t="s">
        <v>21</v>
      </c>
      <c r="C2944">
        <v>1898</v>
      </c>
      <c r="D2944">
        <v>0</v>
      </c>
      <c r="E2944">
        <v>0</v>
      </c>
      <c r="F2944">
        <f>COUNTIFS(mdr_rate_cleaned!$A$2:$A$10,B2944,mdr_rate_cleaned!$B$2:$B$10,"&lt;"&amp;C2944,mdr_rate_cleaned!$F$2:$F$10,"&gt;="&amp;C2944)</f>
        <v>1</v>
      </c>
      <c r="G2944">
        <v>0</v>
      </c>
      <c r="H2944">
        <v>0</v>
      </c>
      <c r="I2944" t="s">
        <v>15</v>
      </c>
      <c r="J2944" t="s">
        <v>15</v>
      </c>
      <c r="K2944">
        <v>0</v>
      </c>
      <c r="L2944">
        <v>0</v>
      </c>
    </row>
    <row r="2945" spans="1:12" x14ac:dyDescent="0.3">
      <c r="A2945" t="s">
        <v>2961</v>
      </c>
      <c r="B2945" t="s">
        <v>21</v>
      </c>
      <c r="C2945">
        <v>1299</v>
      </c>
      <c r="D2945">
        <v>0</v>
      </c>
      <c r="E2945">
        <v>0</v>
      </c>
      <c r="F2945">
        <f>COUNTIFS(mdr_rate_cleaned!$A$2:$A$10,B2945,mdr_rate_cleaned!$B$2:$B$10,"&lt;"&amp;C2945,mdr_rate_cleaned!$F$2:$F$10,"&gt;="&amp;C2945)</f>
        <v>1</v>
      </c>
      <c r="G2945">
        <v>0</v>
      </c>
      <c r="H2945">
        <v>0</v>
      </c>
      <c r="I2945" t="s">
        <v>15</v>
      </c>
      <c r="J2945" t="s">
        <v>15</v>
      </c>
      <c r="K2945">
        <v>0</v>
      </c>
      <c r="L2945">
        <v>0</v>
      </c>
    </row>
    <row r="2946" spans="1:12" x14ac:dyDescent="0.3">
      <c r="A2946" t="s">
        <v>2962</v>
      </c>
      <c r="B2946" t="s">
        <v>17</v>
      </c>
      <c r="C2946">
        <v>1298</v>
      </c>
      <c r="D2946">
        <v>23.36</v>
      </c>
      <c r="E2946">
        <v>4.2</v>
      </c>
      <c r="F2946">
        <f>COUNTIFS(mdr_rate_cleaned!$A$2:$A$10,B2946,mdr_rate_cleaned!$B$2:$B$10,"&lt;"&amp;C2946,mdr_rate_cleaned!$F$2:$F$10,"&gt;="&amp;C2946)</f>
        <v>1</v>
      </c>
      <c r="G2946">
        <v>1.7999999999999999E-2</v>
      </c>
      <c r="H2946">
        <v>23.36</v>
      </c>
      <c r="I2946" t="s">
        <v>15</v>
      </c>
      <c r="J2946" t="s">
        <v>15</v>
      </c>
      <c r="K2946">
        <v>4.2</v>
      </c>
      <c r="L2946">
        <v>0</v>
      </c>
    </row>
    <row r="2947" spans="1:12" x14ac:dyDescent="0.3">
      <c r="A2947" t="s">
        <v>2963</v>
      </c>
      <c r="B2947" t="s">
        <v>21</v>
      </c>
      <c r="C2947">
        <v>3348</v>
      </c>
      <c r="D2947">
        <v>10.039999999999999</v>
      </c>
      <c r="E2947">
        <v>1.81</v>
      </c>
      <c r="F2947">
        <f>COUNTIFS(mdr_rate_cleaned!$A$2:$A$10,B2947,mdr_rate_cleaned!$B$2:$B$10,"&lt;"&amp;C2947,mdr_rate_cleaned!$F$2:$F$10,"&gt;="&amp;C2947)</f>
        <v>1</v>
      </c>
      <c r="G2947">
        <v>3.0000000000000001E-3</v>
      </c>
      <c r="H2947">
        <v>10.039999999999999</v>
      </c>
      <c r="I2947" t="s">
        <v>15</v>
      </c>
      <c r="J2947" t="s">
        <v>15</v>
      </c>
      <c r="K2947">
        <v>1.81</v>
      </c>
      <c r="L2947">
        <v>0</v>
      </c>
    </row>
    <row r="2948" spans="1:12" x14ac:dyDescent="0.3">
      <c r="A2948" t="s">
        <v>2964</v>
      </c>
      <c r="B2948" t="s">
        <v>17</v>
      </c>
      <c r="C2948">
        <v>5998</v>
      </c>
      <c r="D2948">
        <v>95.97</v>
      </c>
      <c r="E2948">
        <v>17.27</v>
      </c>
      <c r="F2948">
        <f>COUNTIFS(mdr_rate_cleaned!$A$2:$A$10,B2948,mdr_rate_cleaned!$B$2:$B$10,"&lt;"&amp;C2948,mdr_rate_cleaned!$F$2:$F$10,"&gt;="&amp;C2948)</f>
        <v>1</v>
      </c>
      <c r="G2948">
        <v>1.6E-2</v>
      </c>
      <c r="H2948">
        <v>95.97</v>
      </c>
      <c r="I2948" t="s">
        <v>15</v>
      </c>
      <c r="J2948" t="s">
        <v>15</v>
      </c>
      <c r="K2948">
        <v>17.27</v>
      </c>
      <c r="L2948">
        <v>0</v>
      </c>
    </row>
    <row r="2949" spans="1:12" x14ac:dyDescent="0.3">
      <c r="A2949" t="s">
        <v>2965</v>
      </c>
      <c r="B2949" t="s">
        <v>39</v>
      </c>
      <c r="C2949">
        <v>3098</v>
      </c>
      <c r="D2949">
        <v>37.18</v>
      </c>
      <c r="E2949">
        <v>6.69</v>
      </c>
      <c r="F2949">
        <f>COUNTIFS(mdr_rate_cleaned!$A$2:$A$10,B2949,mdr_rate_cleaned!$B$2:$B$10,"&lt;"&amp;C2949,mdr_rate_cleaned!$F$2:$F$10,"&gt;="&amp;C2949)</f>
        <v>1</v>
      </c>
      <c r="G2949">
        <v>1.2E-2</v>
      </c>
      <c r="H2949">
        <v>37.18</v>
      </c>
      <c r="I2949" t="s">
        <v>15</v>
      </c>
      <c r="J2949" t="s">
        <v>15</v>
      </c>
      <c r="K2949">
        <v>6.69</v>
      </c>
      <c r="L2949">
        <v>0</v>
      </c>
    </row>
    <row r="2950" spans="1:12" x14ac:dyDescent="0.3">
      <c r="A2950" t="s">
        <v>2966</v>
      </c>
      <c r="B2950" t="s">
        <v>17</v>
      </c>
      <c r="C2950">
        <v>11797</v>
      </c>
      <c r="D2950">
        <v>188.75</v>
      </c>
      <c r="E2950">
        <v>33.979999999999997</v>
      </c>
      <c r="F2950">
        <f>COUNTIFS(mdr_rate_cleaned!$A$2:$A$10,B2950,mdr_rate_cleaned!$B$2:$B$10,"&lt;"&amp;C2950,mdr_rate_cleaned!$F$2:$F$10,"&gt;="&amp;C2950)</f>
        <v>1</v>
      </c>
      <c r="G2950">
        <v>1.6E-2</v>
      </c>
      <c r="H2950">
        <v>188.75</v>
      </c>
      <c r="I2950" t="s">
        <v>15</v>
      </c>
      <c r="J2950" t="s">
        <v>15</v>
      </c>
      <c r="K2950">
        <v>33.979999999999997</v>
      </c>
      <c r="L2950">
        <v>0</v>
      </c>
    </row>
    <row r="2951" spans="1:12" x14ac:dyDescent="0.3">
      <c r="A2951" t="s">
        <v>2967</v>
      </c>
      <c r="B2951" t="s">
        <v>39</v>
      </c>
      <c r="C2951">
        <v>1848</v>
      </c>
      <c r="D2951">
        <v>27.72</v>
      </c>
      <c r="E2951">
        <v>4.99</v>
      </c>
      <c r="F2951">
        <f>COUNTIFS(mdr_rate_cleaned!$A$2:$A$10,B2951,mdr_rate_cleaned!$B$2:$B$10,"&lt;"&amp;C2951,mdr_rate_cleaned!$F$2:$F$10,"&gt;="&amp;C2951)</f>
        <v>1</v>
      </c>
      <c r="G2951">
        <v>1.4999999999999999E-2</v>
      </c>
      <c r="H2951">
        <v>27.72</v>
      </c>
      <c r="I2951" t="s">
        <v>15</v>
      </c>
      <c r="J2951" t="s">
        <v>15</v>
      </c>
      <c r="K2951">
        <v>4.99</v>
      </c>
      <c r="L2951">
        <v>0</v>
      </c>
    </row>
    <row r="2952" spans="1:12" x14ac:dyDescent="0.3">
      <c r="A2952" t="s">
        <v>2968</v>
      </c>
      <c r="B2952" t="s">
        <v>21</v>
      </c>
      <c r="C2952">
        <v>648</v>
      </c>
      <c r="D2952">
        <v>0</v>
      </c>
      <c r="E2952">
        <v>0</v>
      </c>
      <c r="F2952">
        <f>COUNTIFS(mdr_rate_cleaned!$A$2:$A$10,B2952,mdr_rate_cleaned!$B$2:$B$10,"&lt;"&amp;C2952,mdr_rate_cleaned!$F$2:$F$10,"&gt;="&amp;C2952)</f>
        <v>1</v>
      </c>
      <c r="G2952">
        <v>0</v>
      </c>
      <c r="H2952">
        <v>0</v>
      </c>
      <c r="I2952" t="s">
        <v>15</v>
      </c>
      <c r="J2952" t="s">
        <v>15</v>
      </c>
      <c r="K2952">
        <v>0</v>
      </c>
      <c r="L2952">
        <v>0</v>
      </c>
    </row>
    <row r="2953" spans="1:12" x14ac:dyDescent="0.3">
      <c r="A2953" t="s">
        <v>2969</v>
      </c>
      <c r="B2953" t="s">
        <v>13</v>
      </c>
      <c r="C2953">
        <v>999</v>
      </c>
      <c r="D2953">
        <v>18.98</v>
      </c>
      <c r="E2953">
        <v>3.42</v>
      </c>
      <c r="F2953">
        <f>COUNTIFS(mdr_rate_cleaned!$A$2:$A$10,B2953,mdr_rate_cleaned!$B$2:$B$10,"&lt;"&amp;C2953,mdr_rate_cleaned!$F$2:$F$10,"&gt;="&amp;C2953)</f>
        <v>1</v>
      </c>
      <c r="G2953">
        <v>1.9E-2</v>
      </c>
      <c r="H2953">
        <v>18.98</v>
      </c>
      <c r="I2953" t="s">
        <v>15</v>
      </c>
      <c r="J2953" t="s">
        <v>15</v>
      </c>
      <c r="K2953">
        <v>3.42</v>
      </c>
      <c r="L2953">
        <v>0</v>
      </c>
    </row>
    <row r="2954" spans="1:12" x14ac:dyDescent="0.3">
      <c r="A2954" t="s">
        <v>2970</v>
      </c>
      <c r="B2954" t="s">
        <v>21</v>
      </c>
      <c r="C2954">
        <v>5097</v>
      </c>
      <c r="D2954">
        <v>15.29</v>
      </c>
      <c r="E2954">
        <v>2.75</v>
      </c>
      <c r="F2954">
        <f>COUNTIFS(mdr_rate_cleaned!$A$2:$A$10,B2954,mdr_rate_cleaned!$B$2:$B$10,"&lt;"&amp;C2954,mdr_rate_cleaned!$F$2:$F$10,"&gt;="&amp;C2954)</f>
        <v>1</v>
      </c>
      <c r="G2954">
        <v>3.0000000000000001E-3</v>
      </c>
      <c r="H2954">
        <v>15.29</v>
      </c>
      <c r="I2954" t="s">
        <v>15</v>
      </c>
      <c r="J2954" t="s">
        <v>15</v>
      </c>
      <c r="K2954">
        <v>2.75</v>
      </c>
      <c r="L2954">
        <v>0</v>
      </c>
    </row>
    <row r="2955" spans="1:12" x14ac:dyDescent="0.3">
      <c r="A2955" t="s">
        <v>2971</v>
      </c>
      <c r="B2955" t="s">
        <v>21</v>
      </c>
      <c r="C2955">
        <v>1997</v>
      </c>
      <c r="D2955">
        <v>0</v>
      </c>
      <c r="E2955">
        <v>0</v>
      </c>
      <c r="F2955">
        <f>COUNTIFS(mdr_rate_cleaned!$A$2:$A$10,B2955,mdr_rate_cleaned!$B$2:$B$10,"&lt;"&amp;C2955,mdr_rate_cleaned!$F$2:$F$10,"&gt;="&amp;C2955)</f>
        <v>1</v>
      </c>
      <c r="G2955">
        <v>0</v>
      </c>
      <c r="H2955">
        <v>0</v>
      </c>
      <c r="I2955" t="s">
        <v>15</v>
      </c>
      <c r="J2955" t="s">
        <v>15</v>
      </c>
      <c r="K2955">
        <v>0</v>
      </c>
      <c r="L2955">
        <v>0</v>
      </c>
    </row>
    <row r="2956" spans="1:12" x14ac:dyDescent="0.3">
      <c r="A2956" t="s">
        <v>2972</v>
      </c>
      <c r="B2956" t="s">
        <v>21</v>
      </c>
      <c r="C2956">
        <v>2597</v>
      </c>
      <c r="D2956">
        <v>7.79</v>
      </c>
      <c r="E2956">
        <v>1.4</v>
      </c>
      <c r="F2956">
        <f>COUNTIFS(mdr_rate_cleaned!$A$2:$A$10,B2956,mdr_rate_cleaned!$B$2:$B$10,"&lt;"&amp;C2956,mdr_rate_cleaned!$F$2:$F$10,"&gt;="&amp;C2956)</f>
        <v>1</v>
      </c>
      <c r="G2956">
        <v>3.0000000000000001E-3</v>
      </c>
      <c r="H2956">
        <v>7.79</v>
      </c>
      <c r="I2956" t="s">
        <v>15</v>
      </c>
      <c r="J2956" t="s">
        <v>15</v>
      </c>
      <c r="K2956">
        <v>1.4</v>
      </c>
      <c r="L2956">
        <v>0</v>
      </c>
    </row>
    <row r="2957" spans="1:12" x14ac:dyDescent="0.3">
      <c r="A2957" t="s">
        <v>2973</v>
      </c>
      <c r="B2957" t="s">
        <v>21</v>
      </c>
      <c r="C2957">
        <v>5797</v>
      </c>
      <c r="D2957">
        <v>17.39</v>
      </c>
      <c r="E2957">
        <v>3.13</v>
      </c>
      <c r="F2957">
        <f>COUNTIFS(mdr_rate_cleaned!$A$2:$A$10,B2957,mdr_rate_cleaned!$B$2:$B$10,"&lt;"&amp;C2957,mdr_rate_cleaned!$F$2:$F$10,"&gt;="&amp;C2957)</f>
        <v>1</v>
      </c>
      <c r="G2957">
        <v>3.0000000000000001E-3</v>
      </c>
      <c r="H2957">
        <v>17.39</v>
      </c>
      <c r="I2957" t="s">
        <v>15</v>
      </c>
      <c r="J2957" t="s">
        <v>15</v>
      </c>
      <c r="K2957">
        <v>3.13</v>
      </c>
      <c r="L2957">
        <v>0</v>
      </c>
    </row>
    <row r="2958" spans="1:12" x14ac:dyDescent="0.3">
      <c r="A2958" t="s">
        <v>2974</v>
      </c>
      <c r="B2958" t="s">
        <v>39</v>
      </c>
      <c r="C2958">
        <v>7999</v>
      </c>
      <c r="D2958">
        <v>95.99</v>
      </c>
      <c r="E2958">
        <v>17.28</v>
      </c>
      <c r="F2958">
        <f>COUNTIFS(mdr_rate_cleaned!$A$2:$A$10,B2958,mdr_rate_cleaned!$B$2:$B$10,"&lt;"&amp;C2958,mdr_rate_cleaned!$F$2:$F$10,"&gt;="&amp;C2958)</f>
        <v>1</v>
      </c>
      <c r="G2958">
        <v>1.2E-2</v>
      </c>
      <c r="H2958">
        <v>95.99</v>
      </c>
      <c r="I2958" t="s">
        <v>15</v>
      </c>
      <c r="J2958" t="s">
        <v>15</v>
      </c>
      <c r="K2958">
        <v>17.28</v>
      </c>
      <c r="L2958">
        <v>0</v>
      </c>
    </row>
    <row r="2959" spans="1:12" x14ac:dyDescent="0.3">
      <c r="A2959" t="s">
        <v>2975</v>
      </c>
      <c r="B2959" t="s">
        <v>17</v>
      </c>
      <c r="C2959">
        <v>9998</v>
      </c>
      <c r="D2959">
        <v>159.97</v>
      </c>
      <c r="E2959">
        <v>28.79</v>
      </c>
      <c r="F2959">
        <f>COUNTIFS(mdr_rate_cleaned!$A$2:$A$10,B2959,mdr_rate_cleaned!$B$2:$B$10,"&lt;"&amp;C2959,mdr_rate_cleaned!$F$2:$F$10,"&gt;="&amp;C2959)</f>
        <v>1</v>
      </c>
      <c r="G2959">
        <v>1.6E-2</v>
      </c>
      <c r="H2959">
        <v>159.97</v>
      </c>
      <c r="I2959" t="s">
        <v>15</v>
      </c>
      <c r="J2959" t="s">
        <v>15</v>
      </c>
      <c r="K2959">
        <v>28.79</v>
      </c>
      <c r="L2959">
        <v>0</v>
      </c>
    </row>
    <row r="2960" spans="1:12" x14ac:dyDescent="0.3">
      <c r="A2960" t="s">
        <v>2976</v>
      </c>
      <c r="B2960" t="s">
        <v>17</v>
      </c>
      <c r="C2960">
        <v>1299</v>
      </c>
      <c r="D2960">
        <v>23.38</v>
      </c>
      <c r="E2960">
        <v>4.21</v>
      </c>
      <c r="F2960">
        <f>COUNTIFS(mdr_rate_cleaned!$A$2:$A$10,B2960,mdr_rate_cleaned!$B$2:$B$10,"&lt;"&amp;C2960,mdr_rate_cleaned!$F$2:$F$10,"&gt;="&amp;C2960)</f>
        <v>1</v>
      </c>
      <c r="G2960">
        <v>1.7999999999999999E-2</v>
      </c>
      <c r="H2960">
        <v>23.38</v>
      </c>
      <c r="I2960" t="s">
        <v>15</v>
      </c>
      <c r="J2960" t="s">
        <v>15</v>
      </c>
      <c r="K2960">
        <v>4.21</v>
      </c>
      <c r="L2960">
        <v>0</v>
      </c>
    </row>
    <row r="2961" spans="1:12" x14ac:dyDescent="0.3">
      <c r="A2961" t="s">
        <v>2977</v>
      </c>
      <c r="B2961" t="s">
        <v>17</v>
      </c>
      <c r="C2961">
        <v>1299</v>
      </c>
      <c r="D2961">
        <v>23.38</v>
      </c>
      <c r="E2961">
        <v>4.21</v>
      </c>
      <c r="F2961">
        <f>COUNTIFS(mdr_rate_cleaned!$A$2:$A$10,B2961,mdr_rate_cleaned!$B$2:$B$10,"&lt;"&amp;C2961,mdr_rate_cleaned!$F$2:$F$10,"&gt;="&amp;C2961)</f>
        <v>1</v>
      </c>
      <c r="G2961">
        <v>1.7999999999999999E-2</v>
      </c>
      <c r="H2961">
        <v>23.38</v>
      </c>
      <c r="I2961" t="s">
        <v>15</v>
      </c>
      <c r="J2961" t="s">
        <v>15</v>
      </c>
      <c r="K2961">
        <v>4.21</v>
      </c>
      <c r="L2961">
        <v>0</v>
      </c>
    </row>
    <row r="2962" spans="1:12" x14ac:dyDescent="0.3">
      <c r="A2962" t="s">
        <v>2978</v>
      </c>
      <c r="B2962" t="s">
        <v>17</v>
      </c>
      <c r="C2962">
        <v>8847</v>
      </c>
      <c r="D2962">
        <v>141.55000000000001</v>
      </c>
      <c r="E2962">
        <v>25.48</v>
      </c>
      <c r="F2962">
        <f>COUNTIFS(mdr_rate_cleaned!$A$2:$A$10,B2962,mdr_rate_cleaned!$B$2:$B$10,"&lt;"&amp;C2962,mdr_rate_cleaned!$F$2:$F$10,"&gt;="&amp;C2962)</f>
        <v>1</v>
      </c>
      <c r="G2962">
        <v>1.6E-2</v>
      </c>
      <c r="H2962">
        <v>141.55000000000001</v>
      </c>
      <c r="I2962" t="s">
        <v>15</v>
      </c>
      <c r="J2962" t="s">
        <v>15</v>
      </c>
      <c r="K2962">
        <v>25.48</v>
      </c>
      <c r="L2962">
        <v>0</v>
      </c>
    </row>
    <row r="2963" spans="1:12" x14ac:dyDescent="0.3">
      <c r="A2963" t="s">
        <v>2979</v>
      </c>
      <c r="B2963" t="s">
        <v>21</v>
      </c>
      <c r="C2963">
        <v>999</v>
      </c>
      <c r="D2963">
        <v>0</v>
      </c>
      <c r="E2963">
        <v>0</v>
      </c>
      <c r="F2963">
        <f>COUNTIFS(mdr_rate_cleaned!$A$2:$A$10,B2963,mdr_rate_cleaned!$B$2:$B$10,"&lt;"&amp;C2963,mdr_rate_cleaned!$F$2:$F$10,"&gt;="&amp;C2963)</f>
        <v>1</v>
      </c>
      <c r="G2963">
        <v>0</v>
      </c>
      <c r="H2963">
        <v>0</v>
      </c>
      <c r="I2963" t="s">
        <v>15</v>
      </c>
      <c r="J2963" t="s">
        <v>15</v>
      </c>
      <c r="K2963">
        <v>0</v>
      </c>
      <c r="L2963">
        <v>0</v>
      </c>
    </row>
    <row r="2964" spans="1:12" x14ac:dyDescent="0.3">
      <c r="A2964" t="s">
        <v>2980</v>
      </c>
      <c r="B2964" t="s">
        <v>13</v>
      </c>
      <c r="C2964">
        <v>7999</v>
      </c>
      <c r="D2964">
        <v>135.97999999999999</v>
      </c>
      <c r="E2964">
        <v>24.48</v>
      </c>
      <c r="F2964">
        <f>COUNTIFS(mdr_rate_cleaned!$A$2:$A$10,B2964,mdr_rate_cleaned!$B$2:$B$10,"&lt;"&amp;C2964,mdr_rate_cleaned!$F$2:$F$10,"&gt;="&amp;C2964)</f>
        <v>1</v>
      </c>
      <c r="G2964">
        <v>1.7000000000000001E-2</v>
      </c>
      <c r="H2964">
        <v>135.97999999999999</v>
      </c>
      <c r="I2964" t="s">
        <v>15</v>
      </c>
      <c r="J2964" t="s">
        <v>15</v>
      </c>
      <c r="K2964">
        <v>24.48</v>
      </c>
      <c r="L2964">
        <v>0</v>
      </c>
    </row>
    <row r="2965" spans="1:12" x14ac:dyDescent="0.3">
      <c r="A2965" t="s">
        <v>2981</v>
      </c>
      <c r="B2965" t="s">
        <v>21</v>
      </c>
      <c r="C2965">
        <v>3798</v>
      </c>
      <c r="D2965">
        <v>11.39</v>
      </c>
      <c r="E2965">
        <v>2.0499999999999998</v>
      </c>
      <c r="F2965">
        <f>COUNTIFS(mdr_rate_cleaned!$A$2:$A$10,B2965,mdr_rate_cleaned!$B$2:$B$10,"&lt;"&amp;C2965,mdr_rate_cleaned!$F$2:$F$10,"&gt;="&amp;C2965)</f>
        <v>1</v>
      </c>
      <c r="G2965">
        <v>3.0000000000000001E-3</v>
      </c>
      <c r="H2965">
        <v>11.39</v>
      </c>
      <c r="I2965" t="s">
        <v>15</v>
      </c>
      <c r="J2965" t="s">
        <v>15</v>
      </c>
      <c r="K2965">
        <v>2.0499999999999998</v>
      </c>
      <c r="L2965">
        <v>0</v>
      </c>
    </row>
    <row r="2966" spans="1:12" x14ac:dyDescent="0.3">
      <c r="A2966" t="s">
        <v>2982</v>
      </c>
      <c r="B2966" t="s">
        <v>17</v>
      </c>
      <c r="C2966">
        <v>3798</v>
      </c>
      <c r="D2966">
        <v>60.77</v>
      </c>
      <c r="E2966">
        <v>10.94</v>
      </c>
      <c r="F2966">
        <f>COUNTIFS(mdr_rate_cleaned!$A$2:$A$10,B2966,mdr_rate_cleaned!$B$2:$B$10,"&lt;"&amp;C2966,mdr_rate_cleaned!$F$2:$F$10,"&gt;="&amp;C2966)</f>
        <v>1</v>
      </c>
      <c r="G2966">
        <v>1.6E-2</v>
      </c>
      <c r="H2966">
        <v>60.77</v>
      </c>
      <c r="I2966" t="s">
        <v>15</v>
      </c>
      <c r="J2966" t="s">
        <v>15</v>
      </c>
      <c r="K2966">
        <v>10.94</v>
      </c>
      <c r="L2966">
        <v>0</v>
      </c>
    </row>
    <row r="2967" spans="1:12" x14ac:dyDescent="0.3">
      <c r="A2967" t="s">
        <v>2983</v>
      </c>
      <c r="B2967" t="s">
        <v>13</v>
      </c>
      <c r="C2967">
        <v>1397</v>
      </c>
      <c r="D2967">
        <v>26.54</v>
      </c>
      <c r="E2967">
        <v>4.78</v>
      </c>
      <c r="F2967">
        <f>COUNTIFS(mdr_rate_cleaned!$A$2:$A$10,B2967,mdr_rate_cleaned!$B$2:$B$10,"&lt;"&amp;C2967,mdr_rate_cleaned!$F$2:$F$10,"&gt;="&amp;C2967)</f>
        <v>1</v>
      </c>
      <c r="G2967">
        <v>1.9E-2</v>
      </c>
      <c r="H2967">
        <v>26.54</v>
      </c>
      <c r="I2967" t="s">
        <v>15</v>
      </c>
      <c r="J2967" t="s">
        <v>15</v>
      </c>
      <c r="K2967">
        <v>4.78</v>
      </c>
      <c r="L2967">
        <v>0</v>
      </c>
    </row>
    <row r="2968" spans="1:12" x14ac:dyDescent="0.3">
      <c r="A2968" t="s">
        <v>2984</v>
      </c>
      <c r="B2968" t="s">
        <v>21</v>
      </c>
      <c r="C2968">
        <v>299</v>
      </c>
      <c r="D2968">
        <v>0</v>
      </c>
      <c r="E2968">
        <v>0</v>
      </c>
      <c r="F2968">
        <f>COUNTIFS(mdr_rate_cleaned!$A$2:$A$10,B2968,mdr_rate_cleaned!$B$2:$B$10,"&lt;"&amp;C2968,mdr_rate_cleaned!$F$2:$F$10,"&gt;="&amp;C2968)</f>
        <v>1</v>
      </c>
      <c r="G2968">
        <v>0</v>
      </c>
      <c r="H2968">
        <v>0</v>
      </c>
      <c r="I2968" t="s">
        <v>15</v>
      </c>
      <c r="J2968" t="s">
        <v>15</v>
      </c>
      <c r="K2968">
        <v>0</v>
      </c>
      <c r="L2968">
        <v>0</v>
      </c>
    </row>
    <row r="2969" spans="1:12" x14ac:dyDescent="0.3">
      <c r="A2969" t="s">
        <v>2985</v>
      </c>
      <c r="B2969" t="s">
        <v>21</v>
      </c>
      <c r="C2969">
        <v>7999</v>
      </c>
      <c r="D2969">
        <v>24</v>
      </c>
      <c r="E2969">
        <v>4.32</v>
      </c>
      <c r="F2969">
        <f>COUNTIFS(mdr_rate_cleaned!$A$2:$A$10,B2969,mdr_rate_cleaned!$B$2:$B$10,"&lt;"&amp;C2969,mdr_rate_cleaned!$F$2:$F$10,"&gt;="&amp;C2969)</f>
        <v>1</v>
      </c>
      <c r="G2969">
        <v>3.0000000000000001E-3</v>
      </c>
      <c r="H2969">
        <v>24</v>
      </c>
      <c r="I2969" t="s">
        <v>15</v>
      </c>
      <c r="J2969" t="s">
        <v>15</v>
      </c>
      <c r="K2969">
        <v>4.32</v>
      </c>
      <c r="L2969">
        <v>0</v>
      </c>
    </row>
    <row r="2970" spans="1:12" x14ac:dyDescent="0.3">
      <c r="A2970" t="s">
        <v>2986</v>
      </c>
      <c r="B2970" t="s">
        <v>17</v>
      </c>
      <c r="C2970">
        <v>599</v>
      </c>
      <c r="D2970">
        <v>10.78</v>
      </c>
      <c r="E2970">
        <v>1.94</v>
      </c>
      <c r="F2970">
        <f>COUNTIFS(mdr_rate_cleaned!$A$2:$A$10,B2970,mdr_rate_cleaned!$B$2:$B$10,"&lt;"&amp;C2970,mdr_rate_cleaned!$F$2:$F$10,"&gt;="&amp;C2970)</f>
        <v>1</v>
      </c>
      <c r="G2970">
        <v>1.7999999999999999E-2</v>
      </c>
      <c r="H2970">
        <v>10.78</v>
      </c>
      <c r="I2970" t="s">
        <v>15</v>
      </c>
      <c r="J2970" t="s">
        <v>15</v>
      </c>
      <c r="K2970">
        <v>1.94</v>
      </c>
      <c r="L2970">
        <v>0</v>
      </c>
    </row>
    <row r="2971" spans="1:12" x14ac:dyDescent="0.3">
      <c r="A2971" t="s">
        <v>2987</v>
      </c>
      <c r="B2971" t="s">
        <v>13</v>
      </c>
      <c r="C2971">
        <v>7999</v>
      </c>
      <c r="D2971">
        <v>135.97999999999999</v>
      </c>
      <c r="E2971">
        <v>24.48</v>
      </c>
      <c r="F2971">
        <f>COUNTIFS(mdr_rate_cleaned!$A$2:$A$10,B2971,mdr_rate_cleaned!$B$2:$B$10,"&lt;"&amp;C2971,mdr_rate_cleaned!$F$2:$F$10,"&gt;="&amp;C2971)</f>
        <v>1</v>
      </c>
      <c r="G2971">
        <v>1.7000000000000001E-2</v>
      </c>
      <c r="H2971">
        <v>135.97999999999999</v>
      </c>
      <c r="I2971" t="s">
        <v>15</v>
      </c>
      <c r="J2971" t="s">
        <v>15</v>
      </c>
      <c r="K2971">
        <v>24.48</v>
      </c>
      <c r="L2971">
        <v>0</v>
      </c>
    </row>
    <row r="2972" spans="1:12" x14ac:dyDescent="0.3">
      <c r="A2972" t="s">
        <v>2988</v>
      </c>
      <c r="B2972" t="s">
        <v>17</v>
      </c>
      <c r="C2972">
        <v>5797</v>
      </c>
      <c r="D2972">
        <v>92.75</v>
      </c>
      <c r="E2972">
        <v>16.7</v>
      </c>
      <c r="F2972">
        <f>COUNTIFS(mdr_rate_cleaned!$A$2:$A$10,B2972,mdr_rate_cleaned!$B$2:$B$10,"&lt;"&amp;C2972,mdr_rate_cleaned!$F$2:$F$10,"&gt;="&amp;C2972)</f>
        <v>1</v>
      </c>
      <c r="G2972">
        <v>1.6E-2</v>
      </c>
      <c r="H2972">
        <v>92.75</v>
      </c>
      <c r="I2972" t="s">
        <v>15</v>
      </c>
      <c r="J2972" t="s">
        <v>15</v>
      </c>
      <c r="K2972">
        <v>16.7</v>
      </c>
      <c r="L2972">
        <v>0</v>
      </c>
    </row>
    <row r="2973" spans="1:12" x14ac:dyDescent="0.3">
      <c r="A2973" t="s">
        <v>2989</v>
      </c>
      <c r="B2973" t="s">
        <v>21</v>
      </c>
      <c r="C2973">
        <v>5297</v>
      </c>
      <c r="D2973">
        <v>15.89</v>
      </c>
      <c r="E2973">
        <v>2.86</v>
      </c>
      <c r="F2973">
        <f>COUNTIFS(mdr_rate_cleaned!$A$2:$A$10,B2973,mdr_rate_cleaned!$B$2:$B$10,"&lt;"&amp;C2973,mdr_rate_cleaned!$F$2:$F$10,"&gt;="&amp;C2973)</f>
        <v>1</v>
      </c>
      <c r="G2973">
        <v>3.0000000000000001E-3</v>
      </c>
      <c r="H2973">
        <v>15.89</v>
      </c>
      <c r="I2973" t="s">
        <v>15</v>
      </c>
      <c r="J2973" t="s">
        <v>15</v>
      </c>
      <c r="K2973">
        <v>2.86</v>
      </c>
      <c r="L2973">
        <v>0</v>
      </c>
    </row>
    <row r="2974" spans="1:12" x14ac:dyDescent="0.3">
      <c r="A2974" t="s">
        <v>2990</v>
      </c>
      <c r="B2974" t="s">
        <v>21</v>
      </c>
      <c r="C2974">
        <v>3298</v>
      </c>
      <c r="D2974">
        <v>9.89</v>
      </c>
      <c r="E2974">
        <v>1.78</v>
      </c>
      <c r="F2974">
        <f>COUNTIFS(mdr_rate_cleaned!$A$2:$A$10,B2974,mdr_rate_cleaned!$B$2:$B$10,"&lt;"&amp;C2974,mdr_rate_cleaned!$F$2:$F$10,"&gt;="&amp;C2974)</f>
        <v>1</v>
      </c>
      <c r="G2974">
        <v>3.0000000000000001E-3</v>
      </c>
      <c r="H2974">
        <v>9.89</v>
      </c>
      <c r="I2974" t="s">
        <v>15</v>
      </c>
      <c r="J2974" t="s">
        <v>15</v>
      </c>
      <c r="K2974">
        <v>1.78</v>
      </c>
      <c r="L2974">
        <v>0</v>
      </c>
    </row>
    <row r="2975" spans="1:12" x14ac:dyDescent="0.3">
      <c r="A2975" t="s">
        <v>2991</v>
      </c>
      <c r="B2975" t="s">
        <v>17</v>
      </c>
      <c r="C2975">
        <v>8298</v>
      </c>
      <c r="D2975">
        <v>132.77000000000001</v>
      </c>
      <c r="E2975">
        <v>23.9</v>
      </c>
      <c r="F2975">
        <f>COUNTIFS(mdr_rate_cleaned!$A$2:$A$10,B2975,mdr_rate_cleaned!$B$2:$B$10,"&lt;"&amp;C2975,mdr_rate_cleaned!$F$2:$F$10,"&gt;="&amp;C2975)</f>
        <v>1</v>
      </c>
      <c r="G2975">
        <v>1.6E-2</v>
      </c>
      <c r="H2975">
        <v>132.77000000000001</v>
      </c>
      <c r="I2975" t="s">
        <v>15</v>
      </c>
      <c r="J2975" t="s">
        <v>15</v>
      </c>
      <c r="K2975">
        <v>23.9</v>
      </c>
      <c r="L2975">
        <v>0</v>
      </c>
    </row>
    <row r="2976" spans="1:12" x14ac:dyDescent="0.3">
      <c r="A2976" t="s">
        <v>2992</v>
      </c>
      <c r="B2976" t="s">
        <v>17</v>
      </c>
      <c r="C2976">
        <v>7999</v>
      </c>
      <c r="D2976">
        <v>127.98</v>
      </c>
      <c r="E2976">
        <v>23.04</v>
      </c>
      <c r="F2976">
        <f>COUNTIFS(mdr_rate_cleaned!$A$2:$A$10,B2976,mdr_rate_cleaned!$B$2:$B$10,"&lt;"&amp;C2976,mdr_rate_cleaned!$F$2:$F$10,"&gt;="&amp;C2976)</f>
        <v>1</v>
      </c>
      <c r="G2976">
        <v>1.6E-2</v>
      </c>
      <c r="H2976">
        <v>127.98</v>
      </c>
      <c r="I2976" t="s">
        <v>15</v>
      </c>
      <c r="J2976" t="s">
        <v>15</v>
      </c>
      <c r="K2976">
        <v>23.04</v>
      </c>
      <c r="L2976">
        <v>0</v>
      </c>
    </row>
    <row r="2977" spans="1:12" x14ac:dyDescent="0.3">
      <c r="A2977" t="s">
        <v>2993</v>
      </c>
      <c r="B2977" t="s">
        <v>21</v>
      </c>
      <c r="C2977">
        <v>1298</v>
      </c>
      <c r="D2977">
        <v>0</v>
      </c>
      <c r="E2977">
        <v>0</v>
      </c>
      <c r="F2977">
        <f>COUNTIFS(mdr_rate_cleaned!$A$2:$A$10,B2977,mdr_rate_cleaned!$B$2:$B$10,"&lt;"&amp;C2977,mdr_rate_cleaned!$F$2:$F$10,"&gt;="&amp;C2977)</f>
        <v>1</v>
      </c>
      <c r="G2977">
        <v>0</v>
      </c>
      <c r="H2977">
        <v>0</v>
      </c>
      <c r="I2977" t="s">
        <v>15</v>
      </c>
      <c r="J2977" t="s">
        <v>15</v>
      </c>
      <c r="K2977">
        <v>0</v>
      </c>
      <c r="L2977">
        <v>0</v>
      </c>
    </row>
    <row r="2978" spans="1:12" x14ac:dyDescent="0.3">
      <c r="A2978" t="s">
        <v>2994</v>
      </c>
      <c r="B2978" t="s">
        <v>17</v>
      </c>
      <c r="C2978">
        <v>349</v>
      </c>
      <c r="D2978">
        <v>6.28</v>
      </c>
      <c r="E2978">
        <v>1.1299999999999999</v>
      </c>
      <c r="F2978">
        <f>COUNTIFS(mdr_rate_cleaned!$A$2:$A$10,B2978,mdr_rate_cleaned!$B$2:$B$10,"&lt;"&amp;C2978,mdr_rate_cleaned!$F$2:$F$10,"&gt;="&amp;C2978)</f>
        <v>1</v>
      </c>
      <c r="G2978">
        <v>1.7999999999999999E-2</v>
      </c>
      <c r="H2978">
        <v>6.28</v>
      </c>
      <c r="I2978" t="s">
        <v>15</v>
      </c>
      <c r="J2978" t="s">
        <v>15</v>
      </c>
      <c r="K2978">
        <v>1.1299999999999999</v>
      </c>
      <c r="L2978">
        <v>0</v>
      </c>
    </row>
    <row r="2979" spans="1:12" x14ac:dyDescent="0.3">
      <c r="A2979" t="s">
        <v>2995</v>
      </c>
      <c r="B2979" t="s">
        <v>17</v>
      </c>
      <c r="C2979">
        <v>6347</v>
      </c>
      <c r="D2979">
        <v>101.55</v>
      </c>
      <c r="E2979">
        <v>18.28</v>
      </c>
      <c r="F2979">
        <f>COUNTIFS(mdr_rate_cleaned!$A$2:$A$10,B2979,mdr_rate_cleaned!$B$2:$B$10,"&lt;"&amp;C2979,mdr_rate_cleaned!$F$2:$F$10,"&gt;="&amp;C2979)</f>
        <v>1</v>
      </c>
      <c r="G2979">
        <v>1.6E-2</v>
      </c>
      <c r="H2979">
        <v>101.55</v>
      </c>
      <c r="I2979" t="s">
        <v>15</v>
      </c>
      <c r="J2979" t="s">
        <v>15</v>
      </c>
      <c r="K2979">
        <v>18.28</v>
      </c>
      <c r="L2979">
        <v>0</v>
      </c>
    </row>
    <row r="2980" spans="1:12" x14ac:dyDescent="0.3">
      <c r="A2980" t="s">
        <v>2996</v>
      </c>
      <c r="B2980" t="s">
        <v>13</v>
      </c>
      <c r="C2980">
        <v>3499</v>
      </c>
      <c r="D2980">
        <v>59.48</v>
      </c>
      <c r="E2980">
        <v>10.71</v>
      </c>
      <c r="F2980">
        <f>COUNTIFS(mdr_rate_cleaned!$A$2:$A$10,B2980,mdr_rate_cleaned!$B$2:$B$10,"&lt;"&amp;C2980,mdr_rate_cleaned!$F$2:$F$10,"&gt;="&amp;C2980)</f>
        <v>1</v>
      </c>
      <c r="G2980">
        <v>1.7000000000000001E-2</v>
      </c>
      <c r="H2980">
        <v>59.48</v>
      </c>
      <c r="I2980" t="s">
        <v>15</v>
      </c>
      <c r="J2980" t="s">
        <v>15</v>
      </c>
      <c r="K2980">
        <v>10.71</v>
      </c>
      <c r="L2980">
        <v>0</v>
      </c>
    </row>
    <row r="2981" spans="1:12" x14ac:dyDescent="0.3">
      <c r="A2981" t="s">
        <v>2997</v>
      </c>
      <c r="B2981" t="s">
        <v>17</v>
      </c>
      <c r="C2981">
        <v>2649</v>
      </c>
      <c r="D2981">
        <v>42.38</v>
      </c>
      <c r="E2981">
        <v>7.63</v>
      </c>
      <c r="F2981">
        <f>COUNTIFS(mdr_rate_cleaned!$A$2:$A$10,B2981,mdr_rate_cleaned!$B$2:$B$10,"&lt;"&amp;C2981,mdr_rate_cleaned!$F$2:$F$10,"&gt;="&amp;C2981)</f>
        <v>1</v>
      </c>
      <c r="G2981">
        <v>1.6E-2</v>
      </c>
      <c r="H2981">
        <v>42.38</v>
      </c>
      <c r="I2981" t="s">
        <v>15</v>
      </c>
      <c r="J2981" t="s">
        <v>15</v>
      </c>
      <c r="K2981">
        <v>7.63</v>
      </c>
      <c r="L2981">
        <v>0</v>
      </c>
    </row>
    <row r="2982" spans="1:12" x14ac:dyDescent="0.3">
      <c r="A2982" t="s">
        <v>2998</v>
      </c>
      <c r="B2982" t="s">
        <v>17</v>
      </c>
      <c r="C2982">
        <v>5998</v>
      </c>
      <c r="D2982">
        <v>95.97</v>
      </c>
      <c r="E2982">
        <v>17.27</v>
      </c>
      <c r="F2982">
        <f>COUNTIFS(mdr_rate_cleaned!$A$2:$A$10,B2982,mdr_rate_cleaned!$B$2:$B$10,"&lt;"&amp;C2982,mdr_rate_cleaned!$F$2:$F$10,"&gt;="&amp;C2982)</f>
        <v>1</v>
      </c>
      <c r="G2982">
        <v>1.6E-2</v>
      </c>
      <c r="H2982">
        <v>95.97</v>
      </c>
      <c r="I2982" t="s">
        <v>15</v>
      </c>
      <c r="J2982" t="s">
        <v>15</v>
      </c>
      <c r="K2982">
        <v>17.27</v>
      </c>
      <c r="L2982">
        <v>0</v>
      </c>
    </row>
    <row r="2983" spans="1:12" x14ac:dyDescent="0.3">
      <c r="A2983" t="s">
        <v>2999</v>
      </c>
      <c r="B2983" t="s">
        <v>17</v>
      </c>
      <c r="C2983">
        <v>1299</v>
      </c>
      <c r="D2983">
        <v>23.38</v>
      </c>
      <c r="E2983">
        <v>4.21</v>
      </c>
      <c r="F2983">
        <f>COUNTIFS(mdr_rate_cleaned!$A$2:$A$10,B2983,mdr_rate_cleaned!$B$2:$B$10,"&lt;"&amp;C2983,mdr_rate_cleaned!$F$2:$F$10,"&gt;="&amp;C2983)</f>
        <v>1</v>
      </c>
      <c r="G2983">
        <v>1.7999999999999999E-2</v>
      </c>
      <c r="H2983">
        <v>23.38</v>
      </c>
      <c r="I2983" t="s">
        <v>15</v>
      </c>
      <c r="J2983" t="s">
        <v>15</v>
      </c>
      <c r="K2983">
        <v>4.21</v>
      </c>
      <c r="L2983">
        <v>0</v>
      </c>
    </row>
    <row r="2984" spans="1:12" x14ac:dyDescent="0.3">
      <c r="A2984" t="s">
        <v>3000</v>
      </c>
      <c r="B2984" t="s">
        <v>17</v>
      </c>
      <c r="C2984">
        <v>1499</v>
      </c>
      <c r="D2984">
        <v>26.98</v>
      </c>
      <c r="E2984">
        <v>4.8600000000000003</v>
      </c>
      <c r="F2984">
        <f>COUNTIFS(mdr_rate_cleaned!$A$2:$A$10,B2984,mdr_rate_cleaned!$B$2:$B$10,"&lt;"&amp;C2984,mdr_rate_cleaned!$F$2:$F$10,"&gt;="&amp;C2984)</f>
        <v>1</v>
      </c>
      <c r="G2984">
        <v>1.7999999999999999E-2</v>
      </c>
      <c r="H2984">
        <v>26.98</v>
      </c>
      <c r="I2984" t="s">
        <v>15</v>
      </c>
      <c r="J2984" t="s">
        <v>15</v>
      </c>
      <c r="K2984">
        <v>4.8600000000000003</v>
      </c>
      <c r="L2984">
        <v>0</v>
      </c>
    </row>
    <row r="2985" spans="1:12" x14ac:dyDescent="0.3">
      <c r="A2985" t="s">
        <v>3001</v>
      </c>
      <c r="B2985" t="s">
        <v>21</v>
      </c>
      <c r="C2985">
        <v>1647</v>
      </c>
      <c r="D2985">
        <v>0</v>
      </c>
      <c r="E2985">
        <v>0</v>
      </c>
      <c r="F2985">
        <f>COUNTIFS(mdr_rate_cleaned!$A$2:$A$10,B2985,mdr_rate_cleaned!$B$2:$B$10,"&lt;"&amp;C2985,mdr_rate_cleaned!$F$2:$F$10,"&gt;="&amp;C2985)</f>
        <v>1</v>
      </c>
      <c r="G2985">
        <v>0</v>
      </c>
      <c r="H2985">
        <v>0</v>
      </c>
      <c r="I2985" t="s">
        <v>15</v>
      </c>
      <c r="J2985" t="s">
        <v>15</v>
      </c>
      <c r="K2985">
        <v>0</v>
      </c>
      <c r="L2985">
        <v>0</v>
      </c>
    </row>
    <row r="2986" spans="1:12" x14ac:dyDescent="0.3">
      <c r="A2986" t="s">
        <v>3002</v>
      </c>
      <c r="B2986" t="s">
        <v>17</v>
      </c>
      <c r="C2986">
        <v>10797</v>
      </c>
      <c r="D2986">
        <v>172.75</v>
      </c>
      <c r="E2986">
        <v>31.1</v>
      </c>
      <c r="F2986">
        <f>COUNTIFS(mdr_rate_cleaned!$A$2:$A$10,B2986,mdr_rate_cleaned!$B$2:$B$10,"&lt;"&amp;C2986,mdr_rate_cleaned!$F$2:$F$10,"&gt;="&amp;C2986)</f>
        <v>1</v>
      </c>
      <c r="G2986">
        <v>1.6E-2</v>
      </c>
      <c r="H2986">
        <v>172.75</v>
      </c>
      <c r="I2986" t="s">
        <v>15</v>
      </c>
      <c r="J2986" t="s">
        <v>15</v>
      </c>
      <c r="K2986">
        <v>31.1</v>
      </c>
      <c r="L2986">
        <v>0</v>
      </c>
    </row>
    <row r="2987" spans="1:12" x14ac:dyDescent="0.3">
      <c r="A2987" t="s">
        <v>3003</v>
      </c>
      <c r="B2987" t="s">
        <v>13</v>
      </c>
      <c r="C2987">
        <v>7999</v>
      </c>
      <c r="D2987">
        <v>135.97999999999999</v>
      </c>
      <c r="E2987">
        <v>24.48</v>
      </c>
      <c r="F2987">
        <f>COUNTIFS(mdr_rate_cleaned!$A$2:$A$10,B2987,mdr_rate_cleaned!$B$2:$B$10,"&lt;"&amp;C2987,mdr_rate_cleaned!$F$2:$F$10,"&gt;="&amp;C2987)</f>
        <v>1</v>
      </c>
      <c r="G2987">
        <v>1.7000000000000001E-2</v>
      </c>
      <c r="H2987">
        <v>135.97999999999999</v>
      </c>
      <c r="I2987" t="s">
        <v>15</v>
      </c>
      <c r="J2987" t="s">
        <v>15</v>
      </c>
      <c r="K2987">
        <v>24.48</v>
      </c>
      <c r="L2987">
        <v>0</v>
      </c>
    </row>
    <row r="2988" spans="1:12" x14ac:dyDescent="0.3">
      <c r="A2988" t="s">
        <v>3004</v>
      </c>
      <c r="B2988" t="s">
        <v>21</v>
      </c>
      <c r="C2988">
        <v>648</v>
      </c>
      <c r="D2988">
        <v>0</v>
      </c>
      <c r="E2988">
        <v>0</v>
      </c>
      <c r="F2988">
        <f>COUNTIFS(mdr_rate_cleaned!$A$2:$A$10,B2988,mdr_rate_cleaned!$B$2:$B$10,"&lt;"&amp;C2988,mdr_rate_cleaned!$F$2:$F$10,"&gt;="&amp;C2988)</f>
        <v>1</v>
      </c>
      <c r="G2988">
        <v>0</v>
      </c>
      <c r="H2988">
        <v>0</v>
      </c>
      <c r="I2988" t="s">
        <v>15</v>
      </c>
      <c r="J2988" t="s">
        <v>15</v>
      </c>
      <c r="K2988">
        <v>0</v>
      </c>
      <c r="L2988">
        <v>0</v>
      </c>
    </row>
    <row r="2989" spans="1:12" x14ac:dyDescent="0.3">
      <c r="A2989" t="s">
        <v>3005</v>
      </c>
      <c r="B2989" t="s">
        <v>17</v>
      </c>
      <c r="C2989">
        <v>2298</v>
      </c>
      <c r="D2989">
        <v>36.770000000000003</v>
      </c>
      <c r="E2989">
        <v>6.62</v>
      </c>
      <c r="F2989">
        <f>COUNTIFS(mdr_rate_cleaned!$A$2:$A$10,B2989,mdr_rate_cleaned!$B$2:$B$10,"&lt;"&amp;C2989,mdr_rate_cleaned!$F$2:$F$10,"&gt;="&amp;C2989)</f>
        <v>1</v>
      </c>
      <c r="G2989">
        <v>1.6E-2</v>
      </c>
      <c r="H2989">
        <v>36.770000000000003</v>
      </c>
      <c r="I2989" t="s">
        <v>15</v>
      </c>
      <c r="J2989" t="s">
        <v>15</v>
      </c>
      <c r="K2989">
        <v>6.62</v>
      </c>
      <c r="L2989">
        <v>0</v>
      </c>
    </row>
    <row r="2990" spans="1:12" x14ac:dyDescent="0.3">
      <c r="A2990" t="s">
        <v>3006</v>
      </c>
      <c r="B2990" t="s">
        <v>21</v>
      </c>
      <c r="C2990">
        <v>2499</v>
      </c>
      <c r="D2990">
        <v>7.5</v>
      </c>
      <c r="E2990">
        <v>1.35</v>
      </c>
      <c r="F2990">
        <f>COUNTIFS(mdr_rate_cleaned!$A$2:$A$10,B2990,mdr_rate_cleaned!$B$2:$B$10,"&lt;"&amp;C2990,mdr_rate_cleaned!$F$2:$F$10,"&gt;="&amp;C2990)</f>
        <v>1</v>
      </c>
      <c r="G2990">
        <v>3.0000000000000001E-3</v>
      </c>
      <c r="H2990">
        <v>7.5</v>
      </c>
      <c r="I2990" t="s">
        <v>15</v>
      </c>
      <c r="J2990" t="s">
        <v>15</v>
      </c>
      <c r="K2990">
        <v>1.35</v>
      </c>
      <c r="L2990">
        <v>0</v>
      </c>
    </row>
    <row r="2991" spans="1:12" x14ac:dyDescent="0.3">
      <c r="A2991" t="s">
        <v>3007</v>
      </c>
      <c r="B2991" t="s">
        <v>21</v>
      </c>
      <c r="C2991">
        <v>8298</v>
      </c>
      <c r="D2991">
        <v>24.89</v>
      </c>
      <c r="E2991">
        <v>4.4800000000000004</v>
      </c>
      <c r="F2991">
        <f>COUNTIFS(mdr_rate_cleaned!$A$2:$A$10,B2991,mdr_rate_cleaned!$B$2:$B$10,"&lt;"&amp;C2991,mdr_rate_cleaned!$F$2:$F$10,"&gt;="&amp;C2991)</f>
        <v>1</v>
      </c>
      <c r="G2991">
        <v>3.0000000000000001E-3</v>
      </c>
      <c r="H2991">
        <v>24.89</v>
      </c>
      <c r="I2991" t="s">
        <v>15</v>
      </c>
      <c r="J2991" t="s">
        <v>15</v>
      </c>
      <c r="K2991">
        <v>4.4800000000000004</v>
      </c>
      <c r="L2991">
        <v>0</v>
      </c>
    </row>
    <row r="2992" spans="1:12" x14ac:dyDescent="0.3">
      <c r="A2992" t="s">
        <v>3008</v>
      </c>
      <c r="B2992" t="s">
        <v>21</v>
      </c>
      <c r="C2992">
        <v>1998</v>
      </c>
      <c r="D2992">
        <v>0</v>
      </c>
      <c r="E2992">
        <v>0</v>
      </c>
      <c r="F2992">
        <f>COUNTIFS(mdr_rate_cleaned!$A$2:$A$10,B2992,mdr_rate_cleaned!$B$2:$B$10,"&lt;"&amp;C2992,mdr_rate_cleaned!$F$2:$F$10,"&gt;="&amp;C2992)</f>
        <v>1</v>
      </c>
      <c r="G2992">
        <v>0</v>
      </c>
      <c r="H2992">
        <v>0</v>
      </c>
      <c r="I2992" t="s">
        <v>15</v>
      </c>
      <c r="J2992" t="s">
        <v>15</v>
      </c>
      <c r="K2992">
        <v>0</v>
      </c>
      <c r="L2992">
        <v>0</v>
      </c>
    </row>
    <row r="2993" spans="1:12" x14ac:dyDescent="0.3">
      <c r="A2993" t="s">
        <v>3009</v>
      </c>
      <c r="B2993" t="s">
        <v>13</v>
      </c>
      <c r="C2993">
        <v>499</v>
      </c>
      <c r="D2993">
        <v>9.48</v>
      </c>
      <c r="E2993">
        <v>1.71</v>
      </c>
      <c r="F2993">
        <f>COUNTIFS(mdr_rate_cleaned!$A$2:$A$10,B2993,mdr_rate_cleaned!$B$2:$B$10,"&lt;"&amp;C2993,mdr_rate_cleaned!$F$2:$F$10,"&gt;="&amp;C2993)</f>
        <v>1</v>
      </c>
      <c r="G2993">
        <v>1.9E-2</v>
      </c>
      <c r="H2993">
        <v>9.48</v>
      </c>
      <c r="I2993" t="s">
        <v>15</v>
      </c>
      <c r="J2993" t="s">
        <v>15</v>
      </c>
      <c r="K2993">
        <v>1.71</v>
      </c>
      <c r="L2993">
        <v>0</v>
      </c>
    </row>
    <row r="2994" spans="1:12" x14ac:dyDescent="0.3">
      <c r="A2994" t="s">
        <v>3010</v>
      </c>
      <c r="B2994" t="s">
        <v>13</v>
      </c>
      <c r="C2994">
        <v>499</v>
      </c>
      <c r="D2994">
        <v>9.48</v>
      </c>
      <c r="E2994">
        <v>1.71</v>
      </c>
      <c r="F2994">
        <f>COUNTIFS(mdr_rate_cleaned!$A$2:$A$10,B2994,mdr_rate_cleaned!$B$2:$B$10,"&lt;"&amp;C2994,mdr_rate_cleaned!$F$2:$F$10,"&gt;="&amp;C2994)</f>
        <v>1</v>
      </c>
      <c r="G2994">
        <v>1.9E-2</v>
      </c>
      <c r="H2994">
        <v>9.48</v>
      </c>
      <c r="I2994" t="s">
        <v>15</v>
      </c>
      <c r="J2994" t="s">
        <v>15</v>
      </c>
      <c r="K2994">
        <v>1.71</v>
      </c>
      <c r="L2994">
        <v>0</v>
      </c>
    </row>
    <row r="2995" spans="1:12" x14ac:dyDescent="0.3">
      <c r="A2995" t="s">
        <v>3011</v>
      </c>
      <c r="B2995" t="s">
        <v>21</v>
      </c>
      <c r="C2995">
        <v>698</v>
      </c>
      <c r="D2995">
        <v>0</v>
      </c>
      <c r="E2995">
        <v>0</v>
      </c>
      <c r="F2995">
        <f>COUNTIFS(mdr_rate_cleaned!$A$2:$A$10,B2995,mdr_rate_cleaned!$B$2:$B$10,"&lt;"&amp;C2995,mdr_rate_cleaned!$F$2:$F$10,"&gt;="&amp;C2995)</f>
        <v>1</v>
      </c>
      <c r="G2995">
        <v>0</v>
      </c>
      <c r="H2995">
        <v>0</v>
      </c>
      <c r="I2995" t="s">
        <v>15</v>
      </c>
      <c r="J2995" t="s">
        <v>15</v>
      </c>
      <c r="K2995">
        <v>0</v>
      </c>
      <c r="L2995">
        <v>0</v>
      </c>
    </row>
    <row r="2996" spans="1:12" x14ac:dyDescent="0.3">
      <c r="A2996" t="s">
        <v>3012</v>
      </c>
      <c r="B2996" t="s">
        <v>39</v>
      </c>
      <c r="C2996">
        <v>7999</v>
      </c>
      <c r="D2996">
        <v>95.99</v>
      </c>
      <c r="E2996">
        <v>17.28</v>
      </c>
      <c r="F2996">
        <f>COUNTIFS(mdr_rate_cleaned!$A$2:$A$10,B2996,mdr_rate_cleaned!$B$2:$B$10,"&lt;"&amp;C2996,mdr_rate_cleaned!$F$2:$F$10,"&gt;="&amp;C2996)</f>
        <v>1</v>
      </c>
      <c r="G2996">
        <v>1.2E-2</v>
      </c>
      <c r="H2996">
        <v>95.99</v>
      </c>
      <c r="I2996" t="s">
        <v>15</v>
      </c>
      <c r="J2996" t="s">
        <v>15</v>
      </c>
      <c r="K2996">
        <v>17.28</v>
      </c>
      <c r="L2996">
        <v>0</v>
      </c>
    </row>
    <row r="2997" spans="1:12" x14ac:dyDescent="0.3">
      <c r="A2997" t="s">
        <v>3013</v>
      </c>
      <c r="B2997" t="s">
        <v>39</v>
      </c>
      <c r="C2997">
        <v>4798</v>
      </c>
      <c r="D2997">
        <v>57.58</v>
      </c>
      <c r="E2997">
        <v>10.36</v>
      </c>
      <c r="F2997">
        <f>COUNTIFS(mdr_rate_cleaned!$A$2:$A$10,B2997,mdr_rate_cleaned!$B$2:$B$10,"&lt;"&amp;C2997,mdr_rate_cleaned!$F$2:$F$10,"&gt;="&amp;C2997)</f>
        <v>1</v>
      </c>
      <c r="G2997">
        <v>1.2E-2</v>
      </c>
      <c r="H2997">
        <v>57.58</v>
      </c>
      <c r="I2997" t="s">
        <v>15</v>
      </c>
      <c r="J2997" t="s">
        <v>15</v>
      </c>
      <c r="K2997">
        <v>10.36</v>
      </c>
      <c r="L2997">
        <v>0</v>
      </c>
    </row>
    <row r="2998" spans="1:12" x14ac:dyDescent="0.3">
      <c r="A2998" t="s">
        <v>3014</v>
      </c>
      <c r="B2998" t="s">
        <v>17</v>
      </c>
      <c r="C2998">
        <v>4497</v>
      </c>
      <c r="D2998">
        <v>71.95</v>
      </c>
      <c r="E2998">
        <v>12.95</v>
      </c>
      <c r="F2998">
        <f>COUNTIFS(mdr_rate_cleaned!$A$2:$A$10,B2998,mdr_rate_cleaned!$B$2:$B$10,"&lt;"&amp;C2998,mdr_rate_cleaned!$F$2:$F$10,"&gt;="&amp;C2998)</f>
        <v>1</v>
      </c>
      <c r="G2998">
        <v>1.6E-2</v>
      </c>
      <c r="H2998">
        <v>71.95</v>
      </c>
      <c r="I2998" t="s">
        <v>15</v>
      </c>
      <c r="J2998" t="s">
        <v>15</v>
      </c>
      <c r="K2998">
        <v>12.95</v>
      </c>
      <c r="L2998">
        <v>0</v>
      </c>
    </row>
    <row r="2999" spans="1:12" x14ac:dyDescent="0.3">
      <c r="A2999" t="s">
        <v>3015</v>
      </c>
      <c r="B2999" t="s">
        <v>21</v>
      </c>
      <c r="C2999">
        <v>1498</v>
      </c>
      <c r="D2999">
        <v>0</v>
      </c>
      <c r="E2999">
        <v>0</v>
      </c>
      <c r="F2999">
        <f>COUNTIFS(mdr_rate_cleaned!$A$2:$A$10,B2999,mdr_rate_cleaned!$B$2:$B$10,"&lt;"&amp;C2999,mdr_rate_cleaned!$F$2:$F$10,"&gt;="&amp;C2999)</f>
        <v>1</v>
      </c>
      <c r="G2999">
        <v>0</v>
      </c>
      <c r="H2999">
        <v>0</v>
      </c>
      <c r="I2999" t="s">
        <v>15</v>
      </c>
      <c r="J2999" t="s">
        <v>15</v>
      </c>
      <c r="K2999">
        <v>0</v>
      </c>
      <c r="L2999">
        <v>0</v>
      </c>
    </row>
    <row r="3000" spans="1:12" x14ac:dyDescent="0.3">
      <c r="A3000" t="s">
        <v>3016</v>
      </c>
      <c r="B3000" t="s">
        <v>21</v>
      </c>
      <c r="C3000">
        <v>1798</v>
      </c>
      <c r="D3000">
        <v>0</v>
      </c>
      <c r="E3000">
        <v>0</v>
      </c>
      <c r="F3000">
        <f>COUNTIFS(mdr_rate_cleaned!$A$2:$A$10,B3000,mdr_rate_cleaned!$B$2:$B$10,"&lt;"&amp;C3000,mdr_rate_cleaned!$F$2:$F$10,"&gt;="&amp;C3000)</f>
        <v>1</v>
      </c>
      <c r="G3000">
        <v>0</v>
      </c>
      <c r="H3000">
        <v>0</v>
      </c>
      <c r="I3000" t="s">
        <v>15</v>
      </c>
      <c r="J3000" t="s">
        <v>15</v>
      </c>
      <c r="K3000">
        <v>0</v>
      </c>
      <c r="L3000">
        <v>0</v>
      </c>
    </row>
    <row r="3001" spans="1:12" x14ac:dyDescent="0.3">
      <c r="A3001" t="s">
        <v>3017</v>
      </c>
      <c r="B3001" t="s">
        <v>17</v>
      </c>
      <c r="C3001">
        <v>4997</v>
      </c>
      <c r="D3001">
        <v>79.95</v>
      </c>
      <c r="E3001">
        <v>14.39</v>
      </c>
      <c r="F3001">
        <f>COUNTIFS(mdr_rate_cleaned!$A$2:$A$10,B3001,mdr_rate_cleaned!$B$2:$B$10,"&lt;"&amp;C3001,mdr_rate_cleaned!$F$2:$F$10,"&gt;="&amp;C3001)</f>
        <v>1</v>
      </c>
      <c r="G3001">
        <v>1.6E-2</v>
      </c>
      <c r="H3001">
        <v>79.95</v>
      </c>
      <c r="I3001" t="s">
        <v>15</v>
      </c>
      <c r="J3001" t="s">
        <v>15</v>
      </c>
      <c r="K3001">
        <v>14.39</v>
      </c>
      <c r="L3001">
        <v>0</v>
      </c>
    </row>
    <row r="3002" spans="1:12" x14ac:dyDescent="0.3">
      <c r="A3002" t="s">
        <v>3018</v>
      </c>
      <c r="B3002" t="s">
        <v>39</v>
      </c>
      <c r="C3002">
        <v>1499</v>
      </c>
      <c r="D3002">
        <v>22.49</v>
      </c>
      <c r="E3002">
        <v>4.05</v>
      </c>
      <c r="F3002">
        <f>COUNTIFS(mdr_rate_cleaned!$A$2:$A$10,B3002,mdr_rate_cleaned!$B$2:$B$10,"&lt;"&amp;C3002,mdr_rate_cleaned!$F$2:$F$10,"&gt;="&amp;C3002)</f>
        <v>1</v>
      </c>
      <c r="G3002">
        <v>1.4999999999999999E-2</v>
      </c>
      <c r="H3002">
        <v>22.49</v>
      </c>
      <c r="I3002" t="s">
        <v>15</v>
      </c>
      <c r="J3002" t="s">
        <v>15</v>
      </c>
      <c r="K3002">
        <v>4.05</v>
      </c>
      <c r="L3002">
        <v>0</v>
      </c>
    </row>
    <row r="3003" spans="1:12" x14ac:dyDescent="0.3">
      <c r="A3003" t="s">
        <v>3019</v>
      </c>
      <c r="B3003" t="s">
        <v>21</v>
      </c>
      <c r="C3003">
        <v>4297</v>
      </c>
      <c r="D3003">
        <v>12.89</v>
      </c>
      <c r="E3003">
        <v>2.3199999999999998</v>
      </c>
      <c r="F3003">
        <f>COUNTIFS(mdr_rate_cleaned!$A$2:$A$10,B3003,mdr_rate_cleaned!$B$2:$B$10,"&lt;"&amp;C3003,mdr_rate_cleaned!$F$2:$F$10,"&gt;="&amp;C3003)</f>
        <v>1</v>
      </c>
      <c r="G3003">
        <v>3.0000000000000001E-3</v>
      </c>
      <c r="H3003">
        <v>12.89</v>
      </c>
      <c r="I3003" t="s">
        <v>15</v>
      </c>
      <c r="J3003" t="s">
        <v>15</v>
      </c>
      <c r="K3003">
        <v>2.3199999999999998</v>
      </c>
      <c r="L3003">
        <v>0</v>
      </c>
    </row>
    <row r="3004" spans="1:12" x14ac:dyDescent="0.3">
      <c r="A3004" t="s">
        <v>3020</v>
      </c>
      <c r="B3004" t="s">
        <v>21</v>
      </c>
      <c r="C3004">
        <v>349</v>
      </c>
      <c r="D3004">
        <v>0</v>
      </c>
      <c r="E3004">
        <v>0</v>
      </c>
      <c r="F3004">
        <f>COUNTIFS(mdr_rate_cleaned!$A$2:$A$10,B3004,mdr_rate_cleaned!$B$2:$B$10,"&lt;"&amp;C3004,mdr_rate_cleaned!$F$2:$F$10,"&gt;="&amp;C3004)</f>
        <v>1</v>
      </c>
      <c r="G3004">
        <v>0</v>
      </c>
      <c r="H3004">
        <v>0</v>
      </c>
      <c r="I3004" t="s">
        <v>15</v>
      </c>
      <c r="J3004" t="s">
        <v>15</v>
      </c>
      <c r="K3004">
        <v>0</v>
      </c>
      <c r="L3004">
        <v>0</v>
      </c>
    </row>
    <row r="3005" spans="1:12" x14ac:dyDescent="0.3">
      <c r="A3005" t="s">
        <v>3021</v>
      </c>
      <c r="B3005" t="s">
        <v>13</v>
      </c>
      <c r="C3005">
        <v>3947</v>
      </c>
      <c r="D3005">
        <v>67.099999999999994</v>
      </c>
      <c r="E3005">
        <v>12.08</v>
      </c>
      <c r="F3005">
        <f>COUNTIFS(mdr_rate_cleaned!$A$2:$A$10,B3005,mdr_rate_cleaned!$B$2:$B$10,"&lt;"&amp;C3005,mdr_rate_cleaned!$F$2:$F$10,"&gt;="&amp;C3005)</f>
        <v>1</v>
      </c>
      <c r="G3005">
        <v>1.7000000000000001E-2</v>
      </c>
      <c r="H3005">
        <v>67.099999999999994</v>
      </c>
      <c r="I3005" t="s">
        <v>15</v>
      </c>
      <c r="J3005" t="s">
        <v>15</v>
      </c>
      <c r="K3005">
        <v>12.08</v>
      </c>
      <c r="L3005">
        <v>0</v>
      </c>
    </row>
    <row r="3006" spans="1:12" x14ac:dyDescent="0.3">
      <c r="A3006" t="s">
        <v>3022</v>
      </c>
      <c r="B3006" t="s">
        <v>21</v>
      </c>
      <c r="C3006">
        <v>4999</v>
      </c>
      <c r="D3006">
        <v>15</v>
      </c>
      <c r="E3006">
        <v>2.7</v>
      </c>
      <c r="F3006">
        <f>COUNTIFS(mdr_rate_cleaned!$A$2:$A$10,B3006,mdr_rate_cleaned!$B$2:$B$10,"&lt;"&amp;C3006,mdr_rate_cleaned!$F$2:$F$10,"&gt;="&amp;C3006)</f>
        <v>1</v>
      </c>
      <c r="G3006">
        <v>3.0000000000000001E-3</v>
      </c>
      <c r="H3006">
        <v>15</v>
      </c>
      <c r="I3006" t="s">
        <v>15</v>
      </c>
      <c r="J3006" t="s">
        <v>15</v>
      </c>
      <c r="K3006">
        <v>2.7</v>
      </c>
      <c r="L3006">
        <v>0</v>
      </c>
    </row>
    <row r="3007" spans="1:12" x14ac:dyDescent="0.3">
      <c r="A3007" t="s">
        <v>3023</v>
      </c>
      <c r="B3007" t="s">
        <v>21</v>
      </c>
      <c r="C3007">
        <v>3348</v>
      </c>
      <c r="D3007">
        <v>10.039999999999999</v>
      </c>
      <c r="E3007">
        <v>1.81</v>
      </c>
      <c r="F3007">
        <f>COUNTIFS(mdr_rate_cleaned!$A$2:$A$10,B3007,mdr_rate_cleaned!$B$2:$B$10,"&lt;"&amp;C3007,mdr_rate_cleaned!$F$2:$F$10,"&gt;="&amp;C3007)</f>
        <v>1</v>
      </c>
      <c r="G3007">
        <v>3.0000000000000001E-3</v>
      </c>
      <c r="H3007">
        <v>10.039999999999999</v>
      </c>
      <c r="I3007" t="s">
        <v>15</v>
      </c>
      <c r="J3007" t="s">
        <v>15</v>
      </c>
      <c r="K3007">
        <v>1.81</v>
      </c>
      <c r="L3007">
        <v>0</v>
      </c>
    </row>
    <row r="3008" spans="1:12" x14ac:dyDescent="0.3">
      <c r="A3008" t="s">
        <v>3024</v>
      </c>
      <c r="B3008" t="s">
        <v>13</v>
      </c>
      <c r="C3008">
        <v>7497</v>
      </c>
      <c r="D3008">
        <v>179.93</v>
      </c>
      <c r="E3008">
        <v>32.39</v>
      </c>
      <c r="F3008">
        <f>COUNTIFS(mdr_rate_cleaned!$A$2:$A$10,B3008,mdr_rate_cleaned!$B$2:$B$10,"&lt;"&amp;C3008,mdr_rate_cleaned!$F$2:$F$10,"&gt;="&amp;C3008)</f>
        <v>1</v>
      </c>
      <c r="G3008">
        <v>1.7000000000000001E-2</v>
      </c>
      <c r="H3008">
        <v>127.45</v>
      </c>
      <c r="I3008" t="s">
        <v>14</v>
      </c>
      <c r="J3008" t="s">
        <v>15</v>
      </c>
      <c r="K3008">
        <v>22.94</v>
      </c>
      <c r="L3008">
        <v>61.93</v>
      </c>
    </row>
    <row r="3009" spans="1:12" x14ac:dyDescent="0.3">
      <c r="A3009" t="s">
        <v>3025</v>
      </c>
      <c r="B3009" t="s">
        <v>17</v>
      </c>
      <c r="C3009">
        <v>599</v>
      </c>
      <c r="D3009">
        <v>10.78</v>
      </c>
      <c r="E3009">
        <v>1.94</v>
      </c>
      <c r="F3009">
        <f>COUNTIFS(mdr_rate_cleaned!$A$2:$A$10,B3009,mdr_rate_cleaned!$B$2:$B$10,"&lt;"&amp;C3009,mdr_rate_cleaned!$F$2:$F$10,"&gt;="&amp;C3009)</f>
        <v>1</v>
      </c>
      <c r="G3009">
        <v>1.7999999999999999E-2</v>
      </c>
      <c r="H3009">
        <v>10.78</v>
      </c>
      <c r="I3009" t="s">
        <v>15</v>
      </c>
      <c r="J3009" t="s">
        <v>15</v>
      </c>
      <c r="K3009">
        <v>1.94</v>
      </c>
      <c r="L3009">
        <v>0</v>
      </c>
    </row>
    <row r="3010" spans="1:12" x14ac:dyDescent="0.3">
      <c r="A3010" t="s">
        <v>3026</v>
      </c>
      <c r="B3010" t="s">
        <v>21</v>
      </c>
      <c r="C3010">
        <v>2499</v>
      </c>
      <c r="D3010">
        <v>7.5</v>
      </c>
      <c r="E3010">
        <v>1.35</v>
      </c>
      <c r="F3010">
        <f>COUNTIFS(mdr_rate_cleaned!$A$2:$A$10,B3010,mdr_rate_cleaned!$B$2:$B$10,"&lt;"&amp;C3010,mdr_rate_cleaned!$F$2:$F$10,"&gt;="&amp;C3010)</f>
        <v>1</v>
      </c>
      <c r="G3010">
        <v>3.0000000000000001E-3</v>
      </c>
      <c r="H3010">
        <v>7.5</v>
      </c>
      <c r="I3010" t="s">
        <v>15</v>
      </c>
      <c r="J3010" t="s">
        <v>15</v>
      </c>
      <c r="K3010">
        <v>1.35</v>
      </c>
      <c r="L3010">
        <v>0</v>
      </c>
    </row>
    <row r="3011" spans="1:12" x14ac:dyDescent="0.3">
      <c r="A3011" t="s">
        <v>3027</v>
      </c>
      <c r="B3011" t="s">
        <v>21</v>
      </c>
      <c r="C3011">
        <v>5897</v>
      </c>
      <c r="D3011">
        <v>17.690000000000001</v>
      </c>
      <c r="E3011">
        <v>3.18</v>
      </c>
      <c r="F3011">
        <f>COUNTIFS(mdr_rate_cleaned!$A$2:$A$10,B3011,mdr_rate_cleaned!$B$2:$B$10,"&lt;"&amp;C3011,mdr_rate_cleaned!$F$2:$F$10,"&gt;="&amp;C3011)</f>
        <v>1</v>
      </c>
      <c r="G3011">
        <v>3.0000000000000001E-3</v>
      </c>
      <c r="H3011">
        <v>17.690000000000001</v>
      </c>
      <c r="I3011" t="s">
        <v>15</v>
      </c>
      <c r="J3011" t="s">
        <v>15</v>
      </c>
      <c r="K3011">
        <v>3.18</v>
      </c>
      <c r="L3011">
        <v>0</v>
      </c>
    </row>
    <row r="3012" spans="1:12" x14ac:dyDescent="0.3">
      <c r="A3012" t="s">
        <v>3028</v>
      </c>
      <c r="B3012" t="s">
        <v>21</v>
      </c>
      <c r="C3012">
        <v>6097</v>
      </c>
      <c r="D3012">
        <v>18.29</v>
      </c>
      <c r="E3012">
        <v>3.29</v>
      </c>
      <c r="F3012">
        <f>COUNTIFS(mdr_rate_cleaned!$A$2:$A$10,B3012,mdr_rate_cleaned!$B$2:$B$10,"&lt;"&amp;C3012,mdr_rate_cleaned!$F$2:$F$10,"&gt;="&amp;C3012)</f>
        <v>1</v>
      </c>
      <c r="G3012">
        <v>3.0000000000000001E-3</v>
      </c>
      <c r="H3012">
        <v>18.29</v>
      </c>
      <c r="I3012" t="s">
        <v>15</v>
      </c>
      <c r="J3012" t="s">
        <v>15</v>
      </c>
      <c r="K3012">
        <v>3.29</v>
      </c>
      <c r="L3012">
        <v>0</v>
      </c>
    </row>
    <row r="3013" spans="1:12" x14ac:dyDescent="0.3">
      <c r="A3013" t="s">
        <v>3029</v>
      </c>
      <c r="B3013" t="s">
        <v>17</v>
      </c>
      <c r="C3013">
        <v>1798</v>
      </c>
      <c r="D3013">
        <v>32.36</v>
      </c>
      <c r="E3013">
        <v>5.82</v>
      </c>
      <c r="F3013">
        <f>COUNTIFS(mdr_rate_cleaned!$A$2:$A$10,B3013,mdr_rate_cleaned!$B$2:$B$10,"&lt;"&amp;C3013,mdr_rate_cleaned!$F$2:$F$10,"&gt;="&amp;C3013)</f>
        <v>1</v>
      </c>
      <c r="G3013">
        <v>1.7999999999999999E-2</v>
      </c>
      <c r="H3013">
        <v>32.36</v>
      </c>
      <c r="I3013" t="s">
        <v>15</v>
      </c>
      <c r="J3013" t="s">
        <v>15</v>
      </c>
      <c r="K3013">
        <v>5.82</v>
      </c>
      <c r="L3013">
        <v>0</v>
      </c>
    </row>
    <row r="3014" spans="1:12" x14ac:dyDescent="0.3">
      <c r="A3014" t="s">
        <v>3030</v>
      </c>
      <c r="B3014" t="s">
        <v>17</v>
      </c>
      <c r="C3014">
        <v>799</v>
      </c>
      <c r="D3014">
        <v>14.38</v>
      </c>
      <c r="E3014">
        <v>2.59</v>
      </c>
      <c r="F3014">
        <f>COUNTIFS(mdr_rate_cleaned!$A$2:$A$10,B3014,mdr_rate_cleaned!$B$2:$B$10,"&lt;"&amp;C3014,mdr_rate_cleaned!$F$2:$F$10,"&gt;="&amp;C3014)</f>
        <v>1</v>
      </c>
      <c r="G3014">
        <v>1.7999999999999999E-2</v>
      </c>
      <c r="H3014">
        <v>14.38</v>
      </c>
      <c r="I3014" t="s">
        <v>15</v>
      </c>
      <c r="J3014" t="s">
        <v>15</v>
      </c>
      <c r="K3014">
        <v>2.59</v>
      </c>
      <c r="L3014">
        <v>0</v>
      </c>
    </row>
    <row r="3015" spans="1:12" x14ac:dyDescent="0.3">
      <c r="A3015" t="s">
        <v>3031</v>
      </c>
      <c r="B3015" t="s">
        <v>21</v>
      </c>
      <c r="C3015">
        <v>3098</v>
      </c>
      <c r="D3015">
        <v>9.2899999999999991</v>
      </c>
      <c r="E3015">
        <v>1.67</v>
      </c>
      <c r="F3015">
        <f>COUNTIFS(mdr_rate_cleaned!$A$2:$A$10,B3015,mdr_rate_cleaned!$B$2:$B$10,"&lt;"&amp;C3015,mdr_rate_cleaned!$F$2:$F$10,"&gt;="&amp;C3015)</f>
        <v>1</v>
      </c>
      <c r="G3015">
        <v>3.0000000000000001E-3</v>
      </c>
      <c r="H3015">
        <v>9.2899999999999991</v>
      </c>
      <c r="I3015" t="s">
        <v>15</v>
      </c>
      <c r="J3015" t="s">
        <v>15</v>
      </c>
      <c r="K3015">
        <v>1.67</v>
      </c>
      <c r="L3015">
        <v>0</v>
      </c>
    </row>
    <row r="3016" spans="1:12" x14ac:dyDescent="0.3">
      <c r="A3016" t="s">
        <v>3032</v>
      </c>
      <c r="B3016" t="s">
        <v>21</v>
      </c>
      <c r="C3016">
        <v>6498</v>
      </c>
      <c r="D3016">
        <v>19.489999999999998</v>
      </c>
      <c r="E3016">
        <v>3.51</v>
      </c>
      <c r="F3016">
        <f>COUNTIFS(mdr_rate_cleaned!$A$2:$A$10,B3016,mdr_rate_cleaned!$B$2:$B$10,"&lt;"&amp;C3016,mdr_rate_cleaned!$F$2:$F$10,"&gt;="&amp;C3016)</f>
        <v>1</v>
      </c>
      <c r="G3016">
        <v>3.0000000000000001E-3</v>
      </c>
      <c r="H3016">
        <v>19.489999999999998</v>
      </c>
      <c r="I3016" t="s">
        <v>15</v>
      </c>
      <c r="J3016" t="s">
        <v>15</v>
      </c>
      <c r="K3016">
        <v>3.51</v>
      </c>
      <c r="L3016">
        <v>0</v>
      </c>
    </row>
    <row r="3017" spans="1:12" x14ac:dyDescent="0.3">
      <c r="A3017" t="s">
        <v>3033</v>
      </c>
      <c r="B3017" t="s">
        <v>21</v>
      </c>
      <c r="C3017">
        <v>9797</v>
      </c>
      <c r="D3017">
        <v>29.39</v>
      </c>
      <c r="E3017">
        <v>5.29</v>
      </c>
      <c r="F3017">
        <f>COUNTIFS(mdr_rate_cleaned!$A$2:$A$10,B3017,mdr_rate_cleaned!$B$2:$B$10,"&lt;"&amp;C3017,mdr_rate_cleaned!$F$2:$F$10,"&gt;="&amp;C3017)</f>
        <v>1</v>
      </c>
      <c r="G3017">
        <v>3.0000000000000001E-3</v>
      </c>
      <c r="H3017">
        <v>29.39</v>
      </c>
      <c r="I3017" t="s">
        <v>15</v>
      </c>
      <c r="J3017" t="s">
        <v>15</v>
      </c>
      <c r="K3017">
        <v>5.29</v>
      </c>
      <c r="L3017">
        <v>0</v>
      </c>
    </row>
    <row r="3018" spans="1:12" x14ac:dyDescent="0.3">
      <c r="A3018" t="s">
        <v>3034</v>
      </c>
      <c r="B3018" t="s">
        <v>17</v>
      </c>
      <c r="C3018">
        <v>2499</v>
      </c>
      <c r="D3018">
        <v>39.979999999999997</v>
      </c>
      <c r="E3018">
        <v>7.2</v>
      </c>
      <c r="F3018">
        <f>COUNTIFS(mdr_rate_cleaned!$A$2:$A$10,B3018,mdr_rate_cleaned!$B$2:$B$10,"&lt;"&amp;C3018,mdr_rate_cleaned!$F$2:$F$10,"&gt;="&amp;C3018)</f>
        <v>1</v>
      </c>
      <c r="G3018">
        <v>1.6E-2</v>
      </c>
      <c r="H3018">
        <v>39.979999999999997</v>
      </c>
      <c r="I3018" t="s">
        <v>15</v>
      </c>
      <c r="J3018" t="s">
        <v>15</v>
      </c>
      <c r="K3018">
        <v>7.2</v>
      </c>
      <c r="L3018">
        <v>0</v>
      </c>
    </row>
    <row r="3019" spans="1:12" x14ac:dyDescent="0.3">
      <c r="A3019" t="s">
        <v>3035</v>
      </c>
      <c r="B3019" t="s">
        <v>17</v>
      </c>
      <c r="C3019">
        <v>4997</v>
      </c>
      <c r="D3019">
        <v>79.95</v>
      </c>
      <c r="E3019">
        <v>14.39</v>
      </c>
      <c r="F3019">
        <f>COUNTIFS(mdr_rate_cleaned!$A$2:$A$10,B3019,mdr_rate_cleaned!$B$2:$B$10,"&lt;"&amp;C3019,mdr_rate_cleaned!$F$2:$F$10,"&gt;="&amp;C3019)</f>
        <v>1</v>
      </c>
      <c r="G3019">
        <v>1.6E-2</v>
      </c>
      <c r="H3019">
        <v>79.95</v>
      </c>
      <c r="I3019" t="s">
        <v>15</v>
      </c>
      <c r="J3019" t="s">
        <v>15</v>
      </c>
      <c r="K3019">
        <v>14.39</v>
      </c>
      <c r="L3019">
        <v>0</v>
      </c>
    </row>
    <row r="3020" spans="1:12" x14ac:dyDescent="0.3">
      <c r="A3020" t="s">
        <v>3036</v>
      </c>
      <c r="B3020" t="s">
        <v>21</v>
      </c>
      <c r="C3020">
        <v>11498</v>
      </c>
      <c r="D3020">
        <v>34.49</v>
      </c>
      <c r="E3020">
        <v>6.21</v>
      </c>
      <c r="F3020">
        <f>COUNTIFS(mdr_rate_cleaned!$A$2:$A$10,B3020,mdr_rate_cleaned!$B$2:$B$10,"&lt;"&amp;C3020,mdr_rate_cleaned!$F$2:$F$10,"&gt;="&amp;C3020)</f>
        <v>1</v>
      </c>
      <c r="G3020">
        <v>3.0000000000000001E-3</v>
      </c>
      <c r="H3020">
        <v>34.49</v>
      </c>
      <c r="I3020" t="s">
        <v>15</v>
      </c>
      <c r="J3020" t="s">
        <v>15</v>
      </c>
      <c r="K3020">
        <v>6.21</v>
      </c>
      <c r="L3020">
        <v>0</v>
      </c>
    </row>
    <row r="3021" spans="1:12" x14ac:dyDescent="0.3">
      <c r="A3021" t="s">
        <v>3037</v>
      </c>
      <c r="B3021" t="s">
        <v>17</v>
      </c>
      <c r="C3021">
        <v>12998</v>
      </c>
      <c r="D3021">
        <v>207.97</v>
      </c>
      <c r="E3021">
        <v>37.43</v>
      </c>
      <c r="F3021">
        <f>COUNTIFS(mdr_rate_cleaned!$A$2:$A$10,B3021,mdr_rate_cleaned!$B$2:$B$10,"&lt;"&amp;C3021,mdr_rate_cleaned!$F$2:$F$10,"&gt;="&amp;C3021)</f>
        <v>1</v>
      </c>
      <c r="G3021">
        <v>1.6E-2</v>
      </c>
      <c r="H3021">
        <v>207.97</v>
      </c>
      <c r="I3021" t="s">
        <v>15</v>
      </c>
      <c r="J3021" t="s">
        <v>15</v>
      </c>
      <c r="K3021">
        <v>37.43</v>
      </c>
      <c r="L3021">
        <v>0</v>
      </c>
    </row>
    <row r="3022" spans="1:12" x14ac:dyDescent="0.3">
      <c r="A3022" t="s">
        <v>3038</v>
      </c>
      <c r="B3022" t="s">
        <v>21</v>
      </c>
      <c r="C3022">
        <v>1299</v>
      </c>
      <c r="D3022">
        <v>0</v>
      </c>
      <c r="E3022">
        <v>0</v>
      </c>
      <c r="F3022">
        <f>COUNTIFS(mdr_rate_cleaned!$A$2:$A$10,B3022,mdr_rate_cleaned!$B$2:$B$10,"&lt;"&amp;C3022,mdr_rate_cleaned!$F$2:$F$10,"&gt;="&amp;C3022)</f>
        <v>1</v>
      </c>
      <c r="G3022">
        <v>0</v>
      </c>
      <c r="H3022">
        <v>0</v>
      </c>
      <c r="I3022" t="s">
        <v>15</v>
      </c>
      <c r="J3022" t="s">
        <v>15</v>
      </c>
      <c r="K3022">
        <v>0</v>
      </c>
      <c r="L3022">
        <v>0</v>
      </c>
    </row>
    <row r="3023" spans="1:12" x14ac:dyDescent="0.3">
      <c r="A3023" t="s">
        <v>3039</v>
      </c>
      <c r="B3023" t="s">
        <v>21</v>
      </c>
      <c r="C3023">
        <v>799</v>
      </c>
      <c r="D3023">
        <v>0</v>
      </c>
      <c r="E3023">
        <v>0</v>
      </c>
      <c r="F3023">
        <f>COUNTIFS(mdr_rate_cleaned!$A$2:$A$10,B3023,mdr_rate_cleaned!$B$2:$B$10,"&lt;"&amp;C3023,mdr_rate_cleaned!$F$2:$F$10,"&gt;="&amp;C3023)</f>
        <v>1</v>
      </c>
      <c r="G3023">
        <v>0</v>
      </c>
      <c r="H3023">
        <v>0</v>
      </c>
      <c r="I3023" t="s">
        <v>15</v>
      </c>
      <c r="J3023" t="s">
        <v>15</v>
      </c>
      <c r="K3023">
        <v>0</v>
      </c>
      <c r="L3023">
        <v>0</v>
      </c>
    </row>
    <row r="3024" spans="1:12" x14ac:dyDescent="0.3">
      <c r="A3024" t="s">
        <v>3040</v>
      </c>
      <c r="B3024" t="s">
        <v>21</v>
      </c>
      <c r="C3024">
        <v>299</v>
      </c>
      <c r="D3024">
        <v>0</v>
      </c>
      <c r="E3024">
        <v>0</v>
      </c>
      <c r="F3024">
        <f>COUNTIFS(mdr_rate_cleaned!$A$2:$A$10,B3024,mdr_rate_cleaned!$B$2:$B$10,"&lt;"&amp;C3024,mdr_rate_cleaned!$F$2:$F$10,"&gt;="&amp;C3024)</f>
        <v>1</v>
      </c>
      <c r="G3024">
        <v>0</v>
      </c>
      <c r="H3024">
        <v>0</v>
      </c>
      <c r="I3024" t="s">
        <v>15</v>
      </c>
      <c r="J3024" t="s">
        <v>15</v>
      </c>
      <c r="K3024">
        <v>0</v>
      </c>
      <c r="L3024">
        <v>0</v>
      </c>
    </row>
    <row r="3025" spans="1:12" x14ac:dyDescent="0.3">
      <c r="A3025" t="s">
        <v>3041</v>
      </c>
      <c r="B3025" t="s">
        <v>39</v>
      </c>
      <c r="C3025">
        <v>2999</v>
      </c>
      <c r="D3025">
        <v>35.99</v>
      </c>
      <c r="E3025">
        <v>6.48</v>
      </c>
      <c r="F3025">
        <f>COUNTIFS(mdr_rate_cleaned!$A$2:$A$10,B3025,mdr_rate_cleaned!$B$2:$B$10,"&lt;"&amp;C3025,mdr_rate_cleaned!$F$2:$F$10,"&gt;="&amp;C3025)</f>
        <v>1</v>
      </c>
      <c r="G3025">
        <v>1.2E-2</v>
      </c>
      <c r="H3025">
        <v>35.99</v>
      </c>
      <c r="I3025" t="s">
        <v>15</v>
      </c>
      <c r="J3025" t="s">
        <v>15</v>
      </c>
      <c r="K3025">
        <v>6.48</v>
      </c>
      <c r="L3025">
        <v>0</v>
      </c>
    </row>
    <row r="3026" spans="1:12" x14ac:dyDescent="0.3">
      <c r="A3026" t="s">
        <v>3042</v>
      </c>
      <c r="B3026" t="s">
        <v>21</v>
      </c>
      <c r="C3026">
        <v>999</v>
      </c>
      <c r="D3026">
        <v>0</v>
      </c>
      <c r="E3026">
        <v>0</v>
      </c>
      <c r="F3026">
        <f>COUNTIFS(mdr_rate_cleaned!$A$2:$A$10,B3026,mdr_rate_cleaned!$B$2:$B$10,"&lt;"&amp;C3026,mdr_rate_cleaned!$F$2:$F$10,"&gt;="&amp;C3026)</f>
        <v>1</v>
      </c>
      <c r="G3026">
        <v>0</v>
      </c>
      <c r="H3026">
        <v>0</v>
      </c>
      <c r="I3026" t="s">
        <v>15</v>
      </c>
      <c r="J3026" t="s">
        <v>15</v>
      </c>
      <c r="K3026">
        <v>0</v>
      </c>
      <c r="L3026">
        <v>0</v>
      </c>
    </row>
    <row r="3027" spans="1:12" x14ac:dyDescent="0.3">
      <c r="A3027" t="s">
        <v>3043</v>
      </c>
      <c r="B3027" t="s">
        <v>21</v>
      </c>
      <c r="C3027">
        <v>8797</v>
      </c>
      <c r="D3027">
        <v>26.39</v>
      </c>
      <c r="E3027">
        <v>4.75</v>
      </c>
      <c r="F3027">
        <f>COUNTIFS(mdr_rate_cleaned!$A$2:$A$10,B3027,mdr_rate_cleaned!$B$2:$B$10,"&lt;"&amp;C3027,mdr_rate_cleaned!$F$2:$F$10,"&gt;="&amp;C3027)</f>
        <v>1</v>
      </c>
      <c r="G3027">
        <v>3.0000000000000001E-3</v>
      </c>
      <c r="H3027">
        <v>26.39</v>
      </c>
      <c r="I3027" t="s">
        <v>15</v>
      </c>
      <c r="J3027" t="s">
        <v>15</v>
      </c>
      <c r="K3027">
        <v>4.75</v>
      </c>
      <c r="L3027">
        <v>0</v>
      </c>
    </row>
    <row r="3028" spans="1:12" x14ac:dyDescent="0.3">
      <c r="A3028" t="s">
        <v>3044</v>
      </c>
      <c r="B3028" t="s">
        <v>17</v>
      </c>
      <c r="C3028">
        <v>1799</v>
      </c>
      <c r="D3028">
        <v>32.380000000000003</v>
      </c>
      <c r="E3028">
        <v>5.83</v>
      </c>
      <c r="F3028">
        <f>COUNTIFS(mdr_rate_cleaned!$A$2:$A$10,B3028,mdr_rate_cleaned!$B$2:$B$10,"&lt;"&amp;C3028,mdr_rate_cleaned!$F$2:$F$10,"&gt;="&amp;C3028)</f>
        <v>1</v>
      </c>
      <c r="G3028">
        <v>1.7999999999999999E-2</v>
      </c>
      <c r="H3028">
        <v>32.380000000000003</v>
      </c>
      <c r="I3028" t="s">
        <v>15</v>
      </c>
      <c r="J3028" t="s">
        <v>15</v>
      </c>
      <c r="K3028">
        <v>5.83</v>
      </c>
      <c r="L3028">
        <v>0</v>
      </c>
    </row>
    <row r="3029" spans="1:12" x14ac:dyDescent="0.3">
      <c r="A3029" t="s">
        <v>3045</v>
      </c>
      <c r="B3029" t="s">
        <v>17</v>
      </c>
      <c r="C3029">
        <v>349</v>
      </c>
      <c r="D3029">
        <v>6.28</v>
      </c>
      <c r="E3029">
        <v>1.1299999999999999</v>
      </c>
      <c r="F3029">
        <f>COUNTIFS(mdr_rate_cleaned!$A$2:$A$10,B3029,mdr_rate_cleaned!$B$2:$B$10,"&lt;"&amp;C3029,mdr_rate_cleaned!$F$2:$F$10,"&gt;="&amp;C3029)</f>
        <v>1</v>
      </c>
      <c r="G3029">
        <v>1.7999999999999999E-2</v>
      </c>
      <c r="H3029">
        <v>6.28</v>
      </c>
      <c r="I3029" t="s">
        <v>15</v>
      </c>
      <c r="J3029" t="s">
        <v>15</v>
      </c>
      <c r="K3029">
        <v>1.1299999999999999</v>
      </c>
      <c r="L3029">
        <v>0</v>
      </c>
    </row>
    <row r="3030" spans="1:12" x14ac:dyDescent="0.3">
      <c r="A3030" t="s">
        <v>3046</v>
      </c>
      <c r="B3030" t="s">
        <v>21</v>
      </c>
      <c r="C3030">
        <v>1799</v>
      </c>
      <c r="D3030">
        <v>0</v>
      </c>
      <c r="E3030">
        <v>0</v>
      </c>
      <c r="F3030">
        <f>COUNTIFS(mdr_rate_cleaned!$A$2:$A$10,B3030,mdr_rate_cleaned!$B$2:$B$10,"&lt;"&amp;C3030,mdr_rate_cleaned!$F$2:$F$10,"&gt;="&amp;C3030)</f>
        <v>1</v>
      </c>
      <c r="G3030">
        <v>0</v>
      </c>
      <c r="H3030">
        <v>0</v>
      </c>
      <c r="I3030" t="s">
        <v>15</v>
      </c>
      <c r="J3030" t="s">
        <v>15</v>
      </c>
      <c r="K3030">
        <v>0</v>
      </c>
      <c r="L3030">
        <v>0</v>
      </c>
    </row>
    <row r="3031" spans="1:12" x14ac:dyDescent="0.3">
      <c r="A3031" t="s">
        <v>3047</v>
      </c>
      <c r="B3031" t="s">
        <v>21</v>
      </c>
      <c r="C3031">
        <v>1647</v>
      </c>
      <c r="D3031">
        <v>0</v>
      </c>
      <c r="E3031">
        <v>0</v>
      </c>
      <c r="F3031">
        <f>COUNTIFS(mdr_rate_cleaned!$A$2:$A$10,B3031,mdr_rate_cleaned!$B$2:$B$10,"&lt;"&amp;C3031,mdr_rate_cleaned!$F$2:$F$10,"&gt;="&amp;C3031)</f>
        <v>1</v>
      </c>
      <c r="G3031">
        <v>0</v>
      </c>
      <c r="H3031">
        <v>0</v>
      </c>
      <c r="I3031" t="s">
        <v>15</v>
      </c>
      <c r="J3031" t="s">
        <v>15</v>
      </c>
      <c r="K3031">
        <v>0</v>
      </c>
      <c r="L3031">
        <v>0</v>
      </c>
    </row>
    <row r="3032" spans="1:12" x14ac:dyDescent="0.3">
      <c r="A3032" t="s">
        <v>3048</v>
      </c>
      <c r="B3032" t="s">
        <v>17</v>
      </c>
      <c r="C3032">
        <v>999</v>
      </c>
      <c r="D3032">
        <v>17.98</v>
      </c>
      <c r="E3032">
        <v>3.24</v>
      </c>
      <c r="F3032">
        <f>COUNTIFS(mdr_rate_cleaned!$A$2:$A$10,B3032,mdr_rate_cleaned!$B$2:$B$10,"&lt;"&amp;C3032,mdr_rate_cleaned!$F$2:$F$10,"&gt;="&amp;C3032)</f>
        <v>1</v>
      </c>
      <c r="G3032">
        <v>1.7999999999999999E-2</v>
      </c>
      <c r="H3032">
        <v>17.98</v>
      </c>
      <c r="I3032" t="s">
        <v>15</v>
      </c>
      <c r="J3032" t="s">
        <v>15</v>
      </c>
      <c r="K3032">
        <v>3.24</v>
      </c>
      <c r="L3032">
        <v>0</v>
      </c>
    </row>
    <row r="3033" spans="1:12" x14ac:dyDescent="0.3">
      <c r="A3033" t="s">
        <v>3049</v>
      </c>
      <c r="B3033" t="s">
        <v>17</v>
      </c>
      <c r="C3033">
        <v>1499</v>
      </c>
      <c r="D3033">
        <v>26.98</v>
      </c>
      <c r="E3033">
        <v>4.8600000000000003</v>
      </c>
      <c r="F3033">
        <f>COUNTIFS(mdr_rate_cleaned!$A$2:$A$10,B3033,mdr_rate_cleaned!$B$2:$B$10,"&lt;"&amp;C3033,mdr_rate_cleaned!$F$2:$F$10,"&gt;="&amp;C3033)</f>
        <v>1</v>
      </c>
      <c r="G3033">
        <v>1.7999999999999999E-2</v>
      </c>
      <c r="H3033">
        <v>26.98</v>
      </c>
      <c r="I3033" t="s">
        <v>15</v>
      </c>
      <c r="J3033" t="s">
        <v>15</v>
      </c>
      <c r="K3033">
        <v>4.8600000000000003</v>
      </c>
      <c r="L3033">
        <v>0</v>
      </c>
    </row>
    <row r="3034" spans="1:12" x14ac:dyDescent="0.3">
      <c r="A3034" t="s">
        <v>3050</v>
      </c>
      <c r="B3034" t="s">
        <v>21</v>
      </c>
      <c r="C3034">
        <v>2098</v>
      </c>
      <c r="D3034">
        <v>6.29</v>
      </c>
      <c r="E3034">
        <v>1.1299999999999999</v>
      </c>
      <c r="F3034">
        <f>COUNTIFS(mdr_rate_cleaned!$A$2:$A$10,B3034,mdr_rate_cleaned!$B$2:$B$10,"&lt;"&amp;C3034,mdr_rate_cleaned!$F$2:$F$10,"&gt;="&amp;C3034)</f>
        <v>1</v>
      </c>
      <c r="G3034">
        <v>3.0000000000000001E-3</v>
      </c>
      <c r="H3034">
        <v>6.29</v>
      </c>
      <c r="I3034" t="s">
        <v>15</v>
      </c>
      <c r="J3034" t="s">
        <v>15</v>
      </c>
      <c r="K3034">
        <v>1.1299999999999999</v>
      </c>
      <c r="L3034">
        <v>0</v>
      </c>
    </row>
    <row r="3035" spans="1:12" x14ac:dyDescent="0.3">
      <c r="A3035" t="s">
        <v>3051</v>
      </c>
      <c r="B3035" t="s">
        <v>17</v>
      </c>
      <c r="C3035">
        <v>2499</v>
      </c>
      <c r="D3035">
        <v>39.979999999999997</v>
      </c>
      <c r="E3035">
        <v>7.2</v>
      </c>
      <c r="F3035">
        <f>COUNTIFS(mdr_rate_cleaned!$A$2:$A$10,B3035,mdr_rate_cleaned!$B$2:$B$10,"&lt;"&amp;C3035,mdr_rate_cleaned!$F$2:$F$10,"&gt;="&amp;C3035)</f>
        <v>1</v>
      </c>
      <c r="G3035">
        <v>1.6E-2</v>
      </c>
      <c r="H3035">
        <v>39.979999999999997</v>
      </c>
      <c r="I3035" t="s">
        <v>15</v>
      </c>
      <c r="J3035" t="s">
        <v>15</v>
      </c>
      <c r="K3035">
        <v>7.2</v>
      </c>
      <c r="L3035">
        <v>0</v>
      </c>
    </row>
    <row r="3036" spans="1:12" x14ac:dyDescent="0.3">
      <c r="A3036" t="s">
        <v>3052</v>
      </c>
      <c r="B3036" t="s">
        <v>21</v>
      </c>
      <c r="C3036">
        <v>9298</v>
      </c>
      <c r="D3036">
        <v>27.89</v>
      </c>
      <c r="E3036">
        <v>5.0199999999999996</v>
      </c>
      <c r="F3036">
        <f>COUNTIFS(mdr_rate_cleaned!$A$2:$A$10,B3036,mdr_rate_cleaned!$B$2:$B$10,"&lt;"&amp;C3036,mdr_rate_cleaned!$F$2:$F$10,"&gt;="&amp;C3036)</f>
        <v>1</v>
      </c>
      <c r="G3036">
        <v>3.0000000000000001E-3</v>
      </c>
      <c r="H3036">
        <v>27.89</v>
      </c>
      <c r="I3036" t="s">
        <v>15</v>
      </c>
      <c r="J3036" t="s">
        <v>15</v>
      </c>
      <c r="K3036">
        <v>5.0199999999999996</v>
      </c>
      <c r="L3036">
        <v>0</v>
      </c>
    </row>
    <row r="3037" spans="1:12" x14ac:dyDescent="0.3">
      <c r="A3037" t="s">
        <v>3053</v>
      </c>
      <c r="B3037" t="s">
        <v>21</v>
      </c>
      <c r="C3037">
        <v>1598</v>
      </c>
      <c r="D3037">
        <v>0</v>
      </c>
      <c r="E3037">
        <v>0</v>
      </c>
      <c r="F3037">
        <f>COUNTIFS(mdr_rate_cleaned!$A$2:$A$10,B3037,mdr_rate_cleaned!$B$2:$B$10,"&lt;"&amp;C3037,mdr_rate_cleaned!$F$2:$F$10,"&gt;="&amp;C3037)</f>
        <v>1</v>
      </c>
      <c r="G3037">
        <v>0</v>
      </c>
      <c r="H3037">
        <v>0</v>
      </c>
      <c r="I3037" t="s">
        <v>15</v>
      </c>
      <c r="J3037" t="s">
        <v>15</v>
      </c>
      <c r="K3037">
        <v>0</v>
      </c>
      <c r="L3037">
        <v>0</v>
      </c>
    </row>
    <row r="3038" spans="1:12" x14ac:dyDescent="0.3">
      <c r="A3038" t="s">
        <v>3054</v>
      </c>
      <c r="B3038" t="s">
        <v>39</v>
      </c>
      <c r="C3038">
        <v>799</v>
      </c>
      <c r="D3038">
        <v>11.99</v>
      </c>
      <c r="E3038">
        <v>2.16</v>
      </c>
      <c r="F3038">
        <f>COUNTIFS(mdr_rate_cleaned!$A$2:$A$10,B3038,mdr_rate_cleaned!$B$2:$B$10,"&lt;"&amp;C3038,mdr_rate_cleaned!$F$2:$F$10,"&gt;="&amp;C3038)</f>
        <v>1</v>
      </c>
      <c r="G3038">
        <v>1.4999999999999999E-2</v>
      </c>
      <c r="H3038">
        <v>11.99</v>
      </c>
      <c r="I3038" t="s">
        <v>15</v>
      </c>
      <c r="J3038" t="s">
        <v>15</v>
      </c>
      <c r="K3038">
        <v>2.16</v>
      </c>
      <c r="L3038">
        <v>0</v>
      </c>
    </row>
    <row r="3039" spans="1:12" x14ac:dyDescent="0.3">
      <c r="A3039" t="s">
        <v>3055</v>
      </c>
      <c r="B3039" t="s">
        <v>21</v>
      </c>
      <c r="C3039">
        <v>599</v>
      </c>
      <c r="D3039">
        <v>0</v>
      </c>
      <c r="E3039">
        <v>0</v>
      </c>
      <c r="F3039">
        <f>COUNTIFS(mdr_rate_cleaned!$A$2:$A$10,B3039,mdr_rate_cleaned!$B$2:$B$10,"&lt;"&amp;C3039,mdr_rate_cleaned!$F$2:$F$10,"&gt;="&amp;C3039)</f>
        <v>1</v>
      </c>
      <c r="G3039">
        <v>0</v>
      </c>
      <c r="H3039">
        <v>0</v>
      </c>
      <c r="I3039" t="s">
        <v>15</v>
      </c>
      <c r="J3039" t="s">
        <v>15</v>
      </c>
      <c r="K3039">
        <v>0</v>
      </c>
      <c r="L3039">
        <v>0</v>
      </c>
    </row>
    <row r="3040" spans="1:12" x14ac:dyDescent="0.3">
      <c r="A3040" t="s">
        <v>3056</v>
      </c>
      <c r="B3040" t="s">
        <v>17</v>
      </c>
      <c r="C3040">
        <v>4298</v>
      </c>
      <c r="D3040">
        <v>68.77</v>
      </c>
      <c r="E3040">
        <v>12.38</v>
      </c>
      <c r="F3040">
        <f>COUNTIFS(mdr_rate_cleaned!$A$2:$A$10,B3040,mdr_rate_cleaned!$B$2:$B$10,"&lt;"&amp;C3040,mdr_rate_cleaned!$F$2:$F$10,"&gt;="&amp;C3040)</f>
        <v>1</v>
      </c>
      <c r="G3040">
        <v>1.6E-2</v>
      </c>
      <c r="H3040">
        <v>68.77</v>
      </c>
      <c r="I3040" t="s">
        <v>15</v>
      </c>
      <c r="J3040" t="s">
        <v>15</v>
      </c>
      <c r="K3040">
        <v>12.38</v>
      </c>
      <c r="L3040">
        <v>0</v>
      </c>
    </row>
    <row r="3041" spans="1:12" x14ac:dyDescent="0.3">
      <c r="A3041" t="s">
        <v>3057</v>
      </c>
      <c r="B3041" t="s">
        <v>21</v>
      </c>
      <c r="C3041">
        <v>1499</v>
      </c>
      <c r="D3041">
        <v>0</v>
      </c>
      <c r="E3041">
        <v>0</v>
      </c>
      <c r="F3041">
        <f>COUNTIFS(mdr_rate_cleaned!$A$2:$A$10,B3041,mdr_rate_cleaned!$B$2:$B$10,"&lt;"&amp;C3041,mdr_rate_cleaned!$F$2:$F$10,"&gt;="&amp;C3041)</f>
        <v>1</v>
      </c>
      <c r="G3041">
        <v>0</v>
      </c>
      <c r="H3041">
        <v>0</v>
      </c>
      <c r="I3041" t="s">
        <v>15</v>
      </c>
      <c r="J3041" t="s">
        <v>15</v>
      </c>
      <c r="K3041">
        <v>0</v>
      </c>
      <c r="L3041">
        <v>0</v>
      </c>
    </row>
    <row r="3042" spans="1:12" x14ac:dyDescent="0.3">
      <c r="A3042" t="s">
        <v>3058</v>
      </c>
      <c r="B3042" t="s">
        <v>39</v>
      </c>
      <c r="C3042">
        <v>5498</v>
      </c>
      <c r="D3042">
        <v>65.98</v>
      </c>
      <c r="E3042">
        <v>11.88</v>
      </c>
      <c r="F3042">
        <f>COUNTIFS(mdr_rate_cleaned!$A$2:$A$10,B3042,mdr_rate_cleaned!$B$2:$B$10,"&lt;"&amp;C3042,mdr_rate_cleaned!$F$2:$F$10,"&gt;="&amp;C3042)</f>
        <v>1</v>
      </c>
      <c r="G3042">
        <v>1.2E-2</v>
      </c>
      <c r="H3042">
        <v>65.98</v>
      </c>
      <c r="I3042" t="s">
        <v>15</v>
      </c>
      <c r="J3042" t="s">
        <v>15</v>
      </c>
      <c r="K3042">
        <v>11.88</v>
      </c>
      <c r="L3042">
        <v>0</v>
      </c>
    </row>
    <row r="3043" spans="1:12" x14ac:dyDescent="0.3">
      <c r="A3043" t="s">
        <v>3059</v>
      </c>
      <c r="B3043" t="s">
        <v>21</v>
      </c>
      <c r="C3043">
        <v>8498</v>
      </c>
      <c r="D3043">
        <v>25.49</v>
      </c>
      <c r="E3043">
        <v>4.59</v>
      </c>
      <c r="F3043">
        <f>COUNTIFS(mdr_rate_cleaned!$A$2:$A$10,B3043,mdr_rate_cleaned!$B$2:$B$10,"&lt;"&amp;C3043,mdr_rate_cleaned!$F$2:$F$10,"&gt;="&amp;C3043)</f>
        <v>1</v>
      </c>
      <c r="G3043">
        <v>3.0000000000000001E-3</v>
      </c>
      <c r="H3043">
        <v>25.49</v>
      </c>
      <c r="I3043" t="s">
        <v>15</v>
      </c>
      <c r="J3043" t="s">
        <v>15</v>
      </c>
      <c r="K3043">
        <v>4.59</v>
      </c>
      <c r="L3043">
        <v>0</v>
      </c>
    </row>
    <row r="3044" spans="1:12" x14ac:dyDescent="0.3">
      <c r="A3044" t="s">
        <v>3060</v>
      </c>
      <c r="B3044" t="s">
        <v>17</v>
      </c>
      <c r="C3044">
        <v>4197</v>
      </c>
      <c r="D3044">
        <v>67.150000000000006</v>
      </c>
      <c r="E3044">
        <v>12.09</v>
      </c>
      <c r="F3044">
        <f>COUNTIFS(mdr_rate_cleaned!$A$2:$A$10,B3044,mdr_rate_cleaned!$B$2:$B$10,"&lt;"&amp;C3044,mdr_rate_cleaned!$F$2:$F$10,"&gt;="&amp;C3044)</f>
        <v>1</v>
      </c>
      <c r="G3044">
        <v>1.6E-2</v>
      </c>
      <c r="H3044">
        <v>67.150000000000006</v>
      </c>
      <c r="I3044" t="s">
        <v>15</v>
      </c>
      <c r="J3044" t="s">
        <v>15</v>
      </c>
      <c r="K3044">
        <v>12.09</v>
      </c>
      <c r="L3044">
        <v>0</v>
      </c>
    </row>
    <row r="3045" spans="1:12" x14ac:dyDescent="0.3">
      <c r="A3045" t="s">
        <v>3061</v>
      </c>
      <c r="B3045" t="s">
        <v>39</v>
      </c>
      <c r="C3045">
        <v>299</v>
      </c>
      <c r="D3045">
        <v>4.49</v>
      </c>
      <c r="E3045">
        <v>0.81</v>
      </c>
      <c r="F3045">
        <f>COUNTIFS(mdr_rate_cleaned!$A$2:$A$10,B3045,mdr_rate_cleaned!$B$2:$B$10,"&lt;"&amp;C3045,mdr_rate_cleaned!$F$2:$F$10,"&gt;="&amp;C3045)</f>
        <v>1</v>
      </c>
      <c r="G3045">
        <v>1.4999999999999999E-2</v>
      </c>
      <c r="H3045">
        <v>4.49</v>
      </c>
      <c r="I3045" t="s">
        <v>15</v>
      </c>
      <c r="J3045" t="s">
        <v>15</v>
      </c>
      <c r="K3045">
        <v>0.81</v>
      </c>
      <c r="L3045">
        <v>0</v>
      </c>
    </row>
    <row r="3046" spans="1:12" x14ac:dyDescent="0.3">
      <c r="A3046" t="s">
        <v>3062</v>
      </c>
      <c r="B3046" t="s">
        <v>21</v>
      </c>
      <c r="C3046">
        <v>3499</v>
      </c>
      <c r="D3046">
        <v>10.5</v>
      </c>
      <c r="E3046">
        <v>1.89</v>
      </c>
      <c r="F3046">
        <f>COUNTIFS(mdr_rate_cleaned!$A$2:$A$10,B3046,mdr_rate_cleaned!$B$2:$B$10,"&lt;"&amp;C3046,mdr_rate_cleaned!$F$2:$F$10,"&gt;="&amp;C3046)</f>
        <v>1</v>
      </c>
      <c r="G3046">
        <v>3.0000000000000001E-3</v>
      </c>
      <c r="H3046">
        <v>10.5</v>
      </c>
      <c r="I3046" t="s">
        <v>15</v>
      </c>
      <c r="J3046" t="s">
        <v>15</v>
      </c>
      <c r="K3046">
        <v>1.89</v>
      </c>
      <c r="L3046">
        <v>0</v>
      </c>
    </row>
    <row r="3047" spans="1:12" x14ac:dyDescent="0.3">
      <c r="A3047" t="s">
        <v>3063</v>
      </c>
      <c r="B3047" t="s">
        <v>17</v>
      </c>
      <c r="C3047">
        <v>9497</v>
      </c>
      <c r="D3047">
        <v>151.94999999999999</v>
      </c>
      <c r="E3047">
        <v>27.35</v>
      </c>
      <c r="F3047">
        <f>COUNTIFS(mdr_rate_cleaned!$A$2:$A$10,B3047,mdr_rate_cleaned!$B$2:$B$10,"&lt;"&amp;C3047,mdr_rate_cleaned!$F$2:$F$10,"&gt;="&amp;C3047)</f>
        <v>1</v>
      </c>
      <c r="G3047">
        <v>1.6E-2</v>
      </c>
      <c r="H3047">
        <v>151.94999999999999</v>
      </c>
      <c r="I3047" t="s">
        <v>15</v>
      </c>
      <c r="J3047" t="s">
        <v>15</v>
      </c>
      <c r="K3047">
        <v>27.35</v>
      </c>
      <c r="L3047">
        <v>0</v>
      </c>
    </row>
    <row r="3048" spans="1:12" x14ac:dyDescent="0.3">
      <c r="A3048" t="s">
        <v>3064</v>
      </c>
      <c r="B3048" t="s">
        <v>17</v>
      </c>
      <c r="C3048">
        <v>3947</v>
      </c>
      <c r="D3048">
        <v>63.15</v>
      </c>
      <c r="E3048">
        <v>11.37</v>
      </c>
      <c r="F3048">
        <f>COUNTIFS(mdr_rate_cleaned!$A$2:$A$10,B3048,mdr_rate_cleaned!$B$2:$B$10,"&lt;"&amp;C3048,mdr_rate_cleaned!$F$2:$F$10,"&gt;="&amp;C3048)</f>
        <v>1</v>
      </c>
      <c r="G3048">
        <v>1.6E-2</v>
      </c>
      <c r="H3048">
        <v>63.15</v>
      </c>
      <c r="I3048" t="s">
        <v>15</v>
      </c>
      <c r="J3048" t="s">
        <v>15</v>
      </c>
      <c r="K3048">
        <v>11.37</v>
      </c>
      <c r="L3048">
        <v>0</v>
      </c>
    </row>
    <row r="3049" spans="1:12" x14ac:dyDescent="0.3">
      <c r="A3049" t="s">
        <v>3065</v>
      </c>
      <c r="B3049" t="s">
        <v>13</v>
      </c>
      <c r="C3049">
        <v>1298</v>
      </c>
      <c r="D3049">
        <v>24.66</v>
      </c>
      <c r="E3049">
        <v>4.4400000000000004</v>
      </c>
      <c r="F3049">
        <f>COUNTIFS(mdr_rate_cleaned!$A$2:$A$10,B3049,mdr_rate_cleaned!$B$2:$B$10,"&lt;"&amp;C3049,mdr_rate_cleaned!$F$2:$F$10,"&gt;="&amp;C3049)</f>
        <v>1</v>
      </c>
      <c r="G3049">
        <v>1.9E-2</v>
      </c>
      <c r="H3049">
        <v>24.66</v>
      </c>
      <c r="I3049" t="s">
        <v>15</v>
      </c>
      <c r="J3049" t="s">
        <v>15</v>
      </c>
      <c r="K3049">
        <v>4.4400000000000004</v>
      </c>
      <c r="L3049">
        <v>0</v>
      </c>
    </row>
    <row r="3050" spans="1:12" x14ac:dyDescent="0.3">
      <c r="A3050" t="s">
        <v>3066</v>
      </c>
      <c r="B3050" t="s">
        <v>13</v>
      </c>
      <c r="C3050">
        <v>7999</v>
      </c>
      <c r="D3050">
        <v>135.97999999999999</v>
      </c>
      <c r="E3050">
        <v>24.48</v>
      </c>
      <c r="F3050">
        <f>COUNTIFS(mdr_rate_cleaned!$A$2:$A$10,B3050,mdr_rate_cleaned!$B$2:$B$10,"&lt;"&amp;C3050,mdr_rate_cleaned!$F$2:$F$10,"&gt;="&amp;C3050)</f>
        <v>1</v>
      </c>
      <c r="G3050">
        <v>1.7000000000000001E-2</v>
      </c>
      <c r="H3050">
        <v>135.97999999999999</v>
      </c>
      <c r="I3050" t="s">
        <v>15</v>
      </c>
      <c r="J3050" t="s">
        <v>15</v>
      </c>
      <c r="K3050">
        <v>24.48</v>
      </c>
      <c r="L3050">
        <v>0</v>
      </c>
    </row>
    <row r="3051" spans="1:12" x14ac:dyDescent="0.3">
      <c r="A3051" t="s">
        <v>3067</v>
      </c>
      <c r="B3051" t="s">
        <v>21</v>
      </c>
      <c r="C3051">
        <v>4998</v>
      </c>
      <c r="D3051">
        <v>14.99</v>
      </c>
      <c r="E3051">
        <v>2.7</v>
      </c>
      <c r="F3051">
        <f>COUNTIFS(mdr_rate_cleaned!$A$2:$A$10,B3051,mdr_rate_cleaned!$B$2:$B$10,"&lt;"&amp;C3051,mdr_rate_cleaned!$F$2:$F$10,"&gt;="&amp;C3051)</f>
        <v>1</v>
      </c>
      <c r="G3051">
        <v>3.0000000000000001E-3</v>
      </c>
      <c r="H3051">
        <v>14.99</v>
      </c>
      <c r="I3051" t="s">
        <v>15</v>
      </c>
      <c r="J3051" t="s">
        <v>15</v>
      </c>
      <c r="K3051">
        <v>2.7</v>
      </c>
      <c r="L3051">
        <v>0</v>
      </c>
    </row>
    <row r="3052" spans="1:12" x14ac:dyDescent="0.3">
      <c r="A3052" t="s">
        <v>3068</v>
      </c>
      <c r="B3052" t="s">
        <v>21</v>
      </c>
      <c r="C3052">
        <v>1299</v>
      </c>
      <c r="D3052">
        <v>0</v>
      </c>
      <c r="E3052">
        <v>0</v>
      </c>
      <c r="F3052">
        <f>COUNTIFS(mdr_rate_cleaned!$A$2:$A$10,B3052,mdr_rate_cleaned!$B$2:$B$10,"&lt;"&amp;C3052,mdr_rate_cleaned!$F$2:$F$10,"&gt;="&amp;C3052)</f>
        <v>1</v>
      </c>
      <c r="G3052">
        <v>0</v>
      </c>
      <c r="H3052">
        <v>0</v>
      </c>
      <c r="I3052" t="s">
        <v>15</v>
      </c>
      <c r="J3052" t="s">
        <v>15</v>
      </c>
      <c r="K3052">
        <v>0</v>
      </c>
      <c r="L3052">
        <v>0</v>
      </c>
    </row>
    <row r="3053" spans="1:12" x14ac:dyDescent="0.3">
      <c r="A3053" t="s">
        <v>3069</v>
      </c>
      <c r="B3053" t="s">
        <v>21</v>
      </c>
      <c r="C3053">
        <v>648</v>
      </c>
      <c r="D3053">
        <v>0</v>
      </c>
      <c r="E3053">
        <v>0</v>
      </c>
      <c r="F3053">
        <f>COUNTIFS(mdr_rate_cleaned!$A$2:$A$10,B3053,mdr_rate_cleaned!$B$2:$B$10,"&lt;"&amp;C3053,mdr_rate_cleaned!$F$2:$F$10,"&gt;="&amp;C3053)</f>
        <v>1</v>
      </c>
      <c r="G3053">
        <v>0</v>
      </c>
      <c r="H3053">
        <v>0</v>
      </c>
      <c r="I3053" t="s">
        <v>15</v>
      </c>
      <c r="J3053" t="s">
        <v>15</v>
      </c>
      <c r="K3053">
        <v>0</v>
      </c>
      <c r="L3053">
        <v>0</v>
      </c>
    </row>
    <row r="3054" spans="1:12" x14ac:dyDescent="0.3">
      <c r="A3054" t="s">
        <v>3070</v>
      </c>
      <c r="B3054" t="s">
        <v>21</v>
      </c>
      <c r="C3054">
        <v>299</v>
      </c>
      <c r="D3054">
        <v>0</v>
      </c>
      <c r="E3054">
        <v>0</v>
      </c>
      <c r="F3054">
        <f>COUNTIFS(mdr_rate_cleaned!$A$2:$A$10,B3054,mdr_rate_cleaned!$B$2:$B$10,"&lt;"&amp;C3054,mdr_rate_cleaned!$F$2:$F$10,"&gt;="&amp;C3054)</f>
        <v>1</v>
      </c>
      <c r="G3054">
        <v>0</v>
      </c>
      <c r="H3054">
        <v>0</v>
      </c>
      <c r="I3054" t="s">
        <v>15</v>
      </c>
      <c r="J3054" t="s">
        <v>15</v>
      </c>
      <c r="K3054">
        <v>0</v>
      </c>
      <c r="L3054">
        <v>0</v>
      </c>
    </row>
    <row r="3055" spans="1:12" x14ac:dyDescent="0.3">
      <c r="A3055" t="s">
        <v>3071</v>
      </c>
      <c r="B3055" t="s">
        <v>13</v>
      </c>
      <c r="C3055">
        <v>599</v>
      </c>
      <c r="D3055">
        <v>11.38</v>
      </c>
      <c r="E3055">
        <v>2.0499999999999998</v>
      </c>
      <c r="F3055">
        <f>COUNTIFS(mdr_rate_cleaned!$A$2:$A$10,B3055,mdr_rate_cleaned!$B$2:$B$10,"&lt;"&amp;C3055,mdr_rate_cleaned!$F$2:$F$10,"&gt;="&amp;C3055)</f>
        <v>1</v>
      </c>
      <c r="G3055">
        <v>1.9E-2</v>
      </c>
      <c r="H3055">
        <v>11.38</v>
      </c>
      <c r="I3055" t="s">
        <v>15</v>
      </c>
      <c r="J3055" t="s">
        <v>15</v>
      </c>
      <c r="K3055">
        <v>2.0499999999999998</v>
      </c>
      <c r="L3055">
        <v>0</v>
      </c>
    </row>
    <row r="3056" spans="1:12" x14ac:dyDescent="0.3">
      <c r="A3056" t="s">
        <v>3072</v>
      </c>
      <c r="B3056" t="s">
        <v>39</v>
      </c>
      <c r="C3056">
        <v>1798</v>
      </c>
      <c r="D3056">
        <v>26.97</v>
      </c>
      <c r="E3056">
        <v>4.8499999999999996</v>
      </c>
      <c r="F3056">
        <f>COUNTIFS(mdr_rate_cleaned!$A$2:$A$10,B3056,mdr_rate_cleaned!$B$2:$B$10,"&lt;"&amp;C3056,mdr_rate_cleaned!$F$2:$F$10,"&gt;="&amp;C3056)</f>
        <v>1</v>
      </c>
      <c r="G3056">
        <v>1.4999999999999999E-2</v>
      </c>
      <c r="H3056">
        <v>26.97</v>
      </c>
      <c r="I3056" t="s">
        <v>15</v>
      </c>
      <c r="J3056" t="s">
        <v>15</v>
      </c>
      <c r="K3056">
        <v>4.8499999999999996</v>
      </c>
      <c r="L3056">
        <v>0</v>
      </c>
    </row>
    <row r="3057" spans="1:12" x14ac:dyDescent="0.3">
      <c r="A3057" t="s">
        <v>3073</v>
      </c>
      <c r="B3057" t="s">
        <v>21</v>
      </c>
      <c r="C3057">
        <v>6297</v>
      </c>
      <c r="D3057">
        <v>18.89</v>
      </c>
      <c r="E3057">
        <v>3.4</v>
      </c>
      <c r="F3057">
        <f>COUNTIFS(mdr_rate_cleaned!$A$2:$A$10,B3057,mdr_rate_cleaned!$B$2:$B$10,"&lt;"&amp;C3057,mdr_rate_cleaned!$F$2:$F$10,"&gt;="&amp;C3057)</f>
        <v>1</v>
      </c>
      <c r="G3057">
        <v>3.0000000000000001E-3</v>
      </c>
      <c r="H3057">
        <v>18.89</v>
      </c>
      <c r="I3057" t="s">
        <v>15</v>
      </c>
      <c r="J3057" t="s">
        <v>15</v>
      </c>
      <c r="K3057">
        <v>3.4</v>
      </c>
      <c r="L3057">
        <v>0</v>
      </c>
    </row>
    <row r="3058" spans="1:12" x14ac:dyDescent="0.3">
      <c r="A3058" t="s">
        <v>3074</v>
      </c>
      <c r="B3058" t="s">
        <v>17</v>
      </c>
      <c r="C3058">
        <v>5798</v>
      </c>
      <c r="D3058">
        <v>92.77</v>
      </c>
      <c r="E3058">
        <v>16.7</v>
      </c>
      <c r="F3058">
        <f>COUNTIFS(mdr_rate_cleaned!$A$2:$A$10,B3058,mdr_rate_cleaned!$B$2:$B$10,"&lt;"&amp;C3058,mdr_rate_cleaned!$F$2:$F$10,"&gt;="&amp;C3058)</f>
        <v>1</v>
      </c>
      <c r="G3058">
        <v>1.6E-2</v>
      </c>
      <c r="H3058">
        <v>92.77</v>
      </c>
      <c r="I3058" t="s">
        <v>15</v>
      </c>
      <c r="J3058" t="s">
        <v>15</v>
      </c>
      <c r="K3058">
        <v>16.7</v>
      </c>
      <c r="L3058">
        <v>0</v>
      </c>
    </row>
    <row r="3059" spans="1:12" x14ac:dyDescent="0.3">
      <c r="A3059" t="s">
        <v>3075</v>
      </c>
      <c r="B3059" t="s">
        <v>13</v>
      </c>
      <c r="C3059">
        <v>10097</v>
      </c>
      <c r="D3059">
        <v>171.65</v>
      </c>
      <c r="E3059">
        <v>30.9</v>
      </c>
      <c r="F3059">
        <f>COUNTIFS(mdr_rate_cleaned!$A$2:$A$10,B3059,mdr_rate_cleaned!$B$2:$B$10,"&lt;"&amp;C3059,mdr_rate_cleaned!$F$2:$F$10,"&gt;="&amp;C3059)</f>
        <v>1</v>
      </c>
      <c r="G3059">
        <v>1.7000000000000001E-2</v>
      </c>
      <c r="H3059">
        <v>171.65</v>
      </c>
      <c r="I3059" t="s">
        <v>15</v>
      </c>
      <c r="J3059" t="s">
        <v>15</v>
      </c>
      <c r="K3059">
        <v>30.9</v>
      </c>
      <c r="L3059">
        <v>0</v>
      </c>
    </row>
    <row r="3060" spans="1:12" x14ac:dyDescent="0.3">
      <c r="A3060" t="s">
        <v>3076</v>
      </c>
      <c r="B3060" t="s">
        <v>21</v>
      </c>
      <c r="C3060">
        <v>2999</v>
      </c>
      <c r="D3060">
        <v>9</v>
      </c>
      <c r="E3060">
        <v>1.62</v>
      </c>
      <c r="F3060">
        <f>COUNTIFS(mdr_rate_cleaned!$A$2:$A$10,B3060,mdr_rate_cleaned!$B$2:$B$10,"&lt;"&amp;C3060,mdr_rate_cleaned!$F$2:$F$10,"&gt;="&amp;C3060)</f>
        <v>1</v>
      </c>
      <c r="G3060">
        <v>3.0000000000000001E-3</v>
      </c>
      <c r="H3060">
        <v>9</v>
      </c>
      <c r="I3060" t="s">
        <v>15</v>
      </c>
      <c r="J3060" t="s">
        <v>15</v>
      </c>
      <c r="K3060">
        <v>1.62</v>
      </c>
      <c r="L3060">
        <v>0</v>
      </c>
    </row>
    <row r="3061" spans="1:12" x14ac:dyDescent="0.3">
      <c r="A3061" t="s">
        <v>3077</v>
      </c>
      <c r="B3061" t="s">
        <v>21</v>
      </c>
      <c r="C3061">
        <v>7498</v>
      </c>
      <c r="D3061">
        <v>22.49</v>
      </c>
      <c r="E3061">
        <v>4.05</v>
      </c>
      <c r="F3061">
        <f>COUNTIFS(mdr_rate_cleaned!$A$2:$A$10,B3061,mdr_rate_cleaned!$B$2:$B$10,"&lt;"&amp;C3061,mdr_rate_cleaned!$F$2:$F$10,"&gt;="&amp;C3061)</f>
        <v>1</v>
      </c>
      <c r="G3061">
        <v>3.0000000000000001E-3</v>
      </c>
      <c r="H3061">
        <v>22.49</v>
      </c>
      <c r="I3061" t="s">
        <v>15</v>
      </c>
      <c r="J3061" t="s">
        <v>15</v>
      </c>
      <c r="K3061">
        <v>4.05</v>
      </c>
      <c r="L3061">
        <v>0</v>
      </c>
    </row>
    <row r="3062" spans="1:12" x14ac:dyDescent="0.3">
      <c r="A3062" t="s">
        <v>3078</v>
      </c>
      <c r="B3062" t="s">
        <v>21</v>
      </c>
      <c r="C3062">
        <v>2298</v>
      </c>
      <c r="D3062">
        <v>6.89</v>
      </c>
      <c r="E3062">
        <v>1.24</v>
      </c>
      <c r="F3062">
        <f>COUNTIFS(mdr_rate_cleaned!$A$2:$A$10,B3062,mdr_rate_cleaned!$B$2:$B$10,"&lt;"&amp;C3062,mdr_rate_cleaned!$F$2:$F$10,"&gt;="&amp;C3062)</f>
        <v>1</v>
      </c>
      <c r="G3062">
        <v>3.0000000000000001E-3</v>
      </c>
      <c r="H3062">
        <v>6.89</v>
      </c>
      <c r="I3062" t="s">
        <v>15</v>
      </c>
      <c r="J3062" t="s">
        <v>15</v>
      </c>
      <c r="K3062">
        <v>1.24</v>
      </c>
      <c r="L3062">
        <v>0</v>
      </c>
    </row>
    <row r="3063" spans="1:12" x14ac:dyDescent="0.3">
      <c r="A3063" t="s">
        <v>3079</v>
      </c>
      <c r="B3063" t="s">
        <v>21</v>
      </c>
      <c r="C3063">
        <v>3298</v>
      </c>
      <c r="D3063">
        <v>9.89</v>
      </c>
      <c r="E3063">
        <v>1.78</v>
      </c>
      <c r="F3063">
        <f>COUNTIFS(mdr_rate_cleaned!$A$2:$A$10,B3063,mdr_rate_cleaned!$B$2:$B$10,"&lt;"&amp;C3063,mdr_rate_cleaned!$F$2:$F$10,"&gt;="&amp;C3063)</f>
        <v>1</v>
      </c>
      <c r="G3063">
        <v>3.0000000000000001E-3</v>
      </c>
      <c r="H3063">
        <v>9.89</v>
      </c>
      <c r="I3063" t="s">
        <v>15</v>
      </c>
      <c r="J3063" t="s">
        <v>15</v>
      </c>
      <c r="K3063">
        <v>1.78</v>
      </c>
      <c r="L3063">
        <v>0</v>
      </c>
    </row>
    <row r="3064" spans="1:12" x14ac:dyDescent="0.3">
      <c r="A3064" t="s">
        <v>3080</v>
      </c>
      <c r="B3064" t="s">
        <v>21</v>
      </c>
      <c r="C3064">
        <v>12998</v>
      </c>
      <c r="D3064">
        <v>38.99</v>
      </c>
      <c r="E3064">
        <v>7.02</v>
      </c>
      <c r="F3064">
        <f>COUNTIFS(mdr_rate_cleaned!$A$2:$A$10,B3064,mdr_rate_cleaned!$B$2:$B$10,"&lt;"&amp;C3064,mdr_rate_cleaned!$F$2:$F$10,"&gt;="&amp;C3064)</f>
        <v>1</v>
      </c>
      <c r="G3064">
        <v>3.0000000000000001E-3</v>
      </c>
      <c r="H3064">
        <v>38.99</v>
      </c>
      <c r="I3064" t="s">
        <v>15</v>
      </c>
      <c r="J3064" t="s">
        <v>15</v>
      </c>
      <c r="K3064">
        <v>7.02</v>
      </c>
      <c r="L3064">
        <v>0</v>
      </c>
    </row>
    <row r="3065" spans="1:12" x14ac:dyDescent="0.3">
      <c r="A3065" t="s">
        <v>3081</v>
      </c>
      <c r="B3065" t="s">
        <v>21</v>
      </c>
      <c r="C3065">
        <v>1299</v>
      </c>
      <c r="D3065">
        <v>0</v>
      </c>
      <c r="E3065">
        <v>0</v>
      </c>
      <c r="F3065">
        <f>COUNTIFS(mdr_rate_cleaned!$A$2:$A$10,B3065,mdr_rate_cleaned!$B$2:$B$10,"&lt;"&amp;C3065,mdr_rate_cleaned!$F$2:$F$10,"&gt;="&amp;C3065)</f>
        <v>1</v>
      </c>
      <c r="G3065">
        <v>0</v>
      </c>
      <c r="H3065">
        <v>0</v>
      </c>
      <c r="I3065" t="s">
        <v>15</v>
      </c>
      <c r="J3065" t="s">
        <v>15</v>
      </c>
      <c r="K3065">
        <v>0</v>
      </c>
      <c r="L3065">
        <v>0</v>
      </c>
    </row>
    <row r="3066" spans="1:12" x14ac:dyDescent="0.3">
      <c r="A3066" t="s">
        <v>3082</v>
      </c>
      <c r="B3066" t="s">
        <v>17</v>
      </c>
      <c r="C3066">
        <v>10997</v>
      </c>
      <c r="D3066">
        <v>175.95</v>
      </c>
      <c r="E3066">
        <v>31.67</v>
      </c>
      <c r="F3066">
        <f>COUNTIFS(mdr_rate_cleaned!$A$2:$A$10,B3066,mdr_rate_cleaned!$B$2:$B$10,"&lt;"&amp;C3066,mdr_rate_cleaned!$F$2:$F$10,"&gt;="&amp;C3066)</f>
        <v>1</v>
      </c>
      <c r="G3066">
        <v>1.6E-2</v>
      </c>
      <c r="H3066">
        <v>175.95</v>
      </c>
      <c r="I3066" t="s">
        <v>15</v>
      </c>
      <c r="J3066" t="s">
        <v>15</v>
      </c>
      <c r="K3066">
        <v>31.67</v>
      </c>
      <c r="L3066">
        <v>0</v>
      </c>
    </row>
    <row r="3067" spans="1:12" x14ac:dyDescent="0.3">
      <c r="A3067" t="s">
        <v>3083</v>
      </c>
      <c r="B3067" t="s">
        <v>17</v>
      </c>
      <c r="C3067">
        <v>4097</v>
      </c>
      <c r="D3067">
        <v>65.55</v>
      </c>
      <c r="E3067">
        <v>11.8</v>
      </c>
      <c r="F3067">
        <f>COUNTIFS(mdr_rate_cleaned!$A$2:$A$10,B3067,mdr_rate_cleaned!$B$2:$B$10,"&lt;"&amp;C3067,mdr_rate_cleaned!$F$2:$F$10,"&gt;="&amp;C3067)</f>
        <v>1</v>
      </c>
      <c r="G3067">
        <v>1.6E-2</v>
      </c>
      <c r="H3067">
        <v>65.55</v>
      </c>
      <c r="I3067" t="s">
        <v>15</v>
      </c>
      <c r="J3067" t="s">
        <v>15</v>
      </c>
      <c r="K3067">
        <v>11.8</v>
      </c>
      <c r="L3067">
        <v>0</v>
      </c>
    </row>
    <row r="3068" spans="1:12" x14ac:dyDescent="0.3">
      <c r="A3068" t="s">
        <v>3084</v>
      </c>
      <c r="B3068" t="s">
        <v>21</v>
      </c>
      <c r="C3068">
        <v>2499</v>
      </c>
      <c r="D3068">
        <v>7.5</v>
      </c>
      <c r="E3068">
        <v>1.35</v>
      </c>
      <c r="F3068">
        <f>COUNTIFS(mdr_rate_cleaned!$A$2:$A$10,B3068,mdr_rate_cleaned!$B$2:$B$10,"&lt;"&amp;C3068,mdr_rate_cleaned!$F$2:$F$10,"&gt;="&amp;C3068)</f>
        <v>1</v>
      </c>
      <c r="G3068">
        <v>3.0000000000000001E-3</v>
      </c>
      <c r="H3068">
        <v>7.5</v>
      </c>
      <c r="I3068" t="s">
        <v>15</v>
      </c>
      <c r="J3068" t="s">
        <v>15</v>
      </c>
      <c r="K3068">
        <v>1.35</v>
      </c>
      <c r="L3068">
        <v>0</v>
      </c>
    </row>
    <row r="3069" spans="1:12" x14ac:dyDescent="0.3">
      <c r="A3069" t="s">
        <v>3085</v>
      </c>
      <c r="B3069" t="s">
        <v>21</v>
      </c>
      <c r="C3069">
        <v>4998</v>
      </c>
      <c r="D3069">
        <v>14.99</v>
      </c>
      <c r="E3069">
        <v>2.7</v>
      </c>
      <c r="F3069">
        <f>COUNTIFS(mdr_rate_cleaned!$A$2:$A$10,B3069,mdr_rate_cleaned!$B$2:$B$10,"&lt;"&amp;C3069,mdr_rate_cleaned!$F$2:$F$10,"&gt;="&amp;C3069)</f>
        <v>1</v>
      </c>
      <c r="G3069">
        <v>3.0000000000000001E-3</v>
      </c>
      <c r="H3069">
        <v>14.99</v>
      </c>
      <c r="I3069" t="s">
        <v>15</v>
      </c>
      <c r="J3069" t="s">
        <v>15</v>
      </c>
      <c r="K3069">
        <v>2.7</v>
      </c>
      <c r="L3069">
        <v>0</v>
      </c>
    </row>
    <row r="3070" spans="1:12" x14ac:dyDescent="0.3">
      <c r="A3070" t="s">
        <v>3086</v>
      </c>
      <c r="B3070" t="s">
        <v>17</v>
      </c>
      <c r="C3070">
        <v>999</v>
      </c>
      <c r="D3070">
        <v>17.98</v>
      </c>
      <c r="E3070">
        <v>3.24</v>
      </c>
      <c r="F3070">
        <f>COUNTIFS(mdr_rate_cleaned!$A$2:$A$10,B3070,mdr_rate_cleaned!$B$2:$B$10,"&lt;"&amp;C3070,mdr_rate_cleaned!$F$2:$F$10,"&gt;="&amp;C3070)</f>
        <v>1</v>
      </c>
      <c r="G3070">
        <v>1.7999999999999999E-2</v>
      </c>
      <c r="H3070">
        <v>17.98</v>
      </c>
      <c r="I3070" t="s">
        <v>15</v>
      </c>
      <c r="J3070" t="s">
        <v>15</v>
      </c>
      <c r="K3070">
        <v>3.24</v>
      </c>
      <c r="L3070">
        <v>0</v>
      </c>
    </row>
    <row r="3071" spans="1:12" x14ac:dyDescent="0.3">
      <c r="A3071" t="s">
        <v>3087</v>
      </c>
      <c r="B3071" t="s">
        <v>21</v>
      </c>
      <c r="C3071">
        <v>7999</v>
      </c>
      <c r="D3071">
        <v>24</v>
      </c>
      <c r="E3071">
        <v>4.32</v>
      </c>
      <c r="F3071">
        <f>COUNTIFS(mdr_rate_cleaned!$A$2:$A$10,B3071,mdr_rate_cleaned!$B$2:$B$10,"&lt;"&amp;C3071,mdr_rate_cleaned!$F$2:$F$10,"&gt;="&amp;C3071)</f>
        <v>1</v>
      </c>
      <c r="G3071">
        <v>3.0000000000000001E-3</v>
      </c>
      <c r="H3071">
        <v>24</v>
      </c>
      <c r="I3071" t="s">
        <v>15</v>
      </c>
      <c r="J3071" t="s">
        <v>15</v>
      </c>
      <c r="K3071">
        <v>4.32</v>
      </c>
      <c r="L3071">
        <v>0</v>
      </c>
    </row>
    <row r="3072" spans="1:12" x14ac:dyDescent="0.3">
      <c r="A3072" t="s">
        <v>3088</v>
      </c>
      <c r="B3072" t="s">
        <v>21</v>
      </c>
      <c r="C3072">
        <v>1798</v>
      </c>
      <c r="D3072">
        <v>0</v>
      </c>
      <c r="E3072">
        <v>0</v>
      </c>
      <c r="F3072">
        <f>COUNTIFS(mdr_rate_cleaned!$A$2:$A$10,B3072,mdr_rate_cleaned!$B$2:$B$10,"&lt;"&amp;C3072,mdr_rate_cleaned!$F$2:$F$10,"&gt;="&amp;C3072)</f>
        <v>1</v>
      </c>
      <c r="G3072">
        <v>0</v>
      </c>
      <c r="H3072">
        <v>0</v>
      </c>
      <c r="I3072" t="s">
        <v>15</v>
      </c>
      <c r="J3072" t="s">
        <v>15</v>
      </c>
      <c r="K3072">
        <v>0</v>
      </c>
      <c r="L3072">
        <v>0</v>
      </c>
    </row>
    <row r="3073" spans="1:12" x14ac:dyDescent="0.3">
      <c r="A3073" t="s">
        <v>3089</v>
      </c>
      <c r="B3073" t="s">
        <v>21</v>
      </c>
      <c r="C3073">
        <v>1299</v>
      </c>
      <c r="D3073">
        <v>0</v>
      </c>
      <c r="E3073">
        <v>0</v>
      </c>
      <c r="F3073">
        <f>COUNTIFS(mdr_rate_cleaned!$A$2:$A$10,B3073,mdr_rate_cleaned!$B$2:$B$10,"&lt;"&amp;C3073,mdr_rate_cleaned!$F$2:$F$10,"&gt;="&amp;C3073)</f>
        <v>1</v>
      </c>
      <c r="G3073">
        <v>0</v>
      </c>
      <c r="H3073">
        <v>0</v>
      </c>
      <c r="I3073" t="s">
        <v>15</v>
      </c>
      <c r="J3073" t="s">
        <v>15</v>
      </c>
      <c r="K3073">
        <v>0</v>
      </c>
      <c r="L3073">
        <v>0</v>
      </c>
    </row>
    <row r="3074" spans="1:12" x14ac:dyDescent="0.3">
      <c r="A3074" t="s">
        <v>3090</v>
      </c>
      <c r="B3074" t="s">
        <v>17</v>
      </c>
      <c r="C3074">
        <v>3098</v>
      </c>
      <c r="D3074">
        <v>49.57</v>
      </c>
      <c r="E3074">
        <v>8.92</v>
      </c>
      <c r="F3074">
        <f>COUNTIFS(mdr_rate_cleaned!$A$2:$A$10,B3074,mdr_rate_cleaned!$B$2:$B$10,"&lt;"&amp;C3074,mdr_rate_cleaned!$F$2:$F$10,"&gt;="&amp;C3074)</f>
        <v>1</v>
      </c>
      <c r="G3074">
        <v>1.6E-2</v>
      </c>
      <c r="H3074">
        <v>49.57</v>
      </c>
      <c r="I3074" t="s">
        <v>15</v>
      </c>
      <c r="J3074" t="s">
        <v>15</v>
      </c>
      <c r="K3074">
        <v>8.92</v>
      </c>
      <c r="L3074">
        <v>0</v>
      </c>
    </row>
    <row r="3075" spans="1:12" x14ac:dyDescent="0.3">
      <c r="A3075" t="s">
        <v>3091</v>
      </c>
      <c r="B3075" t="s">
        <v>21</v>
      </c>
      <c r="C3075">
        <v>2499</v>
      </c>
      <c r="D3075">
        <v>7.5</v>
      </c>
      <c r="E3075">
        <v>1.35</v>
      </c>
      <c r="F3075">
        <f>COUNTIFS(mdr_rate_cleaned!$A$2:$A$10,B3075,mdr_rate_cleaned!$B$2:$B$10,"&lt;"&amp;C3075,mdr_rate_cleaned!$F$2:$F$10,"&gt;="&amp;C3075)</f>
        <v>1</v>
      </c>
      <c r="G3075">
        <v>3.0000000000000001E-3</v>
      </c>
      <c r="H3075">
        <v>7.5</v>
      </c>
      <c r="I3075" t="s">
        <v>15</v>
      </c>
      <c r="J3075" t="s">
        <v>15</v>
      </c>
      <c r="K3075">
        <v>1.35</v>
      </c>
      <c r="L3075">
        <v>0</v>
      </c>
    </row>
    <row r="3076" spans="1:12" x14ac:dyDescent="0.3">
      <c r="A3076" t="s">
        <v>3092</v>
      </c>
      <c r="B3076" t="s">
        <v>21</v>
      </c>
      <c r="C3076">
        <v>1799</v>
      </c>
      <c r="D3076">
        <v>0</v>
      </c>
      <c r="E3076">
        <v>0</v>
      </c>
      <c r="F3076">
        <f>COUNTIFS(mdr_rate_cleaned!$A$2:$A$10,B3076,mdr_rate_cleaned!$B$2:$B$10,"&lt;"&amp;C3076,mdr_rate_cleaned!$F$2:$F$10,"&gt;="&amp;C3076)</f>
        <v>1</v>
      </c>
      <c r="G3076">
        <v>0</v>
      </c>
      <c r="H3076">
        <v>0</v>
      </c>
      <c r="I3076" t="s">
        <v>15</v>
      </c>
      <c r="J3076" t="s">
        <v>15</v>
      </c>
      <c r="K3076">
        <v>0</v>
      </c>
      <c r="L3076">
        <v>0</v>
      </c>
    </row>
    <row r="3077" spans="1:12" x14ac:dyDescent="0.3">
      <c r="A3077" t="s">
        <v>3093</v>
      </c>
      <c r="B3077" t="s">
        <v>21</v>
      </c>
      <c r="C3077">
        <v>999</v>
      </c>
      <c r="D3077">
        <v>0</v>
      </c>
      <c r="E3077">
        <v>0</v>
      </c>
      <c r="F3077">
        <f>COUNTIFS(mdr_rate_cleaned!$A$2:$A$10,B3077,mdr_rate_cleaned!$B$2:$B$10,"&lt;"&amp;C3077,mdr_rate_cleaned!$F$2:$F$10,"&gt;="&amp;C3077)</f>
        <v>1</v>
      </c>
      <c r="G3077">
        <v>0</v>
      </c>
      <c r="H3077">
        <v>0</v>
      </c>
      <c r="I3077" t="s">
        <v>15</v>
      </c>
      <c r="J3077" t="s">
        <v>15</v>
      </c>
      <c r="K3077">
        <v>0</v>
      </c>
      <c r="L3077">
        <v>0</v>
      </c>
    </row>
    <row r="3078" spans="1:12" x14ac:dyDescent="0.3">
      <c r="A3078" t="s">
        <v>3094</v>
      </c>
      <c r="B3078" t="s">
        <v>17</v>
      </c>
      <c r="C3078">
        <v>4999</v>
      </c>
      <c r="D3078">
        <v>79.98</v>
      </c>
      <c r="E3078">
        <v>14.4</v>
      </c>
      <c r="F3078">
        <f>COUNTIFS(mdr_rate_cleaned!$A$2:$A$10,B3078,mdr_rate_cleaned!$B$2:$B$10,"&lt;"&amp;C3078,mdr_rate_cleaned!$F$2:$F$10,"&gt;="&amp;C3078)</f>
        <v>1</v>
      </c>
      <c r="G3078">
        <v>1.6E-2</v>
      </c>
      <c r="H3078">
        <v>79.98</v>
      </c>
      <c r="I3078" t="s">
        <v>15</v>
      </c>
      <c r="J3078" t="s">
        <v>15</v>
      </c>
      <c r="K3078">
        <v>14.4</v>
      </c>
      <c r="L3078">
        <v>0</v>
      </c>
    </row>
    <row r="3079" spans="1:12" x14ac:dyDescent="0.3">
      <c r="A3079" t="s">
        <v>3095</v>
      </c>
      <c r="B3079" t="s">
        <v>17</v>
      </c>
      <c r="C3079">
        <v>2848</v>
      </c>
      <c r="D3079">
        <v>45.57</v>
      </c>
      <c r="E3079">
        <v>8.1999999999999993</v>
      </c>
      <c r="F3079">
        <f>COUNTIFS(mdr_rate_cleaned!$A$2:$A$10,B3079,mdr_rate_cleaned!$B$2:$B$10,"&lt;"&amp;C3079,mdr_rate_cleaned!$F$2:$F$10,"&gt;="&amp;C3079)</f>
        <v>1</v>
      </c>
      <c r="G3079">
        <v>1.6E-2</v>
      </c>
      <c r="H3079">
        <v>45.57</v>
      </c>
      <c r="I3079" t="s">
        <v>15</v>
      </c>
      <c r="J3079" t="s">
        <v>15</v>
      </c>
      <c r="K3079">
        <v>8.1999999999999993</v>
      </c>
      <c r="L3079">
        <v>0</v>
      </c>
    </row>
    <row r="3080" spans="1:12" x14ac:dyDescent="0.3">
      <c r="A3080" t="s">
        <v>3096</v>
      </c>
      <c r="B3080" t="s">
        <v>21</v>
      </c>
      <c r="C3080">
        <v>4999</v>
      </c>
      <c r="D3080">
        <v>15</v>
      </c>
      <c r="E3080">
        <v>2.7</v>
      </c>
      <c r="F3080">
        <f>COUNTIFS(mdr_rate_cleaned!$A$2:$A$10,B3080,mdr_rate_cleaned!$B$2:$B$10,"&lt;"&amp;C3080,mdr_rate_cleaned!$F$2:$F$10,"&gt;="&amp;C3080)</f>
        <v>1</v>
      </c>
      <c r="G3080">
        <v>3.0000000000000001E-3</v>
      </c>
      <c r="H3080">
        <v>15</v>
      </c>
      <c r="I3080" t="s">
        <v>15</v>
      </c>
      <c r="J3080" t="s">
        <v>15</v>
      </c>
      <c r="K3080">
        <v>2.7</v>
      </c>
      <c r="L3080">
        <v>0</v>
      </c>
    </row>
    <row r="3081" spans="1:12" x14ac:dyDescent="0.3">
      <c r="A3081" t="s">
        <v>3097</v>
      </c>
      <c r="B3081" t="s">
        <v>17</v>
      </c>
      <c r="C3081">
        <v>499</v>
      </c>
      <c r="D3081">
        <v>8.98</v>
      </c>
      <c r="E3081">
        <v>1.62</v>
      </c>
      <c r="F3081">
        <f>COUNTIFS(mdr_rate_cleaned!$A$2:$A$10,B3081,mdr_rate_cleaned!$B$2:$B$10,"&lt;"&amp;C3081,mdr_rate_cleaned!$F$2:$F$10,"&gt;="&amp;C3081)</f>
        <v>1</v>
      </c>
      <c r="G3081">
        <v>1.7999999999999999E-2</v>
      </c>
      <c r="H3081">
        <v>8.98</v>
      </c>
      <c r="I3081" t="s">
        <v>15</v>
      </c>
      <c r="J3081" t="s">
        <v>15</v>
      </c>
      <c r="K3081">
        <v>1.62</v>
      </c>
      <c r="L3081">
        <v>0</v>
      </c>
    </row>
    <row r="3082" spans="1:12" x14ac:dyDescent="0.3">
      <c r="A3082" t="s">
        <v>3098</v>
      </c>
      <c r="B3082" t="s">
        <v>21</v>
      </c>
      <c r="C3082">
        <v>4597</v>
      </c>
      <c r="D3082">
        <v>13.79</v>
      </c>
      <c r="E3082">
        <v>2.48</v>
      </c>
      <c r="F3082">
        <f>COUNTIFS(mdr_rate_cleaned!$A$2:$A$10,B3082,mdr_rate_cleaned!$B$2:$B$10,"&lt;"&amp;C3082,mdr_rate_cleaned!$F$2:$F$10,"&gt;="&amp;C3082)</f>
        <v>1</v>
      </c>
      <c r="G3082">
        <v>3.0000000000000001E-3</v>
      </c>
      <c r="H3082">
        <v>13.79</v>
      </c>
      <c r="I3082" t="s">
        <v>15</v>
      </c>
      <c r="J3082" t="s">
        <v>15</v>
      </c>
      <c r="K3082">
        <v>2.48</v>
      </c>
      <c r="L3082">
        <v>0</v>
      </c>
    </row>
    <row r="3083" spans="1:12" x14ac:dyDescent="0.3">
      <c r="A3083" t="s">
        <v>3099</v>
      </c>
      <c r="B3083" t="s">
        <v>21</v>
      </c>
      <c r="C3083">
        <v>5498</v>
      </c>
      <c r="D3083">
        <v>16.489999999999998</v>
      </c>
      <c r="E3083">
        <v>2.97</v>
      </c>
      <c r="F3083">
        <f>COUNTIFS(mdr_rate_cleaned!$A$2:$A$10,B3083,mdr_rate_cleaned!$B$2:$B$10,"&lt;"&amp;C3083,mdr_rate_cleaned!$F$2:$F$10,"&gt;="&amp;C3083)</f>
        <v>1</v>
      </c>
      <c r="G3083">
        <v>3.0000000000000001E-3</v>
      </c>
      <c r="H3083">
        <v>16.489999999999998</v>
      </c>
      <c r="I3083" t="s">
        <v>15</v>
      </c>
      <c r="J3083" t="s">
        <v>15</v>
      </c>
      <c r="K3083">
        <v>2.97</v>
      </c>
      <c r="L3083">
        <v>0</v>
      </c>
    </row>
    <row r="3084" spans="1:12" x14ac:dyDescent="0.3">
      <c r="A3084" t="s">
        <v>3100</v>
      </c>
      <c r="B3084" t="s">
        <v>17</v>
      </c>
      <c r="C3084">
        <v>10597</v>
      </c>
      <c r="D3084">
        <v>169.55</v>
      </c>
      <c r="E3084">
        <v>30.52</v>
      </c>
      <c r="F3084">
        <f>COUNTIFS(mdr_rate_cleaned!$A$2:$A$10,B3084,mdr_rate_cleaned!$B$2:$B$10,"&lt;"&amp;C3084,mdr_rate_cleaned!$F$2:$F$10,"&gt;="&amp;C3084)</f>
        <v>1</v>
      </c>
      <c r="G3084">
        <v>1.6E-2</v>
      </c>
      <c r="H3084">
        <v>169.55</v>
      </c>
      <c r="I3084" t="s">
        <v>15</v>
      </c>
      <c r="J3084" t="s">
        <v>15</v>
      </c>
      <c r="K3084">
        <v>30.52</v>
      </c>
      <c r="L3084">
        <v>0</v>
      </c>
    </row>
    <row r="3085" spans="1:12" x14ac:dyDescent="0.3">
      <c r="A3085" t="s">
        <v>3101</v>
      </c>
      <c r="B3085" t="s">
        <v>21</v>
      </c>
      <c r="C3085">
        <v>1397</v>
      </c>
      <c r="D3085">
        <v>0</v>
      </c>
      <c r="E3085">
        <v>0</v>
      </c>
      <c r="F3085">
        <f>COUNTIFS(mdr_rate_cleaned!$A$2:$A$10,B3085,mdr_rate_cleaned!$B$2:$B$10,"&lt;"&amp;C3085,mdr_rate_cleaned!$F$2:$F$10,"&gt;="&amp;C3085)</f>
        <v>1</v>
      </c>
      <c r="G3085">
        <v>0</v>
      </c>
      <c r="H3085">
        <v>0</v>
      </c>
      <c r="I3085" t="s">
        <v>15</v>
      </c>
      <c r="J3085" t="s">
        <v>15</v>
      </c>
      <c r="K3085">
        <v>0</v>
      </c>
      <c r="L3085">
        <v>0</v>
      </c>
    </row>
    <row r="3086" spans="1:12" x14ac:dyDescent="0.3">
      <c r="A3086" t="s">
        <v>3102</v>
      </c>
      <c r="B3086" t="s">
        <v>17</v>
      </c>
      <c r="C3086">
        <v>4999</v>
      </c>
      <c r="D3086">
        <v>79.98</v>
      </c>
      <c r="E3086">
        <v>14.4</v>
      </c>
      <c r="F3086">
        <f>COUNTIFS(mdr_rate_cleaned!$A$2:$A$10,B3086,mdr_rate_cleaned!$B$2:$B$10,"&lt;"&amp;C3086,mdr_rate_cleaned!$F$2:$F$10,"&gt;="&amp;C3086)</f>
        <v>1</v>
      </c>
      <c r="G3086">
        <v>1.6E-2</v>
      </c>
      <c r="H3086">
        <v>79.98</v>
      </c>
      <c r="I3086" t="s">
        <v>15</v>
      </c>
      <c r="J3086" t="s">
        <v>15</v>
      </c>
      <c r="K3086">
        <v>14.4</v>
      </c>
      <c r="L3086">
        <v>0</v>
      </c>
    </row>
    <row r="3087" spans="1:12" x14ac:dyDescent="0.3">
      <c r="A3087" t="s">
        <v>3103</v>
      </c>
      <c r="B3087" t="s">
        <v>21</v>
      </c>
      <c r="C3087">
        <v>499</v>
      </c>
      <c r="D3087">
        <v>0</v>
      </c>
      <c r="E3087">
        <v>0</v>
      </c>
      <c r="F3087">
        <f>COUNTIFS(mdr_rate_cleaned!$A$2:$A$10,B3087,mdr_rate_cleaned!$B$2:$B$10,"&lt;"&amp;C3087,mdr_rate_cleaned!$F$2:$F$10,"&gt;="&amp;C3087)</f>
        <v>1</v>
      </c>
      <c r="G3087">
        <v>0</v>
      </c>
      <c r="H3087">
        <v>0</v>
      </c>
      <c r="I3087" t="s">
        <v>15</v>
      </c>
      <c r="J3087" t="s">
        <v>15</v>
      </c>
      <c r="K3087">
        <v>0</v>
      </c>
      <c r="L3087">
        <v>0</v>
      </c>
    </row>
    <row r="3088" spans="1:12" x14ac:dyDescent="0.3">
      <c r="A3088" t="s">
        <v>3104</v>
      </c>
      <c r="B3088" t="s">
        <v>21</v>
      </c>
      <c r="C3088">
        <v>1299</v>
      </c>
      <c r="D3088">
        <v>0</v>
      </c>
      <c r="E3088">
        <v>0</v>
      </c>
      <c r="F3088">
        <f>COUNTIFS(mdr_rate_cleaned!$A$2:$A$10,B3088,mdr_rate_cleaned!$B$2:$B$10,"&lt;"&amp;C3088,mdr_rate_cleaned!$F$2:$F$10,"&gt;="&amp;C3088)</f>
        <v>1</v>
      </c>
      <c r="G3088">
        <v>0</v>
      </c>
      <c r="H3088">
        <v>0</v>
      </c>
      <c r="I3088" t="s">
        <v>15</v>
      </c>
      <c r="J3088" t="s">
        <v>15</v>
      </c>
      <c r="K3088">
        <v>0</v>
      </c>
      <c r="L3088">
        <v>0</v>
      </c>
    </row>
    <row r="3089" spans="1:12" x14ac:dyDescent="0.3">
      <c r="A3089" t="s">
        <v>3105</v>
      </c>
      <c r="B3089" t="s">
        <v>17</v>
      </c>
      <c r="C3089">
        <v>4999</v>
      </c>
      <c r="D3089">
        <v>79.98</v>
      </c>
      <c r="E3089">
        <v>14.4</v>
      </c>
      <c r="F3089">
        <f>COUNTIFS(mdr_rate_cleaned!$A$2:$A$10,B3089,mdr_rate_cleaned!$B$2:$B$10,"&lt;"&amp;C3089,mdr_rate_cleaned!$F$2:$F$10,"&gt;="&amp;C3089)</f>
        <v>1</v>
      </c>
      <c r="G3089">
        <v>1.6E-2</v>
      </c>
      <c r="H3089">
        <v>79.98</v>
      </c>
      <c r="I3089" t="s">
        <v>15</v>
      </c>
      <c r="J3089" t="s">
        <v>15</v>
      </c>
      <c r="K3089">
        <v>14.4</v>
      </c>
      <c r="L3089">
        <v>0</v>
      </c>
    </row>
    <row r="3090" spans="1:12" x14ac:dyDescent="0.3">
      <c r="A3090" t="s">
        <v>3106</v>
      </c>
      <c r="B3090" t="s">
        <v>21</v>
      </c>
      <c r="C3090">
        <v>6497</v>
      </c>
      <c r="D3090">
        <v>19.489999999999998</v>
      </c>
      <c r="E3090">
        <v>3.51</v>
      </c>
      <c r="F3090">
        <f>COUNTIFS(mdr_rate_cleaned!$A$2:$A$10,B3090,mdr_rate_cleaned!$B$2:$B$10,"&lt;"&amp;C3090,mdr_rate_cleaned!$F$2:$F$10,"&gt;="&amp;C3090)</f>
        <v>1</v>
      </c>
      <c r="G3090">
        <v>3.0000000000000001E-3</v>
      </c>
      <c r="H3090">
        <v>19.489999999999998</v>
      </c>
      <c r="I3090" t="s">
        <v>15</v>
      </c>
      <c r="J3090" t="s">
        <v>15</v>
      </c>
      <c r="K3090">
        <v>3.51</v>
      </c>
      <c r="L3090">
        <v>0</v>
      </c>
    </row>
    <row r="3091" spans="1:12" x14ac:dyDescent="0.3">
      <c r="A3091" t="s">
        <v>3107</v>
      </c>
      <c r="B3091" t="s">
        <v>39</v>
      </c>
      <c r="C3091">
        <v>599</v>
      </c>
      <c r="D3091">
        <v>8.99</v>
      </c>
      <c r="E3091">
        <v>1.62</v>
      </c>
      <c r="F3091">
        <f>COUNTIFS(mdr_rate_cleaned!$A$2:$A$10,B3091,mdr_rate_cleaned!$B$2:$B$10,"&lt;"&amp;C3091,mdr_rate_cleaned!$F$2:$F$10,"&gt;="&amp;C3091)</f>
        <v>1</v>
      </c>
      <c r="G3091">
        <v>1.4999999999999999E-2</v>
      </c>
      <c r="H3091">
        <v>8.99</v>
      </c>
      <c r="I3091" t="s">
        <v>15</v>
      </c>
      <c r="J3091" t="s">
        <v>15</v>
      </c>
      <c r="K3091">
        <v>1.62</v>
      </c>
      <c r="L3091">
        <v>0</v>
      </c>
    </row>
    <row r="3092" spans="1:12" x14ac:dyDescent="0.3">
      <c r="A3092" t="s">
        <v>3108</v>
      </c>
      <c r="B3092" t="s">
        <v>39</v>
      </c>
      <c r="C3092">
        <v>3499</v>
      </c>
      <c r="D3092">
        <v>41.99</v>
      </c>
      <c r="E3092">
        <v>7.56</v>
      </c>
      <c r="F3092">
        <f>COUNTIFS(mdr_rate_cleaned!$A$2:$A$10,B3092,mdr_rate_cleaned!$B$2:$B$10,"&lt;"&amp;C3092,mdr_rate_cleaned!$F$2:$F$10,"&gt;="&amp;C3092)</f>
        <v>1</v>
      </c>
      <c r="G3092">
        <v>1.2E-2</v>
      </c>
      <c r="H3092">
        <v>41.99</v>
      </c>
      <c r="I3092" t="s">
        <v>15</v>
      </c>
      <c r="J3092" t="s">
        <v>15</v>
      </c>
      <c r="K3092">
        <v>7.56</v>
      </c>
      <c r="L3092">
        <v>0</v>
      </c>
    </row>
    <row r="3093" spans="1:12" x14ac:dyDescent="0.3">
      <c r="A3093" t="s">
        <v>3109</v>
      </c>
      <c r="B3093" t="s">
        <v>21</v>
      </c>
      <c r="C3093">
        <v>999</v>
      </c>
      <c r="D3093">
        <v>0</v>
      </c>
      <c r="E3093">
        <v>0</v>
      </c>
      <c r="F3093">
        <f>COUNTIFS(mdr_rate_cleaned!$A$2:$A$10,B3093,mdr_rate_cleaned!$B$2:$B$10,"&lt;"&amp;C3093,mdr_rate_cleaned!$F$2:$F$10,"&gt;="&amp;C3093)</f>
        <v>1</v>
      </c>
      <c r="G3093">
        <v>0</v>
      </c>
      <c r="H3093">
        <v>0</v>
      </c>
      <c r="I3093" t="s">
        <v>15</v>
      </c>
      <c r="J3093" t="s">
        <v>15</v>
      </c>
      <c r="K3093">
        <v>0</v>
      </c>
      <c r="L3093">
        <v>0</v>
      </c>
    </row>
    <row r="3094" spans="1:12" x14ac:dyDescent="0.3">
      <c r="A3094" t="s">
        <v>3110</v>
      </c>
      <c r="B3094" t="s">
        <v>21</v>
      </c>
      <c r="C3094">
        <v>2998</v>
      </c>
      <c r="D3094">
        <v>8.99</v>
      </c>
      <c r="E3094">
        <v>1.62</v>
      </c>
      <c r="F3094">
        <f>COUNTIFS(mdr_rate_cleaned!$A$2:$A$10,B3094,mdr_rate_cleaned!$B$2:$B$10,"&lt;"&amp;C3094,mdr_rate_cleaned!$F$2:$F$10,"&gt;="&amp;C3094)</f>
        <v>1</v>
      </c>
      <c r="G3094">
        <v>3.0000000000000001E-3</v>
      </c>
      <c r="H3094">
        <v>8.99</v>
      </c>
      <c r="I3094" t="s">
        <v>15</v>
      </c>
      <c r="J3094" t="s">
        <v>15</v>
      </c>
      <c r="K3094">
        <v>1.62</v>
      </c>
      <c r="L3094">
        <v>0</v>
      </c>
    </row>
    <row r="3095" spans="1:12" x14ac:dyDescent="0.3">
      <c r="A3095" t="s">
        <v>3111</v>
      </c>
      <c r="B3095" t="s">
        <v>21</v>
      </c>
      <c r="C3095">
        <v>1299</v>
      </c>
      <c r="D3095">
        <v>0</v>
      </c>
      <c r="E3095">
        <v>0</v>
      </c>
      <c r="F3095">
        <f>COUNTIFS(mdr_rate_cleaned!$A$2:$A$10,B3095,mdr_rate_cleaned!$B$2:$B$10,"&lt;"&amp;C3095,mdr_rate_cleaned!$F$2:$F$10,"&gt;="&amp;C3095)</f>
        <v>1</v>
      </c>
      <c r="G3095">
        <v>0</v>
      </c>
      <c r="H3095">
        <v>0</v>
      </c>
      <c r="I3095" t="s">
        <v>15</v>
      </c>
      <c r="J3095" t="s">
        <v>15</v>
      </c>
      <c r="K3095">
        <v>0</v>
      </c>
      <c r="L3095">
        <v>0</v>
      </c>
    </row>
    <row r="3096" spans="1:12" x14ac:dyDescent="0.3">
      <c r="A3096" t="s">
        <v>3112</v>
      </c>
      <c r="B3096" t="s">
        <v>21</v>
      </c>
      <c r="C3096">
        <v>4999</v>
      </c>
      <c r="D3096">
        <v>15</v>
      </c>
      <c r="E3096">
        <v>2.7</v>
      </c>
      <c r="F3096">
        <f>COUNTIFS(mdr_rate_cleaned!$A$2:$A$10,B3096,mdr_rate_cleaned!$B$2:$B$10,"&lt;"&amp;C3096,mdr_rate_cleaned!$F$2:$F$10,"&gt;="&amp;C3096)</f>
        <v>1</v>
      </c>
      <c r="G3096">
        <v>3.0000000000000001E-3</v>
      </c>
      <c r="H3096">
        <v>15</v>
      </c>
      <c r="I3096" t="s">
        <v>15</v>
      </c>
      <c r="J3096" t="s">
        <v>15</v>
      </c>
      <c r="K3096">
        <v>2.7</v>
      </c>
      <c r="L3096">
        <v>0</v>
      </c>
    </row>
    <row r="3097" spans="1:12" x14ac:dyDescent="0.3">
      <c r="A3097" t="s">
        <v>3113</v>
      </c>
      <c r="B3097" t="s">
        <v>17</v>
      </c>
      <c r="C3097">
        <v>4647</v>
      </c>
      <c r="D3097">
        <v>74.349999999999994</v>
      </c>
      <c r="E3097">
        <v>13.38</v>
      </c>
      <c r="F3097">
        <f>COUNTIFS(mdr_rate_cleaned!$A$2:$A$10,B3097,mdr_rate_cleaned!$B$2:$B$10,"&lt;"&amp;C3097,mdr_rate_cleaned!$F$2:$F$10,"&gt;="&amp;C3097)</f>
        <v>1</v>
      </c>
      <c r="G3097">
        <v>1.6E-2</v>
      </c>
      <c r="H3097">
        <v>74.349999999999994</v>
      </c>
      <c r="I3097" t="s">
        <v>15</v>
      </c>
      <c r="J3097" t="s">
        <v>15</v>
      </c>
      <c r="K3097">
        <v>13.38</v>
      </c>
      <c r="L3097">
        <v>0</v>
      </c>
    </row>
    <row r="3098" spans="1:12" x14ac:dyDescent="0.3">
      <c r="A3098" t="s">
        <v>3114</v>
      </c>
      <c r="B3098" t="s">
        <v>21</v>
      </c>
      <c r="C3098">
        <v>2499</v>
      </c>
      <c r="D3098">
        <v>7.5</v>
      </c>
      <c r="E3098">
        <v>1.35</v>
      </c>
      <c r="F3098">
        <f>COUNTIFS(mdr_rate_cleaned!$A$2:$A$10,B3098,mdr_rate_cleaned!$B$2:$B$10,"&lt;"&amp;C3098,mdr_rate_cleaned!$F$2:$F$10,"&gt;="&amp;C3098)</f>
        <v>1</v>
      </c>
      <c r="G3098">
        <v>3.0000000000000001E-3</v>
      </c>
      <c r="H3098">
        <v>7.5</v>
      </c>
      <c r="I3098" t="s">
        <v>15</v>
      </c>
      <c r="J3098" t="s">
        <v>15</v>
      </c>
      <c r="K3098">
        <v>1.35</v>
      </c>
      <c r="L3098">
        <v>0</v>
      </c>
    </row>
    <row r="3099" spans="1:12" x14ac:dyDescent="0.3">
      <c r="A3099" t="s">
        <v>3115</v>
      </c>
      <c r="B3099" t="s">
        <v>39</v>
      </c>
      <c r="C3099">
        <v>2999</v>
      </c>
      <c r="D3099">
        <v>35.99</v>
      </c>
      <c r="E3099">
        <v>6.48</v>
      </c>
      <c r="F3099">
        <f>COUNTIFS(mdr_rate_cleaned!$A$2:$A$10,B3099,mdr_rate_cleaned!$B$2:$B$10,"&lt;"&amp;C3099,mdr_rate_cleaned!$F$2:$F$10,"&gt;="&amp;C3099)</f>
        <v>1</v>
      </c>
      <c r="G3099">
        <v>1.2E-2</v>
      </c>
      <c r="H3099">
        <v>35.99</v>
      </c>
      <c r="I3099" t="s">
        <v>15</v>
      </c>
      <c r="J3099" t="s">
        <v>15</v>
      </c>
      <c r="K3099">
        <v>6.48</v>
      </c>
      <c r="L3099">
        <v>0</v>
      </c>
    </row>
    <row r="3100" spans="1:12" x14ac:dyDescent="0.3">
      <c r="A3100" t="s">
        <v>3116</v>
      </c>
      <c r="B3100" t="s">
        <v>17</v>
      </c>
      <c r="C3100">
        <v>799</v>
      </c>
      <c r="D3100">
        <v>14.38</v>
      </c>
      <c r="E3100">
        <v>2.59</v>
      </c>
      <c r="F3100">
        <f>COUNTIFS(mdr_rate_cleaned!$A$2:$A$10,B3100,mdr_rate_cleaned!$B$2:$B$10,"&lt;"&amp;C3100,mdr_rate_cleaned!$F$2:$F$10,"&gt;="&amp;C3100)</f>
        <v>1</v>
      </c>
      <c r="G3100">
        <v>1.7999999999999999E-2</v>
      </c>
      <c r="H3100">
        <v>14.38</v>
      </c>
      <c r="I3100" t="s">
        <v>15</v>
      </c>
      <c r="J3100" t="s">
        <v>15</v>
      </c>
      <c r="K3100">
        <v>2.59</v>
      </c>
      <c r="L3100">
        <v>0</v>
      </c>
    </row>
    <row r="3101" spans="1:12" x14ac:dyDescent="0.3">
      <c r="A3101" t="s">
        <v>3117</v>
      </c>
      <c r="B3101" t="s">
        <v>13</v>
      </c>
      <c r="C3101">
        <v>3499</v>
      </c>
      <c r="D3101">
        <v>59.48</v>
      </c>
      <c r="E3101">
        <v>10.71</v>
      </c>
      <c r="F3101">
        <f>COUNTIFS(mdr_rate_cleaned!$A$2:$A$10,B3101,mdr_rate_cleaned!$B$2:$B$10,"&lt;"&amp;C3101,mdr_rate_cleaned!$F$2:$F$10,"&gt;="&amp;C3101)</f>
        <v>1</v>
      </c>
      <c r="G3101">
        <v>1.7000000000000001E-2</v>
      </c>
      <c r="H3101">
        <v>59.48</v>
      </c>
      <c r="I3101" t="s">
        <v>15</v>
      </c>
      <c r="J3101" t="s">
        <v>15</v>
      </c>
      <c r="K3101">
        <v>10.71</v>
      </c>
      <c r="L3101">
        <v>0</v>
      </c>
    </row>
    <row r="3102" spans="1:12" x14ac:dyDescent="0.3">
      <c r="A3102" t="s">
        <v>3118</v>
      </c>
      <c r="B3102" t="s">
        <v>21</v>
      </c>
      <c r="C3102">
        <v>7999</v>
      </c>
      <c r="D3102">
        <v>24</v>
      </c>
      <c r="E3102">
        <v>4.32</v>
      </c>
      <c r="F3102">
        <f>COUNTIFS(mdr_rate_cleaned!$A$2:$A$10,B3102,mdr_rate_cleaned!$B$2:$B$10,"&lt;"&amp;C3102,mdr_rate_cleaned!$F$2:$F$10,"&gt;="&amp;C3102)</f>
        <v>1</v>
      </c>
      <c r="G3102">
        <v>3.0000000000000001E-3</v>
      </c>
      <c r="H3102">
        <v>24</v>
      </c>
      <c r="I3102" t="s">
        <v>15</v>
      </c>
      <c r="J3102" t="s">
        <v>15</v>
      </c>
      <c r="K3102">
        <v>4.32</v>
      </c>
      <c r="L3102">
        <v>0</v>
      </c>
    </row>
    <row r="3103" spans="1:12" x14ac:dyDescent="0.3">
      <c r="A3103" t="s">
        <v>3119</v>
      </c>
      <c r="B3103" t="s">
        <v>39</v>
      </c>
      <c r="C3103">
        <v>5297</v>
      </c>
      <c r="D3103">
        <v>63.56</v>
      </c>
      <c r="E3103">
        <v>11.44</v>
      </c>
      <c r="F3103">
        <f>COUNTIFS(mdr_rate_cleaned!$A$2:$A$10,B3103,mdr_rate_cleaned!$B$2:$B$10,"&lt;"&amp;C3103,mdr_rate_cleaned!$F$2:$F$10,"&gt;="&amp;C3103)</f>
        <v>1</v>
      </c>
      <c r="G3103">
        <v>1.2E-2</v>
      </c>
      <c r="H3103">
        <v>63.56</v>
      </c>
      <c r="I3103" t="s">
        <v>15</v>
      </c>
      <c r="J3103" t="s">
        <v>15</v>
      </c>
      <c r="K3103">
        <v>11.44</v>
      </c>
      <c r="L3103">
        <v>0</v>
      </c>
    </row>
    <row r="3104" spans="1:12" x14ac:dyDescent="0.3">
      <c r="A3104" t="s">
        <v>3120</v>
      </c>
      <c r="B3104" t="s">
        <v>13</v>
      </c>
      <c r="C3104">
        <v>4097</v>
      </c>
      <c r="D3104">
        <v>69.650000000000006</v>
      </c>
      <c r="E3104">
        <v>12.54</v>
      </c>
      <c r="F3104">
        <f>COUNTIFS(mdr_rate_cleaned!$A$2:$A$10,B3104,mdr_rate_cleaned!$B$2:$B$10,"&lt;"&amp;C3104,mdr_rate_cleaned!$F$2:$F$10,"&gt;="&amp;C3104)</f>
        <v>1</v>
      </c>
      <c r="G3104">
        <v>1.7000000000000001E-2</v>
      </c>
      <c r="H3104">
        <v>69.650000000000006</v>
      </c>
      <c r="I3104" t="s">
        <v>15</v>
      </c>
      <c r="J3104" t="s">
        <v>15</v>
      </c>
      <c r="K3104">
        <v>12.54</v>
      </c>
      <c r="L3104">
        <v>0</v>
      </c>
    </row>
    <row r="3105" spans="1:12" x14ac:dyDescent="0.3">
      <c r="A3105" t="s">
        <v>3121</v>
      </c>
      <c r="B3105" t="s">
        <v>21</v>
      </c>
      <c r="C3105">
        <v>3598</v>
      </c>
      <c r="D3105">
        <v>10.79</v>
      </c>
      <c r="E3105">
        <v>1.94</v>
      </c>
      <c r="F3105">
        <f>COUNTIFS(mdr_rate_cleaned!$A$2:$A$10,B3105,mdr_rate_cleaned!$B$2:$B$10,"&lt;"&amp;C3105,mdr_rate_cleaned!$F$2:$F$10,"&gt;="&amp;C3105)</f>
        <v>1</v>
      </c>
      <c r="G3105">
        <v>3.0000000000000001E-3</v>
      </c>
      <c r="H3105">
        <v>10.79</v>
      </c>
      <c r="I3105" t="s">
        <v>15</v>
      </c>
      <c r="J3105" t="s">
        <v>15</v>
      </c>
      <c r="K3105">
        <v>1.94</v>
      </c>
      <c r="L3105">
        <v>0</v>
      </c>
    </row>
    <row r="3106" spans="1:12" x14ac:dyDescent="0.3">
      <c r="A3106" t="s">
        <v>3122</v>
      </c>
      <c r="B3106" t="s">
        <v>21</v>
      </c>
      <c r="C3106">
        <v>3298</v>
      </c>
      <c r="D3106">
        <v>9.89</v>
      </c>
      <c r="E3106">
        <v>1.78</v>
      </c>
      <c r="F3106">
        <f>COUNTIFS(mdr_rate_cleaned!$A$2:$A$10,B3106,mdr_rate_cleaned!$B$2:$B$10,"&lt;"&amp;C3106,mdr_rate_cleaned!$F$2:$F$10,"&gt;="&amp;C3106)</f>
        <v>1</v>
      </c>
      <c r="G3106">
        <v>3.0000000000000001E-3</v>
      </c>
      <c r="H3106">
        <v>9.89</v>
      </c>
      <c r="I3106" t="s">
        <v>15</v>
      </c>
      <c r="J3106" t="s">
        <v>15</v>
      </c>
      <c r="K3106">
        <v>1.78</v>
      </c>
      <c r="L3106">
        <v>0</v>
      </c>
    </row>
    <row r="3107" spans="1:12" x14ac:dyDescent="0.3">
      <c r="A3107" t="s">
        <v>3123</v>
      </c>
      <c r="B3107" t="s">
        <v>21</v>
      </c>
      <c r="C3107">
        <v>9998</v>
      </c>
      <c r="D3107">
        <v>29.99</v>
      </c>
      <c r="E3107">
        <v>5.4</v>
      </c>
      <c r="F3107">
        <f>COUNTIFS(mdr_rate_cleaned!$A$2:$A$10,B3107,mdr_rate_cleaned!$B$2:$B$10,"&lt;"&amp;C3107,mdr_rate_cleaned!$F$2:$F$10,"&gt;="&amp;C3107)</f>
        <v>1</v>
      </c>
      <c r="G3107">
        <v>3.0000000000000001E-3</v>
      </c>
      <c r="H3107">
        <v>29.99</v>
      </c>
      <c r="I3107" t="s">
        <v>15</v>
      </c>
      <c r="J3107" t="s">
        <v>15</v>
      </c>
      <c r="K3107">
        <v>5.4</v>
      </c>
      <c r="L3107">
        <v>0</v>
      </c>
    </row>
    <row r="3108" spans="1:12" x14ac:dyDescent="0.3">
      <c r="A3108" t="s">
        <v>3124</v>
      </c>
      <c r="B3108" t="s">
        <v>39</v>
      </c>
      <c r="C3108">
        <v>2298</v>
      </c>
      <c r="D3108">
        <v>27.58</v>
      </c>
      <c r="E3108">
        <v>4.96</v>
      </c>
      <c r="F3108">
        <f>COUNTIFS(mdr_rate_cleaned!$A$2:$A$10,B3108,mdr_rate_cleaned!$B$2:$B$10,"&lt;"&amp;C3108,mdr_rate_cleaned!$F$2:$F$10,"&gt;="&amp;C3108)</f>
        <v>1</v>
      </c>
      <c r="G3108">
        <v>1.2E-2</v>
      </c>
      <c r="H3108">
        <v>27.58</v>
      </c>
      <c r="I3108" t="s">
        <v>15</v>
      </c>
      <c r="J3108" t="s">
        <v>15</v>
      </c>
      <c r="K3108">
        <v>4.96</v>
      </c>
      <c r="L3108">
        <v>0</v>
      </c>
    </row>
    <row r="3109" spans="1:12" x14ac:dyDescent="0.3">
      <c r="A3109" t="s">
        <v>3125</v>
      </c>
      <c r="B3109" t="s">
        <v>17</v>
      </c>
      <c r="C3109">
        <v>2499</v>
      </c>
      <c r="D3109">
        <v>39.979999999999997</v>
      </c>
      <c r="E3109">
        <v>7.2</v>
      </c>
      <c r="F3109">
        <f>COUNTIFS(mdr_rate_cleaned!$A$2:$A$10,B3109,mdr_rate_cleaned!$B$2:$B$10,"&lt;"&amp;C3109,mdr_rate_cleaned!$F$2:$F$10,"&gt;="&amp;C3109)</f>
        <v>1</v>
      </c>
      <c r="G3109">
        <v>1.6E-2</v>
      </c>
      <c r="H3109">
        <v>39.979999999999997</v>
      </c>
      <c r="I3109" t="s">
        <v>15</v>
      </c>
      <c r="J3109" t="s">
        <v>15</v>
      </c>
      <c r="K3109">
        <v>7.2</v>
      </c>
      <c r="L3109">
        <v>0</v>
      </c>
    </row>
    <row r="3110" spans="1:12" x14ac:dyDescent="0.3">
      <c r="A3110" t="s">
        <v>3126</v>
      </c>
      <c r="B3110" t="s">
        <v>17</v>
      </c>
      <c r="C3110">
        <v>1299</v>
      </c>
      <c r="D3110">
        <v>23.38</v>
      </c>
      <c r="E3110">
        <v>4.21</v>
      </c>
      <c r="F3110">
        <f>COUNTIFS(mdr_rate_cleaned!$A$2:$A$10,B3110,mdr_rate_cleaned!$B$2:$B$10,"&lt;"&amp;C3110,mdr_rate_cleaned!$F$2:$F$10,"&gt;="&amp;C3110)</f>
        <v>1</v>
      </c>
      <c r="G3110">
        <v>1.7999999999999999E-2</v>
      </c>
      <c r="H3110">
        <v>23.38</v>
      </c>
      <c r="I3110" t="s">
        <v>15</v>
      </c>
      <c r="J3110" t="s">
        <v>15</v>
      </c>
      <c r="K3110">
        <v>4.21</v>
      </c>
      <c r="L3110">
        <v>0</v>
      </c>
    </row>
    <row r="3111" spans="1:12" x14ac:dyDescent="0.3">
      <c r="A3111" t="s">
        <v>3127</v>
      </c>
      <c r="B3111" t="s">
        <v>17</v>
      </c>
      <c r="C3111">
        <v>6498</v>
      </c>
      <c r="D3111">
        <v>103.97</v>
      </c>
      <c r="E3111">
        <v>18.71</v>
      </c>
      <c r="F3111">
        <f>COUNTIFS(mdr_rate_cleaned!$A$2:$A$10,B3111,mdr_rate_cleaned!$B$2:$B$10,"&lt;"&amp;C3111,mdr_rate_cleaned!$F$2:$F$10,"&gt;="&amp;C3111)</f>
        <v>1</v>
      </c>
      <c r="G3111">
        <v>1.6E-2</v>
      </c>
      <c r="H3111">
        <v>103.97</v>
      </c>
      <c r="I3111" t="s">
        <v>15</v>
      </c>
      <c r="J3111" t="s">
        <v>15</v>
      </c>
      <c r="K3111">
        <v>18.71</v>
      </c>
      <c r="L3111">
        <v>0</v>
      </c>
    </row>
    <row r="3112" spans="1:12" x14ac:dyDescent="0.3">
      <c r="A3112" t="s">
        <v>3128</v>
      </c>
      <c r="B3112" t="s">
        <v>13</v>
      </c>
      <c r="C3112">
        <v>1499</v>
      </c>
      <c r="D3112">
        <v>28.48</v>
      </c>
      <c r="E3112">
        <v>5.13</v>
      </c>
      <c r="F3112">
        <f>COUNTIFS(mdr_rate_cleaned!$A$2:$A$10,B3112,mdr_rate_cleaned!$B$2:$B$10,"&lt;"&amp;C3112,mdr_rate_cleaned!$F$2:$F$10,"&gt;="&amp;C3112)</f>
        <v>1</v>
      </c>
      <c r="G3112">
        <v>1.9E-2</v>
      </c>
      <c r="H3112">
        <v>28.48</v>
      </c>
      <c r="I3112" t="s">
        <v>15</v>
      </c>
      <c r="J3112" t="s">
        <v>15</v>
      </c>
      <c r="K3112">
        <v>5.13</v>
      </c>
      <c r="L3112">
        <v>0</v>
      </c>
    </row>
    <row r="3113" spans="1:12" x14ac:dyDescent="0.3">
      <c r="A3113" t="s">
        <v>3129</v>
      </c>
      <c r="B3113" t="s">
        <v>17</v>
      </c>
      <c r="C3113">
        <v>7999</v>
      </c>
      <c r="D3113">
        <v>127.98</v>
      </c>
      <c r="E3113">
        <v>23.04</v>
      </c>
      <c r="F3113">
        <f>COUNTIFS(mdr_rate_cleaned!$A$2:$A$10,B3113,mdr_rate_cleaned!$B$2:$B$10,"&lt;"&amp;C3113,mdr_rate_cleaned!$F$2:$F$10,"&gt;="&amp;C3113)</f>
        <v>1</v>
      </c>
      <c r="G3113">
        <v>1.6E-2</v>
      </c>
      <c r="H3113">
        <v>127.98</v>
      </c>
      <c r="I3113" t="s">
        <v>15</v>
      </c>
      <c r="J3113" t="s">
        <v>15</v>
      </c>
      <c r="K3113">
        <v>23.04</v>
      </c>
      <c r="L3113">
        <v>0</v>
      </c>
    </row>
    <row r="3114" spans="1:12" x14ac:dyDescent="0.3">
      <c r="A3114" t="s">
        <v>3130</v>
      </c>
      <c r="B3114" t="s">
        <v>13</v>
      </c>
      <c r="C3114">
        <v>1499</v>
      </c>
      <c r="D3114">
        <v>28.48</v>
      </c>
      <c r="E3114">
        <v>5.13</v>
      </c>
      <c r="F3114">
        <f>COUNTIFS(mdr_rate_cleaned!$A$2:$A$10,B3114,mdr_rate_cleaned!$B$2:$B$10,"&lt;"&amp;C3114,mdr_rate_cleaned!$F$2:$F$10,"&gt;="&amp;C3114)</f>
        <v>1</v>
      </c>
      <c r="G3114">
        <v>1.9E-2</v>
      </c>
      <c r="H3114">
        <v>28.48</v>
      </c>
      <c r="I3114" t="s">
        <v>15</v>
      </c>
      <c r="J3114" t="s">
        <v>15</v>
      </c>
      <c r="K3114">
        <v>5.13</v>
      </c>
      <c r="L3114">
        <v>0</v>
      </c>
    </row>
    <row r="3115" spans="1:12" x14ac:dyDescent="0.3">
      <c r="A3115" t="s">
        <v>3131</v>
      </c>
      <c r="B3115" t="s">
        <v>13</v>
      </c>
      <c r="C3115">
        <v>3298</v>
      </c>
      <c r="D3115">
        <v>56.07</v>
      </c>
      <c r="E3115">
        <v>10.09</v>
      </c>
      <c r="F3115">
        <f>COUNTIFS(mdr_rate_cleaned!$A$2:$A$10,B3115,mdr_rate_cleaned!$B$2:$B$10,"&lt;"&amp;C3115,mdr_rate_cleaned!$F$2:$F$10,"&gt;="&amp;C3115)</f>
        <v>1</v>
      </c>
      <c r="G3115">
        <v>1.7000000000000001E-2</v>
      </c>
      <c r="H3115">
        <v>56.07</v>
      </c>
      <c r="I3115" t="s">
        <v>15</v>
      </c>
      <c r="J3115" t="s">
        <v>15</v>
      </c>
      <c r="K3115">
        <v>10.09</v>
      </c>
      <c r="L3115">
        <v>0</v>
      </c>
    </row>
    <row r="3116" spans="1:12" x14ac:dyDescent="0.3">
      <c r="A3116" t="s">
        <v>3132</v>
      </c>
      <c r="B3116" t="s">
        <v>17</v>
      </c>
      <c r="C3116">
        <v>1799</v>
      </c>
      <c r="D3116">
        <v>32.380000000000003</v>
      </c>
      <c r="E3116">
        <v>5.83</v>
      </c>
      <c r="F3116">
        <f>COUNTIFS(mdr_rate_cleaned!$A$2:$A$10,B3116,mdr_rate_cleaned!$B$2:$B$10,"&lt;"&amp;C3116,mdr_rate_cleaned!$F$2:$F$10,"&gt;="&amp;C3116)</f>
        <v>1</v>
      </c>
      <c r="G3116">
        <v>1.7999999999999999E-2</v>
      </c>
      <c r="H3116">
        <v>32.380000000000003</v>
      </c>
      <c r="I3116" t="s">
        <v>15</v>
      </c>
      <c r="J3116" t="s">
        <v>15</v>
      </c>
      <c r="K3116">
        <v>5.83</v>
      </c>
      <c r="L3116">
        <v>0</v>
      </c>
    </row>
    <row r="3117" spans="1:12" x14ac:dyDescent="0.3">
      <c r="A3117" t="s">
        <v>3133</v>
      </c>
      <c r="B3117" t="s">
        <v>21</v>
      </c>
      <c r="C3117">
        <v>1499</v>
      </c>
      <c r="D3117">
        <v>0</v>
      </c>
      <c r="E3117">
        <v>0</v>
      </c>
      <c r="F3117">
        <f>COUNTIFS(mdr_rate_cleaned!$A$2:$A$10,B3117,mdr_rate_cleaned!$B$2:$B$10,"&lt;"&amp;C3117,mdr_rate_cleaned!$F$2:$F$10,"&gt;="&amp;C3117)</f>
        <v>1</v>
      </c>
      <c r="G3117">
        <v>0</v>
      </c>
      <c r="H3117">
        <v>0</v>
      </c>
      <c r="I3117" t="s">
        <v>15</v>
      </c>
      <c r="J3117" t="s">
        <v>15</v>
      </c>
      <c r="K3117">
        <v>0</v>
      </c>
      <c r="L3117">
        <v>0</v>
      </c>
    </row>
    <row r="3118" spans="1:12" x14ac:dyDescent="0.3">
      <c r="A3118" t="s">
        <v>3134</v>
      </c>
      <c r="B3118" t="s">
        <v>21</v>
      </c>
      <c r="C3118">
        <v>349</v>
      </c>
      <c r="D3118">
        <v>0</v>
      </c>
      <c r="E3118">
        <v>0</v>
      </c>
      <c r="F3118">
        <f>COUNTIFS(mdr_rate_cleaned!$A$2:$A$10,B3118,mdr_rate_cleaned!$B$2:$B$10,"&lt;"&amp;C3118,mdr_rate_cleaned!$F$2:$F$10,"&gt;="&amp;C3118)</f>
        <v>1</v>
      </c>
      <c r="G3118">
        <v>0</v>
      </c>
      <c r="H3118">
        <v>0</v>
      </c>
      <c r="I3118" t="s">
        <v>15</v>
      </c>
      <c r="J3118" t="s">
        <v>15</v>
      </c>
      <c r="K3118">
        <v>0</v>
      </c>
      <c r="L3118">
        <v>0</v>
      </c>
    </row>
    <row r="3119" spans="1:12" x14ac:dyDescent="0.3">
      <c r="A3119" t="s">
        <v>3135</v>
      </c>
      <c r="B3119" t="s">
        <v>17</v>
      </c>
      <c r="C3119">
        <v>1298</v>
      </c>
      <c r="D3119">
        <v>23.36</v>
      </c>
      <c r="E3119">
        <v>4.2</v>
      </c>
      <c r="F3119">
        <f>COUNTIFS(mdr_rate_cleaned!$A$2:$A$10,B3119,mdr_rate_cleaned!$B$2:$B$10,"&lt;"&amp;C3119,mdr_rate_cleaned!$F$2:$F$10,"&gt;="&amp;C3119)</f>
        <v>1</v>
      </c>
      <c r="G3119">
        <v>1.7999999999999999E-2</v>
      </c>
      <c r="H3119">
        <v>23.36</v>
      </c>
      <c r="I3119" t="s">
        <v>15</v>
      </c>
      <c r="J3119" t="s">
        <v>15</v>
      </c>
      <c r="K3119">
        <v>4.2</v>
      </c>
      <c r="L3119">
        <v>0</v>
      </c>
    </row>
    <row r="3120" spans="1:12" x14ac:dyDescent="0.3">
      <c r="A3120" t="s">
        <v>3136</v>
      </c>
      <c r="B3120" t="s">
        <v>21</v>
      </c>
      <c r="C3120">
        <v>9998</v>
      </c>
      <c r="D3120">
        <v>29.99</v>
      </c>
      <c r="E3120">
        <v>5.4</v>
      </c>
      <c r="F3120">
        <f>COUNTIFS(mdr_rate_cleaned!$A$2:$A$10,B3120,mdr_rate_cleaned!$B$2:$B$10,"&lt;"&amp;C3120,mdr_rate_cleaned!$F$2:$F$10,"&gt;="&amp;C3120)</f>
        <v>1</v>
      </c>
      <c r="G3120">
        <v>3.0000000000000001E-3</v>
      </c>
      <c r="H3120">
        <v>29.99</v>
      </c>
      <c r="I3120" t="s">
        <v>15</v>
      </c>
      <c r="J3120" t="s">
        <v>15</v>
      </c>
      <c r="K3120">
        <v>5.4</v>
      </c>
      <c r="L3120">
        <v>0</v>
      </c>
    </row>
    <row r="3121" spans="1:12" x14ac:dyDescent="0.3">
      <c r="A3121" t="s">
        <v>3137</v>
      </c>
      <c r="B3121" t="s">
        <v>21</v>
      </c>
      <c r="C3121">
        <v>7999</v>
      </c>
      <c r="D3121">
        <v>24</v>
      </c>
      <c r="E3121">
        <v>4.32</v>
      </c>
      <c r="F3121">
        <f>COUNTIFS(mdr_rate_cleaned!$A$2:$A$10,B3121,mdr_rate_cleaned!$B$2:$B$10,"&lt;"&amp;C3121,mdr_rate_cleaned!$F$2:$F$10,"&gt;="&amp;C3121)</f>
        <v>1</v>
      </c>
      <c r="G3121">
        <v>3.0000000000000001E-3</v>
      </c>
      <c r="H3121">
        <v>24</v>
      </c>
      <c r="I3121" t="s">
        <v>15</v>
      </c>
      <c r="J3121" t="s">
        <v>15</v>
      </c>
      <c r="K3121">
        <v>4.32</v>
      </c>
      <c r="L3121">
        <v>0</v>
      </c>
    </row>
    <row r="3122" spans="1:12" x14ac:dyDescent="0.3">
      <c r="A3122" t="s">
        <v>3138</v>
      </c>
      <c r="B3122" t="s">
        <v>21</v>
      </c>
      <c r="C3122">
        <v>12998</v>
      </c>
      <c r="D3122">
        <v>38.99</v>
      </c>
      <c r="E3122">
        <v>7.02</v>
      </c>
      <c r="F3122">
        <f>COUNTIFS(mdr_rate_cleaned!$A$2:$A$10,B3122,mdr_rate_cleaned!$B$2:$B$10,"&lt;"&amp;C3122,mdr_rate_cleaned!$F$2:$F$10,"&gt;="&amp;C3122)</f>
        <v>1</v>
      </c>
      <c r="G3122">
        <v>3.0000000000000001E-3</v>
      </c>
      <c r="H3122">
        <v>38.99</v>
      </c>
      <c r="I3122" t="s">
        <v>15</v>
      </c>
      <c r="J3122" t="s">
        <v>15</v>
      </c>
      <c r="K3122">
        <v>7.02</v>
      </c>
      <c r="L3122">
        <v>0</v>
      </c>
    </row>
    <row r="3123" spans="1:12" x14ac:dyDescent="0.3">
      <c r="A3123" t="s">
        <v>3139</v>
      </c>
      <c r="B3123" t="s">
        <v>21</v>
      </c>
      <c r="C3123">
        <v>1998</v>
      </c>
      <c r="D3123">
        <v>0</v>
      </c>
      <c r="E3123">
        <v>0</v>
      </c>
      <c r="F3123">
        <f>COUNTIFS(mdr_rate_cleaned!$A$2:$A$10,B3123,mdr_rate_cleaned!$B$2:$B$10,"&lt;"&amp;C3123,mdr_rate_cleaned!$F$2:$F$10,"&gt;="&amp;C3123)</f>
        <v>1</v>
      </c>
      <c r="G3123">
        <v>0</v>
      </c>
      <c r="H3123">
        <v>0</v>
      </c>
      <c r="I3123" t="s">
        <v>15</v>
      </c>
      <c r="J3123" t="s">
        <v>15</v>
      </c>
      <c r="K3123">
        <v>0</v>
      </c>
      <c r="L3123">
        <v>0</v>
      </c>
    </row>
    <row r="3124" spans="1:12" x14ac:dyDescent="0.3">
      <c r="A3124" t="s">
        <v>3140</v>
      </c>
      <c r="B3124" t="s">
        <v>17</v>
      </c>
      <c r="C3124">
        <v>1298</v>
      </c>
      <c r="D3124">
        <v>23.36</v>
      </c>
      <c r="E3124">
        <v>4.2</v>
      </c>
      <c r="F3124">
        <f>COUNTIFS(mdr_rate_cleaned!$A$2:$A$10,B3124,mdr_rate_cleaned!$B$2:$B$10,"&lt;"&amp;C3124,mdr_rate_cleaned!$F$2:$F$10,"&gt;="&amp;C3124)</f>
        <v>1</v>
      </c>
      <c r="G3124">
        <v>1.7999999999999999E-2</v>
      </c>
      <c r="H3124">
        <v>23.36</v>
      </c>
      <c r="I3124" t="s">
        <v>15</v>
      </c>
      <c r="J3124" t="s">
        <v>15</v>
      </c>
      <c r="K3124">
        <v>4.2</v>
      </c>
      <c r="L3124">
        <v>0</v>
      </c>
    </row>
    <row r="3125" spans="1:12" x14ac:dyDescent="0.3">
      <c r="A3125" t="s">
        <v>3141</v>
      </c>
      <c r="B3125" t="s">
        <v>17</v>
      </c>
      <c r="C3125">
        <v>2098</v>
      </c>
      <c r="D3125">
        <v>33.57</v>
      </c>
      <c r="E3125">
        <v>6.04</v>
      </c>
      <c r="F3125">
        <f>COUNTIFS(mdr_rate_cleaned!$A$2:$A$10,B3125,mdr_rate_cleaned!$B$2:$B$10,"&lt;"&amp;C3125,mdr_rate_cleaned!$F$2:$F$10,"&gt;="&amp;C3125)</f>
        <v>1</v>
      </c>
      <c r="G3125">
        <v>1.6E-2</v>
      </c>
      <c r="H3125">
        <v>33.57</v>
      </c>
      <c r="I3125" t="s">
        <v>15</v>
      </c>
      <c r="J3125" t="s">
        <v>15</v>
      </c>
      <c r="K3125">
        <v>6.04</v>
      </c>
      <c r="L3125">
        <v>0</v>
      </c>
    </row>
    <row r="3126" spans="1:12" x14ac:dyDescent="0.3">
      <c r="A3126" t="s">
        <v>3142</v>
      </c>
      <c r="B3126" t="s">
        <v>21</v>
      </c>
      <c r="C3126">
        <v>1299</v>
      </c>
      <c r="D3126">
        <v>0</v>
      </c>
      <c r="E3126">
        <v>0</v>
      </c>
      <c r="F3126">
        <f>COUNTIFS(mdr_rate_cleaned!$A$2:$A$10,B3126,mdr_rate_cleaned!$B$2:$B$10,"&lt;"&amp;C3126,mdr_rate_cleaned!$F$2:$F$10,"&gt;="&amp;C3126)</f>
        <v>1</v>
      </c>
      <c r="G3126">
        <v>0</v>
      </c>
      <c r="H3126">
        <v>0</v>
      </c>
      <c r="I3126" t="s">
        <v>15</v>
      </c>
      <c r="J3126" t="s">
        <v>15</v>
      </c>
      <c r="K3126">
        <v>0</v>
      </c>
      <c r="L3126">
        <v>0</v>
      </c>
    </row>
    <row r="3127" spans="1:12" x14ac:dyDescent="0.3">
      <c r="A3127" t="s">
        <v>3143</v>
      </c>
      <c r="B3127" t="s">
        <v>13</v>
      </c>
      <c r="C3127">
        <v>3499</v>
      </c>
      <c r="D3127">
        <v>59.48</v>
      </c>
      <c r="E3127">
        <v>10.71</v>
      </c>
      <c r="F3127">
        <f>COUNTIFS(mdr_rate_cleaned!$A$2:$A$10,B3127,mdr_rate_cleaned!$B$2:$B$10,"&lt;"&amp;C3127,mdr_rate_cleaned!$F$2:$F$10,"&gt;="&amp;C3127)</f>
        <v>1</v>
      </c>
      <c r="G3127">
        <v>1.7000000000000001E-2</v>
      </c>
      <c r="H3127">
        <v>59.48</v>
      </c>
      <c r="I3127" t="s">
        <v>15</v>
      </c>
      <c r="J3127" t="s">
        <v>15</v>
      </c>
      <c r="K3127">
        <v>10.71</v>
      </c>
      <c r="L3127">
        <v>0</v>
      </c>
    </row>
    <row r="3128" spans="1:12" x14ac:dyDescent="0.3">
      <c r="A3128" t="s">
        <v>3144</v>
      </c>
      <c r="B3128" t="s">
        <v>17</v>
      </c>
      <c r="C3128">
        <v>3499</v>
      </c>
      <c r="D3128">
        <v>55.98</v>
      </c>
      <c r="E3128">
        <v>10.08</v>
      </c>
      <c r="F3128">
        <f>COUNTIFS(mdr_rate_cleaned!$A$2:$A$10,B3128,mdr_rate_cleaned!$B$2:$B$10,"&lt;"&amp;C3128,mdr_rate_cleaned!$F$2:$F$10,"&gt;="&amp;C3128)</f>
        <v>1</v>
      </c>
      <c r="G3128">
        <v>1.6E-2</v>
      </c>
      <c r="H3128">
        <v>55.98</v>
      </c>
      <c r="I3128" t="s">
        <v>15</v>
      </c>
      <c r="J3128" t="s">
        <v>15</v>
      </c>
      <c r="K3128">
        <v>10.08</v>
      </c>
      <c r="L3128">
        <v>0</v>
      </c>
    </row>
    <row r="3129" spans="1:12" x14ac:dyDescent="0.3">
      <c r="A3129" t="s">
        <v>3145</v>
      </c>
      <c r="B3129" t="s">
        <v>13</v>
      </c>
      <c r="C3129">
        <v>1848</v>
      </c>
      <c r="D3129">
        <v>35.11</v>
      </c>
      <c r="E3129">
        <v>6.32</v>
      </c>
      <c r="F3129">
        <f>COUNTIFS(mdr_rate_cleaned!$A$2:$A$10,B3129,mdr_rate_cleaned!$B$2:$B$10,"&lt;"&amp;C3129,mdr_rate_cleaned!$F$2:$F$10,"&gt;="&amp;C3129)</f>
        <v>1</v>
      </c>
      <c r="G3129">
        <v>1.9E-2</v>
      </c>
      <c r="H3129">
        <v>35.11</v>
      </c>
      <c r="I3129" t="s">
        <v>15</v>
      </c>
      <c r="J3129" t="s">
        <v>15</v>
      </c>
      <c r="K3129">
        <v>6.32</v>
      </c>
      <c r="L3129">
        <v>0</v>
      </c>
    </row>
    <row r="3130" spans="1:12" x14ac:dyDescent="0.3">
      <c r="A3130" t="s">
        <v>3146</v>
      </c>
      <c r="B3130" t="s">
        <v>17</v>
      </c>
      <c r="C3130">
        <v>2499</v>
      </c>
      <c r="D3130">
        <v>39.979999999999997</v>
      </c>
      <c r="E3130">
        <v>7.2</v>
      </c>
      <c r="F3130">
        <f>COUNTIFS(mdr_rate_cleaned!$A$2:$A$10,B3130,mdr_rate_cleaned!$B$2:$B$10,"&lt;"&amp;C3130,mdr_rate_cleaned!$F$2:$F$10,"&gt;="&amp;C3130)</f>
        <v>1</v>
      </c>
      <c r="G3130">
        <v>1.6E-2</v>
      </c>
      <c r="H3130">
        <v>39.979999999999997</v>
      </c>
      <c r="I3130" t="s">
        <v>15</v>
      </c>
      <c r="J3130" t="s">
        <v>15</v>
      </c>
      <c r="K3130">
        <v>7.2</v>
      </c>
      <c r="L3130">
        <v>0</v>
      </c>
    </row>
    <row r="3131" spans="1:12" x14ac:dyDescent="0.3">
      <c r="A3131" t="s">
        <v>3147</v>
      </c>
      <c r="B3131" t="s">
        <v>39</v>
      </c>
      <c r="C3131">
        <v>8998</v>
      </c>
      <c r="D3131">
        <v>107.98</v>
      </c>
      <c r="E3131">
        <v>19.440000000000001</v>
      </c>
      <c r="F3131">
        <f>COUNTIFS(mdr_rate_cleaned!$A$2:$A$10,B3131,mdr_rate_cleaned!$B$2:$B$10,"&lt;"&amp;C3131,mdr_rate_cleaned!$F$2:$F$10,"&gt;="&amp;C3131)</f>
        <v>1</v>
      </c>
      <c r="G3131">
        <v>1.2E-2</v>
      </c>
      <c r="H3131">
        <v>107.98</v>
      </c>
      <c r="I3131" t="s">
        <v>15</v>
      </c>
      <c r="J3131" t="s">
        <v>15</v>
      </c>
      <c r="K3131">
        <v>19.440000000000001</v>
      </c>
      <c r="L3131">
        <v>0</v>
      </c>
    </row>
    <row r="3132" spans="1:12" x14ac:dyDescent="0.3">
      <c r="A3132" t="s">
        <v>3148</v>
      </c>
      <c r="B3132" t="s">
        <v>17</v>
      </c>
      <c r="C3132">
        <v>4999</v>
      </c>
      <c r="D3132">
        <v>79.98</v>
      </c>
      <c r="E3132">
        <v>14.4</v>
      </c>
      <c r="F3132">
        <f>COUNTIFS(mdr_rate_cleaned!$A$2:$A$10,B3132,mdr_rate_cleaned!$B$2:$B$10,"&lt;"&amp;C3132,mdr_rate_cleaned!$F$2:$F$10,"&gt;="&amp;C3132)</f>
        <v>1</v>
      </c>
      <c r="G3132">
        <v>1.6E-2</v>
      </c>
      <c r="H3132">
        <v>79.98</v>
      </c>
      <c r="I3132" t="s">
        <v>15</v>
      </c>
      <c r="J3132" t="s">
        <v>15</v>
      </c>
      <c r="K3132">
        <v>14.4</v>
      </c>
      <c r="L3132">
        <v>0</v>
      </c>
    </row>
    <row r="3133" spans="1:12" x14ac:dyDescent="0.3">
      <c r="A3133" t="s">
        <v>3149</v>
      </c>
      <c r="B3133" t="s">
        <v>39</v>
      </c>
      <c r="C3133">
        <v>4197</v>
      </c>
      <c r="D3133">
        <v>50.36</v>
      </c>
      <c r="E3133">
        <v>9.06</v>
      </c>
      <c r="F3133">
        <f>COUNTIFS(mdr_rate_cleaned!$A$2:$A$10,B3133,mdr_rate_cleaned!$B$2:$B$10,"&lt;"&amp;C3133,mdr_rate_cleaned!$F$2:$F$10,"&gt;="&amp;C3133)</f>
        <v>1</v>
      </c>
      <c r="G3133">
        <v>1.2E-2</v>
      </c>
      <c r="H3133">
        <v>50.36</v>
      </c>
      <c r="I3133" t="s">
        <v>15</v>
      </c>
      <c r="J3133" t="s">
        <v>15</v>
      </c>
      <c r="K3133">
        <v>9.06</v>
      </c>
      <c r="L3133">
        <v>0</v>
      </c>
    </row>
    <row r="3134" spans="1:12" x14ac:dyDescent="0.3">
      <c r="A3134" t="s">
        <v>3150</v>
      </c>
      <c r="B3134" t="s">
        <v>17</v>
      </c>
      <c r="C3134">
        <v>3947</v>
      </c>
      <c r="D3134">
        <v>63.15</v>
      </c>
      <c r="E3134">
        <v>11.37</v>
      </c>
      <c r="F3134">
        <f>COUNTIFS(mdr_rate_cleaned!$A$2:$A$10,B3134,mdr_rate_cleaned!$B$2:$B$10,"&lt;"&amp;C3134,mdr_rate_cleaned!$F$2:$F$10,"&gt;="&amp;C3134)</f>
        <v>1</v>
      </c>
      <c r="G3134">
        <v>1.6E-2</v>
      </c>
      <c r="H3134">
        <v>63.15</v>
      </c>
      <c r="I3134" t="s">
        <v>15</v>
      </c>
      <c r="J3134" t="s">
        <v>15</v>
      </c>
      <c r="K3134">
        <v>11.37</v>
      </c>
      <c r="L3134">
        <v>0</v>
      </c>
    </row>
    <row r="3135" spans="1:12" x14ac:dyDescent="0.3">
      <c r="A3135" t="s">
        <v>3151</v>
      </c>
      <c r="B3135" t="s">
        <v>39</v>
      </c>
      <c r="C3135">
        <v>299</v>
      </c>
      <c r="D3135">
        <v>4.49</v>
      </c>
      <c r="E3135">
        <v>0.81</v>
      </c>
      <c r="F3135">
        <f>COUNTIFS(mdr_rate_cleaned!$A$2:$A$10,B3135,mdr_rate_cleaned!$B$2:$B$10,"&lt;"&amp;C3135,mdr_rate_cleaned!$F$2:$F$10,"&gt;="&amp;C3135)</f>
        <v>1</v>
      </c>
      <c r="G3135">
        <v>1.4999999999999999E-2</v>
      </c>
      <c r="H3135">
        <v>4.49</v>
      </c>
      <c r="I3135" t="s">
        <v>15</v>
      </c>
      <c r="J3135" t="s">
        <v>15</v>
      </c>
      <c r="K3135">
        <v>0.81</v>
      </c>
      <c r="L3135">
        <v>0</v>
      </c>
    </row>
    <row r="3136" spans="1:12" x14ac:dyDescent="0.3">
      <c r="A3136" t="s">
        <v>3152</v>
      </c>
      <c r="B3136" t="s">
        <v>17</v>
      </c>
      <c r="C3136">
        <v>2897</v>
      </c>
      <c r="D3136">
        <v>46.35</v>
      </c>
      <c r="E3136">
        <v>8.34</v>
      </c>
      <c r="F3136">
        <f>COUNTIFS(mdr_rate_cleaned!$A$2:$A$10,B3136,mdr_rate_cleaned!$B$2:$B$10,"&lt;"&amp;C3136,mdr_rate_cleaned!$F$2:$F$10,"&gt;="&amp;C3136)</f>
        <v>1</v>
      </c>
      <c r="G3136">
        <v>1.6E-2</v>
      </c>
      <c r="H3136">
        <v>46.35</v>
      </c>
      <c r="I3136" t="s">
        <v>15</v>
      </c>
      <c r="J3136" t="s">
        <v>15</v>
      </c>
      <c r="K3136">
        <v>8.34</v>
      </c>
      <c r="L3136">
        <v>0</v>
      </c>
    </row>
    <row r="3137" spans="1:12" x14ac:dyDescent="0.3">
      <c r="A3137" t="s">
        <v>3153</v>
      </c>
      <c r="B3137" t="s">
        <v>21</v>
      </c>
      <c r="C3137">
        <v>1648</v>
      </c>
      <c r="D3137">
        <v>0</v>
      </c>
      <c r="E3137">
        <v>0</v>
      </c>
      <c r="F3137">
        <f>COUNTIFS(mdr_rate_cleaned!$A$2:$A$10,B3137,mdr_rate_cleaned!$B$2:$B$10,"&lt;"&amp;C3137,mdr_rate_cleaned!$F$2:$F$10,"&gt;="&amp;C3137)</f>
        <v>1</v>
      </c>
      <c r="G3137">
        <v>0</v>
      </c>
      <c r="H3137">
        <v>0</v>
      </c>
      <c r="I3137" t="s">
        <v>15</v>
      </c>
      <c r="J3137" t="s">
        <v>15</v>
      </c>
      <c r="K3137">
        <v>0</v>
      </c>
      <c r="L3137">
        <v>0</v>
      </c>
    </row>
    <row r="3138" spans="1:12" x14ac:dyDescent="0.3">
      <c r="A3138" t="s">
        <v>3154</v>
      </c>
      <c r="B3138" t="s">
        <v>21</v>
      </c>
      <c r="C3138">
        <v>1499</v>
      </c>
      <c r="D3138">
        <v>0</v>
      </c>
      <c r="E3138">
        <v>0</v>
      </c>
      <c r="F3138">
        <f>COUNTIFS(mdr_rate_cleaned!$A$2:$A$10,B3138,mdr_rate_cleaned!$B$2:$B$10,"&lt;"&amp;C3138,mdr_rate_cleaned!$F$2:$F$10,"&gt;="&amp;C3138)</f>
        <v>1</v>
      </c>
      <c r="G3138">
        <v>0</v>
      </c>
      <c r="H3138">
        <v>0</v>
      </c>
      <c r="I3138" t="s">
        <v>15</v>
      </c>
      <c r="J3138" t="s">
        <v>15</v>
      </c>
      <c r="K3138">
        <v>0</v>
      </c>
      <c r="L3138">
        <v>0</v>
      </c>
    </row>
    <row r="3139" spans="1:12" x14ac:dyDescent="0.3">
      <c r="A3139" t="s">
        <v>3155</v>
      </c>
      <c r="B3139" t="s">
        <v>17</v>
      </c>
      <c r="C3139">
        <v>2848</v>
      </c>
      <c r="D3139">
        <v>45.57</v>
      </c>
      <c r="E3139">
        <v>8.1999999999999993</v>
      </c>
      <c r="F3139">
        <f>COUNTIFS(mdr_rate_cleaned!$A$2:$A$10,B3139,mdr_rate_cleaned!$B$2:$B$10,"&lt;"&amp;C3139,mdr_rate_cleaned!$F$2:$F$10,"&gt;="&amp;C3139)</f>
        <v>1</v>
      </c>
      <c r="G3139">
        <v>1.6E-2</v>
      </c>
      <c r="H3139">
        <v>45.57</v>
      </c>
      <c r="I3139" t="s">
        <v>15</v>
      </c>
      <c r="J3139" t="s">
        <v>15</v>
      </c>
      <c r="K3139">
        <v>8.1999999999999993</v>
      </c>
      <c r="L3139">
        <v>0</v>
      </c>
    </row>
    <row r="3140" spans="1:12" x14ac:dyDescent="0.3">
      <c r="A3140" t="s">
        <v>3156</v>
      </c>
      <c r="B3140" t="s">
        <v>39</v>
      </c>
      <c r="C3140">
        <v>2097</v>
      </c>
      <c r="D3140">
        <v>25.16</v>
      </c>
      <c r="E3140">
        <v>4.53</v>
      </c>
      <c r="F3140">
        <f>COUNTIFS(mdr_rate_cleaned!$A$2:$A$10,B3140,mdr_rate_cleaned!$B$2:$B$10,"&lt;"&amp;C3140,mdr_rate_cleaned!$F$2:$F$10,"&gt;="&amp;C3140)</f>
        <v>1</v>
      </c>
      <c r="G3140">
        <v>1.2E-2</v>
      </c>
      <c r="H3140">
        <v>25.16</v>
      </c>
      <c r="I3140" t="s">
        <v>15</v>
      </c>
      <c r="J3140" t="s">
        <v>15</v>
      </c>
      <c r="K3140">
        <v>4.53</v>
      </c>
      <c r="L3140">
        <v>0</v>
      </c>
    </row>
    <row r="3141" spans="1:12" x14ac:dyDescent="0.3">
      <c r="A3141" t="s">
        <v>3157</v>
      </c>
      <c r="B3141" t="s">
        <v>17</v>
      </c>
      <c r="C3141">
        <v>2999</v>
      </c>
      <c r="D3141">
        <v>47.98</v>
      </c>
      <c r="E3141">
        <v>8.64</v>
      </c>
      <c r="F3141">
        <f>COUNTIFS(mdr_rate_cleaned!$A$2:$A$10,B3141,mdr_rate_cleaned!$B$2:$B$10,"&lt;"&amp;C3141,mdr_rate_cleaned!$F$2:$F$10,"&gt;="&amp;C3141)</f>
        <v>1</v>
      </c>
      <c r="G3141">
        <v>1.6E-2</v>
      </c>
      <c r="H3141">
        <v>47.98</v>
      </c>
      <c r="I3141" t="s">
        <v>15</v>
      </c>
      <c r="J3141" t="s">
        <v>15</v>
      </c>
      <c r="K3141">
        <v>8.64</v>
      </c>
      <c r="L3141">
        <v>0</v>
      </c>
    </row>
    <row r="3142" spans="1:12" x14ac:dyDescent="0.3">
      <c r="A3142" t="s">
        <v>3158</v>
      </c>
      <c r="B3142" t="s">
        <v>21</v>
      </c>
      <c r="C3142">
        <v>5797</v>
      </c>
      <c r="D3142">
        <v>17.39</v>
      </c>
      <c r="E3142">
        <v>3.13</v>
      </c>
      <c r="F3142">
        <f>COUNTIFS(mdr_rate_cleaned!$A$2:$A$10,B3142,mdr_rate_cleaned!$B$2:$B$10,"&lt;"&amp;C3142,mdr_rate_cleaned!$F$2:$F$10,"&gt;="&amp;C3142)</f>
        <v>1</v>
      </c>
      <c r="G3142">
        <v>3.0000000000000001E-3</v>
      </c>
      <c r="H3142">
        <v>17.39</v>
      </c>
      <c r="I3142" t="s">
        <v>15</v>
      </c>
      <c r="J3142" t="s">
        <v>15</v>
      </c>
      <c r="K3142">
        <v>3.13</v>
      </c>
      <c r="L3142">
        <v>0</v>
      </c>
    </row>
    <row r="3143" spans="1:12" x14ac:dyDescent="0.3">
      <c r="A3143" t="s">
        <v>3159</v>
      </c>
      <c r="B3143" t="s">
        <v>21</v>
      </c>
      <c r="C3143">
        <v>1499</v>
      </c>
      <c r="D3143">
        <v>0</v>
      </c>
      <c r="E3143">
        <v>0</v>
      </c>
      <c r="F3143">
        <f>COUNTIFS(mdr_rate_cleaned!$A$2:$A$10,B3143,mdr_rate_cleaned!$B$2:$B$10,"&lt;"&amp;C3143,mdr_rate_cleaned!$F$2:$F$10,"&gt;="&amp;C3143)</f>
        <v>1</v>
      </c>
      <c r="G3143">
        <v>0</v>
      </c>
      <c r="H3143">
        <v>0</v>
      </c>
      <c r="I3143" t="s">
        <v>15</v>
      </c>
      <c r="J3143" t="s">
        <v>15</v>
      </c>
      <c r="K3143">
        <v>0</v>
      </c>
      <c r="L3143">
        <v>0</v>
      </c>
    </row>
    <row r="3144" spans="1:12" x14ac:dyDescent="0.3">
      <c r="A3144" t="s">
        <v>3160</v>
      </c>
      <c r="B3144" t="s">
        <v>21</v>
      </c>
      <c r="C3144">
        <v>10597</v>
      </c>
      <c r="D3144">
        <v>31.79</v>
      </c>
      <c r="E3144">
        <v>5.72</v>
      </c>
      <c r="F3144">
        <f>COUNTIFS(mdr_rate_cleaned!$A$2:$A$10,B3144,mdr_rate_cleaned!$B$2:$B$10,"&lt;"&amp;C3144,mdr_rate_cleaned!$F$2:$F$10,"&gt;="&amp;C3144)</f>
        <v>1</v>
      </c>
      <c r="G3144">
        <v>3.0000000000000001E-3</v>
      </c>
      <c r="H3144">
        <v>31.79</v>
      </c>
      <c r="I3144" t="s">
        <v>15</v>
      </c>
      <c r="J3144" t="s">
        <v>15</v>
      </c>
      <c r="K3144">
        <v>5.72</v>
      </c>
      <c r="L3144">
        <v>0</v>
      </c>
    </row>
    <row r="3145" spans="1:12" x14ac:dyDescent="0.3">
      <c r="A3145" t="s">
        <v>3161</v>
      </c>
      <c r="B3145" t="s">
        <v>21</v>
      </c>
      <c r="C3145">
        <v>2999</v>
      </c>
      <c r="D3145">
        <v>9</v>
      </c>
      <c r="E3145">
        <v>1.62</v>
      </c>
      <c r="F3145">
        <f>COUNTIFS(mdr_rate_cleaned!$A$2:$A$10,B3145,mdr_rate_cleaned!$B$2:$B$10,"&lt;"&amp;C3145,mdr_rate_cleaned!$F$2:$F$10,"&gt;="&amp;C3145)</f>
        <v>1</v>
      </c>
      <c r="G3145">
        <v>3.0000000000000001E-3</v>
      </c>
      <c r="H3145">
        <v>9</v>
      </c>
      <c r="I3145" t="s">
        <v>15</v>
      </c>
      <c r="J3145" t="s">
        <v>15</v>
      </c>
      <c r="K3145">
        <v>1.62</v>
      </c>
      <c r="L3145">
        <v>0</v>
      </c>
    </row>
    <row r="3146" spans="1:12" x14ac:dyDescent="0.3">
      <c r="A3146" t="s">
        <v>3162</v>
      </c>
      <c r="B3146" t="s">
        <v>21</v>
      </c>
      <c r="C3146">
        <v>4999</v>
      </c>
      <c r="D3146">
        <v>15</v>
      </c>
      <c r="E3146">
        <v>2.7</v>
      </c>
      <c r="F3146">
        <f>COUNTIFS(mdr_rate_cleaned!$A$2:$A$10,B3146,mdr_rate_cleaned!$B$2:$B$10,"&lt;"&amp;C3146,mdr_rate_cleaned!$F$2:$F$10,"&gt;="&amp;C3146)</f>
        <v>1</v>
      </c>
      <c r="G3146">
        <v>3.0000000000000001E-3</v>
      </c>
      <c r="H3146">
        <v>15</v>
      </c>
      <c r="I3146" t="s">
        <v>15</v>
      </c>
      <c r="J3146" t="s">
        <v>15</v>
      </c>
      <c r="K3146">
        <v>2.7</v>
      </c>
      <c r="L3146">
        <v>0</v>
      </c>
    </row>
    <row r="3147" spans="1:12" x14ac:dyDescent="0.3">
      <c r="A3147" t="s">
        <v>3163</v>
      </c>
      <c r="B3147" t="s">
        <v>17</v>
      </c>
      <c r="C3147">
        <v>1799</v>
      </c>
      <c r="D3147">
        <v>32.380000000000003</v>
      </c>
      <c r="E3147">
        <v>5.83</v>
      </c>
      <c r="F3147">
        <f>COUNTIFS(mdr_rate_cleaned!$A$2:$A$10,B3147,mdr_rate_cleaned!$B$2:$B$10,"&lt;"&amp;C3147,mdr_rate_cleaned!$F$2:$F$10,"&gt;="&amp;C3147)</f>
        <v>1</v>
      </c>
      <c r="G3147">
        <v>1.7999999999999999E-2</v>
      </c>
      <c r="H3147">
        <v>32.380000000000003</v>
      </c>
      <c r="I3147" t="s">
        <v>15</v>
      </c>
      <c r="J3147" t="s">
        <v>15</v>
      </c>
      <c r="K3147">
        <v>5.83</v>
      </c>
      <c r="L3147">
        <v>0</v>
      </c>
    </row>
    <row r="3148" spans="1:12" x14ac:dyDescent="0.3">
      <c r="A3148" t="s">
        <v>3164</v>
      </c>
      <c r="B3148" t="s">
        <v>21</v>
      </c>
      <c r="C3148">
        <v>3798</v>
      </c>
      <c r="D3148">
        <v>11.39</v>
      </c>
      <c r="E3148">
        <v>2.0499999999999998</v>
      </c>
      <c r="F3148">
        <f>COUNTIFS(mdr_rate_cleaned!$A$2:$A$10,B3148,mdr_rate_cleaned!$B$2:$B$10,"&lt;"&amp;C3148,mdr_rate_cleaned!$F$2:$F$10,"&gt;="&amp;C3148)</f>
        <v>1</v>
      </c>
      <c r="G3148">
        <v>3.0000000000000001E-3</v>
      </c>
      <c r="H3148">
        <v>11.39</v>
      </c>
      <c r="I3148" t="s">
        <v>15</v>
      </c>
      <c r="J3148" t="s">
        <v>15</v>
      </c>
      <c r="K3148">
        <v>2.0499999999999998</v>
      </c>
      <c r="L3148">
        <v>0</v>
      </c>
    </row>
    <row r="3149" spans="1:12" x14ac:dyDescent="0.3">
      <c r="A3149" t="s">
        <v>3165</v>
      </c>
      <c r="B3149" t="s">
        <v>21</v>
      </c>
      <c r="C3149">
        <v>299</v>
      </c>
      <c r="D3149">
        <v>0</v>
      </c>
      <c r="E3149">
        <v>0</v>
      </c>
      <c r="F3149">
        <f>COUNTIFS(mdr_rate_cleaned!$A$2:$A$10,B3149,mdr_rate_cleaned!$B$2:$B$10,"&lt;"&amp;C3149,mdr_rate_cleaned!$F$2:$F$10,"&gt;="&amp;C3149)</f>
        <v>1</v>
      </c>
      <c r="G3149">
        <v>0</v>
      </c>
      <c r="H3149">
        <v>0</v>
      </c>
      <c r="I3149" t="s">
        <v>15</v>
      </c>
      <c r="J3149" t="s">
        <v>15</v>
      </c>
      <c r="K3149">
        <v>0</v>
      </c>
      <c r="L3149">
        <v>0</v>
      </c>
    </row>
    <row r="3150" spans="1:12" x14ac:dyDescent="0.3">
      <c r="A3150" t="s">
        <v>3166</v>
      </c>
      <c r="B3150" t="s">
        <v>17</v>
      </c>
      <c r="C3150">
        <v>5798</v>
      </c>
      <c r="D3150">
        <v>92.77</v>
      </c>
      <c r="E3150">
        <v>16.7</v>
      </c>
      <c r="F3150">
        <f>COUNTIFS(mdr_rate_cleaned!$A$2:$A$10,B3150,mdr_rate_cleaned!$B$2:$B$10,"&lt;"&amp;C3150,mdr_rate_cleaned!$F$2:$F$10,"&gt;="&amp;C3150)</f>
        <v>1</v>
      </c>
      <c r="G3150">
        <v>1.6E-2</v>
      </c>
      <c r="H3150">
        <v>92.77</v>
      </c>
      <c r="I3150" t="s">
        <v>15</v>
      </c>
      <c r="J3150" t="s">
        <v>15</v>
      </c>
      <c r="K3150">
        <v>16.7</v>
      </c>
      <c r="L3150">
        <v>0</v>
      </c>
    </row>
    <row r="3151" spans="1:12" x14ac:dyDescent="0.3">
      <c r="A3151" t="s">
        <v>3167</v>
      </c>
      <c r="B3151" t="s">
        <v>13</v>
      </c>
      <c r="C3151">
        <v>599</v>
      </c>
      <c r="D3151">
        <v>11.38</v>
      </c>
      <c r="E3151">
        <v>2.0499999999999998</v>
      </c>
      <c r="F3151">
        <f>COUNTIFS(mdr_rate_cleaned!$A$2:$A$10,B3151,mdr_rate_cleaned!$B$2:$B$10,"&lt;"&amp;C3151,mdr_rate_cleaned!$F$2:$F$10,"&gt;="&amp;C3151)</f>
        <v>1</v>
      </c>
      <c r="G3151">
        <v>1.9E-2</v>
      </c>
      <c r="H3151">
        <v>11.38</v>
      </c>
      <c r="I3151" t="s">
        <v>15</v>
      </c>
      <c r="J3151" t="s">
        <v>15</v>
      </c>
      <c r="K3151">
        <v>2.0499999999999998</v>
      </c>
      <c r="L3151">
        <v>0</v>
      </c>
    </row>
    <row r="3152" spans="1:12" x14ac:dyDescent="0.3">
      <c r="A3152" t="s">
        <v>3168</v>
      </c>
      <c r="B3152" t="s">
        <v>17</v>
      </c>
      <c r="C3152">
        <v>599</v>
      </c>
      <c r="D3152">
        <v>10.78</v>
      </c>
      <c r="E3152">
        <v>1.94</v>
      </c>
      <c r="F3152">
        <f>COUNTIFS(mdr_rate_cleaned!$A$2:$A$10,B3152,mdr_rate_cleaned!$B$2:$B$10,"&lt;"&amp;C3152,mdr_rate_cleaned!$F$2:$F$10,"&gt;="&amp;C3152)</f>
        <v>1</v>
      </c>
      <c r="G3152">
        <v>1.7999999999999999E-2</v>
      </c>
      <c r="H3152">
        <v>10.78</v>
      </c>
      <c r="I3152" t="s">
        <v>15</v>
      </c>
      <c r="J3152" t="s">
        <v>15</v>
      </c>
      <c r="K3152">
        <v>1.94</v>
      </c>
      <c r="L3152">
        <v>0</v>
      </c>
    </row>
    <row r="3153" spans="1:12" x14ac:dyDescent="0.3">
      <c r="A3153" t="s">
        <v>3169</v>
      </c>
      <c r="B3153" t="s">
        <v>39</v>
      </c>
      <c r="C3153">
        <v>3848</v>
      </c>
      <c r="D3153">
        <v>46.18</v>
      </c>
      <c r="E3153">
        <v>8.31</v>
      </c>
      <c r="F3153">
        <f>COUNTIFS(mdr_rate_cleaned!$A$2:$A$10,B3153,mdr_rate_cleaned!$B$2:$B$10,"&lt;"&amp;C3153,mdr_rate_cleaned!$F$2:$F$10,"&gt;="&amp;C3153)</f>
        <v>1</v>
      </c>
      <c r="G3153">
        <v>1.2E-2</v>
      </c>
      <c r="H3153">
        <v>46.18</v>
      </c>
      <c r="I3153" t="s">
        <v>15</v>
      </c>
      <c r="J3153" t="s">
        <v>15</v>
      </c>
      <c r="K3153">
        <v>8.31</v>
      </c>
      <c r="L3153">
        <v>0</v>
      </c>
    </row>
    <row r="3154" spans="1:12" x14ac:dyDescent="0.3">
      <c r="A3154" t="s">
        <v>3170</v>
      </c>
      <c r="B3154" t="s">
        <v>21</v>
      </c>
      <c r="C3154">
        <v>6498</v>
      </c>
      <c r="D3154">
        <v>19.489999999999998</v>
      </c>
      <c r="E3154">
        <v>3.51</v>
      </c>
      <c r="F3154">
        <f>COUNTIFS(mdr_rate_cleaned!$A$2:$A$10,B3154,mdr_rate_cleaned!$B$2:$B$10,"&lt;"&amp;C3154,mdr_rate_cleaned!$F$2:$F$10,"&gt;="&amp;C3154)</f>
        <v>1</v>
      </c>
      <c r="G3154">
        <v>3.0000000000000001E-3</v>
      </c>
      <c r="H3154">
        <v>19.489999999999998</v>
      </c>
      <c r="I3154" t="s">
        <v>15</v>
      </c>
      <c r="J3154" t="s">
        <v>15</v>
      </c>
      <c r="K3154">
        <v>3.51</v>
      </c>
      <c r="L3154">
        <v>0</v>
      </c>
    </row>
    <row r="3155" spans="1:12" x14ac:dyDescent="0.3">
      <c r="A3155" t="s">
        <v>3171</v>
      </c>
      <c r="B3155" t="s">
        <v>17</v>
      </c>
      <c r="C3155">
        <v>4999</v>
      </c>
      <c r="D3155">
        <v>79.98</v>
      </c>
      <c r="E3155">
        <v>14.4</v>
      </c>
      <c r="F3155">
        <f>COUNTIFS(mdr_rate_cleaned!$A$2:$A$10,B3155,mdr_rate_cleaned!$B$2:$B$10,"&lt;"&amp;C3155,mdr_rate_cleaned!$F$2:$F$10,"&gt;="&amp;C3155)</f>
        <v>1</v>
      </c>
      <c r="G3155">
        <v>1.6E-2</v>
      </c>
      <c r="H3155">
        <v>79.98</v>
      </c>
      <c r="I3155" t="s">
        <v>15</v>
      </c>
      <c r="J3155" t="s">
        <v>15</v>
      </c>
      <c r="K3155">
        <v>14.4</v>
      </c>
      <c r="L3155">
        <v>0</v>
      </c>
    </row>
    <row r="3156" spans="1:12" x14ac:dyDescent="0.3">
      <c r="A3156" t="s">
        <v>3172</v>
      </c>
      <c r="B3156" t="s">
        <v>21</v>
      </c>
      <c r="C3156">
        <v>1799</v>
      </c>
      <c r="D3156">
        <v>0</v>
      </c>
      <c r="E3156">
        <v>0</v>
      </c>
      <c r="F3156">
        <f>COUNTIFS(mdr_rate_cleaned!$A$2:$A$10,B3156,mdr_rate_cleaned!$B$2:$B$10,"&lt;"&amp;C3156,mdr_rate_cleaned!$F$2:$F$10,"&gt;="&amp;C3156)</f>
        <v>1</v>
      </c>
      <c r="G3156">
        <v>0</v>
      </c>
      <c r="H3156">
        <v>0</v>
      </c>
      <c r="I3156" t="s">
        <v>15</v>
      </c>
      <c r="J3156" t="s">
        <v>15</v>
      </c>
      <c r="K3156">
        <v>0</v>
      </c>
      <c r="L3156">
        <v>0</v>
      </c>
    </row>
    <row r="3157" spans="1:12" x14ac:dyDescent="0.3">
      <c r="A3157" t="s">
        <v>3173</v>
      </c>
      <c r="B3157" t="s">
        <v>21</v>
      </c>
      <c r="C3157">
        <v>6147</v>
      </c>
      <c r="D3157">
        <v>18.440000000000001</v>
      </c>
      <c r="E3157">
        <v>3.32</v>
      </c>
      <c r="F3157">
        <f>COUNTIFS(mdr_rate_cleaned!$A$2:$A$10,B3157,mdr_rate_cleaned!$B$2:$B$10,"&lt;"&amp;C3157,mdr_rate_cleaned!$F$2:$F$10,"&gt;="&amp;C3157)</f>
        <v>1</v>
      </c>
      <c r="G3157">
        <v>3.0000000000000001E-3</v>
      </c>
      <c r="H3157">
        <v>18.440000000000001</v>
      </c>
      <c r="I3157" t="s">
        <v>15</v>
      </c>
      <c r="J3157" t="s">
        <v>15</v>
      </c>
      <c r="K3157">
        <v>3.32</v>
      </c>
      <c r="L3157">
        <v>0</v>
      </c>
    </row>
    <row r="3158" spans="1:12" x14ac:dyDescent="0.3">
      <c r="A3158" t="s">
        <v>3174</v>
      </c>
      <c r="B3158" t="s">
        <v>21</v>
      </c>
      <c r="C3158">
        <v>2999</v>
      </c>
      <c r="D3158">
        <v>9</v>
      </c>
      <c r="E3158">
        <v>1.62</v>
      </c>
      <c r="F3158">
        <f>COUNTIFS(mdr_rate_cleaned!$A$2:$A$10,B3158,mdr_rate_cleaned!$B$2:$B$10,"&lt;"&amp;C3158,mdr_rate_cleaned!$F$2:$F$10,"&gt;="&amp;C3158)</f>
        <v>1</v>
      </c>
      <c r="G3158">
        <v>3.0000000000000001E-3</v>
      </c>
      <c r="H3158">
        <v>9</v>
      </c>
      <c r="I3158" t="s">
        <v>15</v>
      </c>
      <c r="J3158" t="s">
        <v>15</v>
      </c>
      <c r="K3158">
        <v>1.62</v>
      </c>
      <c r="L3158">
        <v>0</v>
      </c>
    </row>
    <row r="3159" spans="1:12" x14ac:dyDescent="0.3">
      <c r="A3159" t="s">
        <v>3175</v>
      </c>
      <c r="B3159" t="s">
        <v>17</v>
      </c>
      <c r="C3159">
        <v>2098</v>
      </c>
      <c r="D3159">
        <v>33.57</v>
      </c>
      <c r="E3159">
        <v>6.04</v>
      </c>
      <c r="F3159">
        <f>COUNTIFS(mdr_rate_cleaned!$A$2:$A$10,B3159,mdr_rate_cleaned!$B$2:$B$10,"&lt;"&amp;C3159,mdr_rate_cleaned!$F$2:$F$10,"&gt;="&amp;C3159)</f>
        <v>1</v>
      </c>
      <c r="G3159">
        <v>1.6E-2</v>
      </c>
      <c r="H3159">
        <v>33.57</v>
      </c>
      <c r="I3159" t="s">
        <v>15</v>
      </c>
      <c r="J3159" t="s">
        <v>15</v>
      </c>
      <c r="K3159">
        <v>6.04</v>
      </c>
      <c r="L3159">
        <v>0</v>
      </c>
    </row>
    <row r="3160" spans="1:12" x14ac:dyDescent="0.3">
      <c r="A3160" t="s">
        <v>3176</v>
      </c>
      <c r="B3160" t="s">
        <v>17</v>
      </c>
      <c r="C3160">
        <v>698</v>
      </c>
      <c r="D3160">
        <v>12.56</v>
      </c>
      <c r="E3160">
        <v>2.2599999999999998</v>
      </c>
      <c r="F3160">
        <f>COUNTIFS(mdr_rate_cleaned!$A$2:$A$10,B3160,mdr_rate_cleaned!$B$2:$B$10,"&lt;"&amp;C3160,mdr_rate_cleaned!$F$2:$F$10,"&gt;="&amp;C3160)</f>
        <v>1</v>
      </c>
      <c r="G3160">
        <v>1.7999999999999999E-2</v>
      </c>
      <c r="H3160">
        <v>12.56</v>
      </c>
      <c r="I3160" t="s">
        <v>15</v>
      </c>
      <c r="J3160" t="s">
        <v>15</v>
      </c>
      <c r="K3160">
        <v>2.2599999999999998</v>
      </c>
      <c r="L3160">
        <v>0</v>
      </c>
    </row>
    <row r="3161" spans="1:12" x14ac:dyDescent="0.3">
      <c r="A3161" t="s">
        <v>3177</v>
      </c>
      <c r="B3161" t="s">
        <v>21</v>
      </c>
      <c r="C3161">
        <v>999</v>
      </c>
      <c r="D3161">
        <v>0</v>
      </c>
      <c r="E3161">
        <v>0</v>
      </c>
      <c r="F3161">
        <f>COUNTIFS(mdr_rate_cleaned!$A$2:$A$10,B3161,mdr_rate_cleaned!$B$2:$B$10,"&lt;"&amp;C3161,mdr_rate_cleaned!$F$2:$F$10,"&gt;="&amp;C3161)</f>
        <v>1</v>
      </c>
      <c r="G3161">
        <v>0</v>
      </c>
      <c r="H3161">
        <v>0</v>
      </c>
      <c r="I3161" t="s">
        <v>15</v>
      </c>
      <c r="J3161" t="s">
        <v>15</v>
      </c>
      <c r="K3161">
        <v>0</v>
      </c>
      <c r="L3161">
        <v>0</v>
      </c>
    </row>
    <row r="3162" spans="1:12" x14ac:dyDescent="0.3">
      <c r="A3162" t="s">
        <v>3178</v>
      </c>
      <c r="B3162" t="s">
        <v>21</v>
      </c>
      <c r="C3162">
        <v>7999</v>
      </c>
      <c r="D3162">
        <v>24</v>
      </c>
      <c r="E3162">
        <v>4.32</v>
      </c>
      <c r="F3162">
        <f>COUNTIFS(mdr_rate_cleaned!$A$2:$A$10,B3162,mdr_rate_cleaned!$B$2:$B$10,"&lt;"&amp;C3162,mdr_rate_cleaned!$F$2:$F$10,"&gt;="&amp;C3162)</f>
        <v>1</v>
      </c>
      <c r="G3162">
        <v>3.0000000000000001E-3</v>
      </c>
      <c r="H3162">
        <v>24</v>
      </c>
      <c r="I3162" t="s">
        <v>15</v>
      </c>
      <c r="J3162" t="s">
        <v>15</v>
      </c>
      <c r="K3162">
        <v>4.32</v>
      </c>
      <c r="L3162">
        <v>0</v>
      </c>
    </row>
    <row r="3163" spans="1:12" x14ac:dyDescent="0.3">
      <c r="A3163" t="s">
        <v>3179</v>
      </c>
      <c r="B3163" t="s">
        <v>21</v>
      </c>
      <c r="C3163">
        <v>1648</v>
      </c>
      <c r="D3163">
        <v>0</v>
      </c>
      <c r="E3163">
        <v>0</v>
      </c>
      <c r="F3163">
        <f>COUNTIFS(mdr_rate_cleaned!$A$2:$A$10,B3163,mdr_rate_cleaned!$B$2:$B$10,"&lt;"&amp;C3163,mdr_rate_cleaned!$F$2:$F$10,"&gt;="&amp;C3163)</f>
        <v>1</v>
      </c>
      <c r="G3163">
        <v>0</v>
      </c>
      <c r="H3163">
        <v>0</v>
      </c>
      <c r="I3163" t="s">
        <v>15</v>
      </c>
      <c r="J3163" t="s">
        <v>15</v>
      </c>
      <c r="K3163">
        <v>0</v>
      </c>
      <c r="L3163">
        <v>0</v>
      </c>
    </row>
    <row r="3164" spans="1:12" x14ac:dyDescent="0.3">
      <c r="A3164" t="s">
        <v>3180</v>
      </c>
      <c r="B3164" t="s">
        <v>13</v>
      </c>
      <c r="C3164">
        <v>4999</v>
      </c>
      <c r="D3164">
        <v>84.98</v>
      </c>
      <c r="E3164">
        <v>15.3</v>
      </c>
      <c r="F3164">
        <f>COUNTIFS(mdr_rate_cleaned!$A$2:$A$10,B3164,mdr_rate_cleaned!$B$2:$B$10,"&lt;"&amp;C3164,mdr_rate_cleaned!$F$2:$F$10,"&gt;="&amp;C3164)</f>
        <v>1</v>
      </c>
      <c r="G3164">
        <v>1.7000000000000001E-2</v>
      </c>
      <c r="H3164">
        <v>84.98</v>
      </c>
      <c r="I3164" t="s">
        <v>15</v>
      </c>
      <c r="J3164" t="s">
        <v>15</v>
      </c>
      <c r="K3164">
        <v>15.3</v>
      </c>
      <c r="L3164">
        <v>0</v>
      </c>
    </row>
    <row r="3165" spans="1:12" x14ac:dyDescent="0.3">
      <c r="A3165" t="s">
        <v>3181</v>
      </c>
      <c r="B3165" t="s">
        <v>17</v>
      </c>
      <c r="C3165">
        <v>4999</v>
      </c>
      <c r="D3165">
        <v>79.98</v>
      </c>
      <c r="E3165">
        <v>14.4</v>
      </c>
      <c r="F3165">
        <f>COUNTIFS(mdr_rate_cleaned!$A$2:$A$10,B3165,mdr_rate_cleaned!$B$2:$B$10,"&lt;"&amp;C3165,mdr_rate_cleaned!$F$2:$F$10,"&gt;="&amp;C3165)</f>
        <v>1</v>
      </c>
      <c r="G3165">
        <v>1.6E-2</v>
      </c>
      <c r="H3165">
        <v>79.98</v>
      </c>
      <c r="I3165" t="s">
        <v>15</v>
      </c>
      <c r="J3165" t="s">
        <v>15</v>
      </c>
      <c r="K3165">
        <v>14.4</v>
      </c>
      <c r="L3165">
        <v>0</v>
      </c>
    </row>
    <row r="3166" spans="1:12" x14ac:dyDescent="0.3">
      <c r="A3166" t="s">
        <v>3182</v>
      </c>
      <c r="B3166" t="s">
        <v>21</v>
      </c>
      <c r="C3166">
        <v>799</v>
      </c>
      <c r="D3166">
        <v>0</v>
      </c>
      <c r="E3166">
        <v>0</v>
      </c>
      <c r="F3166">
        <f>COUNTIFS(mdr_rate_cleaned!$A$2:$A$10,B3166,mdr_rate_cleaned!$B$2:$B$10,"&lt;"&amp;C3166,mdr_rate_cleaned!$F$2:$F$10,"&gt;="&amp;C3166)</f>
        <v>1</v>
      </c>
      <c r="G3166">
        <v>0</v>
      </c>
      <c r="H3166">
        <v>0</v>
      </c>
      <c r="I3166" t="s">
        <v>15</v>
      </c>
      <c r="J3166" t="s">
        <v>15</v>
      </c>
      <c r="K3166">
        <v>0</v>
      </c>
      <c r="L3166">
        <v>0</v>
      </c>
    </row>
    <row r="3167" spans="1:12" x14ac:dyDescent="0.3">
      <c r="A3167" t="s">
        <v>3183</v>
      </c>
      <c r="B3167" t="s">
        <v>21</v>
      </c>
      <c r="C3167">
        <v>2499</v>
      </c>
      <c r="D3167">
        <v>7.5</v>
      </c>
      <c r="E3167">
        <v>1.35</v>
      </c>
      <c r="F3167">
        <f>COUNTIFS(mdr_rate_cleaned!$A$2:$A$10,B3167,mdr_rate_cleaned!$B$2:$B$10,"&lt;"&amp;C3167,mdr_rate_cleaned!$F$2:$F$10,"&gt;="&amp;C3167)</f>
        <v>1</v>
      </c>
      <c r="G3167">
        <v>3.0000000000000001E-3</v>
      </c>
      <c r="H3167">
        <v>7.5</v>
      </c>
      <c r="I3167" t="s">
        <v>15</v>
      </c>
      <c r="J3167" t="s">
        <v>15</v>
      </c>
      <c r="K3167">
        <v>1.35</v>
      </c>
      <c r="L3167">
        <v>0</v>
      </c>
    </row>
    <row r="3168" spans="1:12" x14ac:dyDescent="0.3">
      <c r="A3168" t="s">
        <v>3184</v>
      </c>
      <c r="B3168" t="s">
        <v>39</v>
      </c>
      <c r="C3168">
        <v>2999</v>
      </c>
      <c r="D3168">
        <v>35.99</v>
      </c>
      <c r="E3168">
        <v>6.48</v>
      </c>
      <c r="F3168">
        <f>COUNTIFS(mdr_rate_cleaned!$A$2:$A$10,B3168,mdr_rate_cleaned!$B$2:$B$10,"&lt;"&amp;C3168,mdr_rate_cleaned!$F$2:$F$10,"&gt;="&amp;C3168)</f>
        <v>1</v>
      </c>
      <c r="G3168">
        <v>1.2E-2</v>
      </c>
      <c r="H3168">
        <v>35.99</v>
      </c>
      <c r="I3168" t="s">
        <v>15</v>
      </c>
      <c r="J3168" t="s">
        <v>15</v>
      </c>
      <c r="K3168">
        <v>6.48</v>
      </c>
      <c r="L3168">
        <v>0</v>
      </c>
    </row>
    <row r="3169" spans="1:12" x14ac:dyDescent="0.3">
      <c r="A3169" t="s">
        <v>3185</v>
      </c>
      <c r="B3169" t="s">
        <v>21</v>
      </c>
      <c r="C3169">
        <v>1299</v>
      </c>
      <c r="D3169">
        <v>0</v>
      </c>
      <c r="E3169">
        <v>0</v>
      </c>
      <c r="F3169">
        <f>COUNTIFS(mdr_rate_cleaned!$A$2:$A$10,B3169,mdr_rate_cleaned!$B$2:$B$10,"&lt;"&amp;C3169,mdr_rate_cleaned!$F$2:$F$10,"&gt;="&amp;C3169)</f>
        <v>1</v>
      </c>
      <c r="G3169">
        <v>0</v>
      </c>
      <c r="H3169">
        <v>0</v>
      </c>
      <c r="I3169" t="s">
        <v>15</v>
      </c>
      <c r="J3169" t="s">
        <v>15</v>
      </c>
      <c r="K3169">
        <v>0</v>
      </c>
      <c r="L3169">
        <v>0</v>
      </c>
    </row>
    <row r="3170" spans="1:12" x14ac:dyDescent="0.3">
      <c r="A3170" t="s">
        <v>3186</v>
      </c>
      <c r="B3170" t="s">
        <v>21</v>
      </c>
      <c r="C3170">
        <v>1799</v>
      </c>
      <c r="D3170">
        <v>0</v>
      </c>
      <c r="E3170">
        <v>0</v>
      </c>
      <c r="F3170">
        <f>COUNTIFS(mdr_rate_cleaned!$A$2:$A$10,B3170,mdr_rate_cleaned!$B$2:$B$10,"&lt;"&amp;C3170,mdr_rate_cleaned!$F$2:$F$10,"&gt;="&amp;C3170)</f>
        <v>1</v>
      </c>
      <c r="G3170">
        <v>0</v>
      </c>
      <c r="H3170">
        <v>0</v>
      </c>
      <c r="I3170" t="s">
        <v>15</v>
      </c>
      <c r="J3170" t="s">
        <v>15</v>
      </c>
      <c r="K3170">
        <v>0</v>
      </c>
      <c r="L3170">
        <v>0</v>
      </c>
    </row>
    <row r="3171" spans="1:12" x14ac:dyDescent="0.3">
      <c r="A3171" t="s">
        <v>3187</v>
      </c>
      <c r="B3171" t="s">
        <v>21</v>
      </c>
      <c r="C3171">
        <v>1499</v>
      </c>
      <c r="D3171">
        <v>0</v>
      </c>
      <c r="E3171">
        <v>0</v>
      </c>
      <c r="F3171">
        <f>COUNTIFS(mdr_rate_cleaned!$A$2:$A$10,B3171,mdr_rate_cleaned!$B$2:$B$10,"&lt;"&amp;C3171,mdr_rate_cleaned!$F$2:$F$10,"&gt;="&amp;C3171)</f>
        <v>1</v>
      </c>
      <c r="G3171">
        <v>0</v>
      </c>
      <c r="H3171">
        <v>0</v>
      </c>
      <c r="I3171" t="s">
        <v>15</v>
      </c>
      <c r="J3171" t="s">
        <v>15</v>
      </c>
      <c r="K3171">
        <v>0</v>
      </c>
      <c r="L3171">
        <v>0</v>
      </c>
    </row>
    <row r="3172" spans="1:12" x14ac:dyDescent="0.3">
      <c r="A3172" t="s">
        <v>3188</v>
      </c>
      <c r="B3172" t="s">
        <v>13</v>
      </c>
      <c r="C3172">
        <v>2298</v>
      </c>
      <c r="D3172">
        <v>39.07</v>
      </c>
      <c r="E3172">
        <v>7.03</v>
      </c>
      <c r="F3172">
        <f>COUNTIFS(mdr_rate_cleaned!$A$2:$A$10,B3172,mdr_rate_cleaned!$B$2:$B$10,"&lt;"&amp;C3172,mdr_rate_cleaned!$F$2:$F$10,"&gt;="&amp;C3172)</f>
        <v>1</v>
      </c>
      <c r="G3172">
        <v>1.7000000000000001E-2</v>
      </c>
      <c r="H3172">
        <v>39.07</v>
      </c>
      <c r="I3172" t="s">
        <v>15</v>
      </c>
      <c r="J3172" t="s">
        <v>15</v>
      </c>
      <c r="K3172">
        <v>7.03</v>
      </c>
      <c r="L3172">
        <v>0</v>
      </c>
    </row>
    <row r="3173" spans="1:12" x14ac:dyDescent="0.3">
      <c r="A3173" t="s">
        <v>3189</v>
      </c>
      <c r="B3173" t="s">
        <v>39</v>
      </c>
      <c r="C3173">
        <v>4098</v>
      </c>
      <c r="D3173">
        <v>49.18</v>
      </c>
      <c r="E3173">
        <v>8.85</v>
      </c>
      <c r="F3173">
        <f>COUNTIFS(mdr_rate_cleaned!$A$2:$A$10,B3173,mdr_rate_cleaned!$B$2:$B$10,"&lt;"&amp;C3173,mdr_rate_cleaned!$F$2:$F$10,"&gt;="&amp;C3173)</f>
        <v>1</v>
      </c>
      <c r="G3173">
        <v>1.2E-2</v>
      </c>
      <c r="H3173">
        <v>49.18</v>
      </c>
      <c r="I3173" t="s">
        <v>15</v>
      </c>
      <c r="J3173" t="s">
        <v>15</v>
      </c>
      <c r="K3173">
        <v>8.85</v>
      </c>
      <c r="L3173">
        <v>0</v>
      </c>
    </row>
    <row r="3174" spans="1:12" x14ac:dyDescent="0.3">
      <c r="A3174" t="s">
        <v>3190</v>
      </c>
      <c r="B3174" t="s">
        <v>21</v>
      </c>
      <c r="C3174">
        <v>2499</v>
      </c>
      <c r="D3174">
        <v>7.5</v>
      </c>
      <c r="E3174">
        <v>1.35</v>
      </c>
      <c r="F3174">
        <f>COUNTIFS(mdr_rate_cleaned!$A$2:$A$10,B3174,mdr_rate_cleaned!$B$2:$B$10,"&lt;"&amp;C3174,mdr_rate_cleaned!$F$2:$F$10,"&gt;="&amp;C3174)</f>
        <v>1</v>
      </c>
      <c r="G3174">
        <v>3.0000000000000001E-3</v>
      </c>
      <c r="H3174">
        <v>7.5</v>
      </c>
      <c r="I3174" t="s">
        <v>15</v>
      </c>
      <c r="J3174" t="s">
        <v>15</v>
      </c>
      <c r="K3174">
        <v>1.35</v>
      </c>
      <c r="L3174">
        <v>0</v>
      </c>
    </row>
    <row r="3175" spans="1:12" x14ac:dyDescent="0.3">
      <c r="A3175" t="s">
        <v>3191</v>
      </c>
      <c r="B3175" t="s">
        <v>21</v>
      </c>
      <c r="C3175">
        <v>3798</v>
      </c>
      <c r="D3175">
        <v>11.39</v>
      </c>
      <c r="E3175">
        <v>2.0499999999999998</v>
      </c>
      <c r="F3175">
        <f>COUNTIFS(mdr_rate_cleaned!$A$2:$A$10,B3175,mdr_rate_cleaned!$B$2:$B$10,"&lt;"&amp;C3175,mdr_rate_cleaned!$F$2:$F$10,"&gt;="&amp;C3175)</f>
        <v>1</v>
      </c>
      <c r="G3175">
        <v>3.0000000000000001E-3</v>
      </c>
      <c r="H3175">
        <v>11.39</v>
      </c>
      <c r="I3175" t="s">
        <v>15</v>
      </c>
      <c r="J3175" t="s">
        <v>15</v>
      </c>
      <c r="K3175">
        <v>2.0499999999999998</v>
      </c>
      <c r="L3175">
        <v>0</v>
      </c>
    </row>
    <row r="3176" spans="1:12" x14ac:dyDescent="0.3">
      <c r="A3176" t="s">
        <v>3192</v>
      </c>
      <c r="B3176" t="s">
        <v>17</v>
      </c>
      <c r="C3176">
        <v>2098</v>
      </c>
      <c r="D3176">
        <v>33.57</v>
      </c>
      <c r="E3176">
        <v>6.04</v>
      </c>
      <c r="F3176">
        <f>COUNTIFS(mdr_rate_cleaned!$A$2:$A$10,B3176,mdr_rate_cleaned!$B$2:$B$10,"&lt;"&amp;C3176,mdr_rate_cleaned!$F$2:$F$10,"&gt;="&amp;C3176)</f>
        <v>1</v>
      </c>
      <c r="G3176">
        <v>1.6E-2</v>
      </c>
      <c r="H3176">
        <v>33.57</v>
      </c>
      <c r="I3176" t="s">
        <v>15</v>
      </c>
      <c r="J3176" t="s">
        <v>15</v>
      </c>
      <c r="K3176">
        <v>6.04</v>
      </c>
      <c r="L3176">
        <v>0</v>
      </c>
    </row>
    <row r="3177" spans="1:12" x14ac:dyDescent="0.3">
      <c r="A3177" t="s">
        <v>3193</v>
      </c>
      <c r="B3177" t="s">
        <v>17</v>
      </c>
      <c r="C3177">
        <v>8598</v>
      </c>
      <c r="D3177">
        <v>137.57</v>
      </c>
      <c r="E3177">
        <v>24.76</v>
      </c>
      <c r="F3177">
        <f>COUNTIFS(mdr_rate_cleaned!$A$2:$A$10,B3177,mdr_rate_cleaned!$B$2:$B$10,"&lt;"&amp;C3177,mdr_rate_cleaned!$F$2:$F$10,"&gt;="&amp;C3177)</f>
        <v>1</v>
      </c>
      <c r="G3177">
        <v>1.6E-2</v>
      </c>
      <c r="H3177">
        <v>137.57</v>
      </c>
      <c r="I3177" t="s">
        <v>15</v>
      </c>
      <c r="J3177" t="s">
        <v>15</v>
      </c>
      <c r="K3177">
        <v>24.76</v>
      </c>
      <c r="L3177">
        <v>0</v>
      </c>
    </row>
    <row r="3178" spans="1:12" x14ac:dyDescent="0.3">
      <c r="A3178" t="s">
        <v>3194</v>
      </c>
      <c r="B3178" t="s">
        <v>17</v>
      </c>
      <c r="C3178">
        <v>1197</v>
      </c>
      <c r="D3178">
        <v>21.55</v>
      </c>
      <c r="E3178">
        <v>3.88</v>
      </c>
      <c r="F3178">
        <f>COUNTIFS(mdr_rate_cleaned!$A$2:$A$10,B3178,mdr_rate_cleaned!$B$2:$B$10,"&lt;"&amp;C3178,mdr_rate_cleaned!$F$2:$F$10,"&gt;="&amp;C3178)</f>
        <v>1</v>
      </c>
      <c r="G3178">
        <v>1.7999999999999999E-2</v>
      </c>
      <c r="H3178">
        <v>21.55</v>
      </c>
      <c r="I3178" t="s">
        <v>15</v>
      </c>
      <c r="J3178" t="s">
        <v>15</v>
      </c>
      <c r="K3178">
        <v>3.88</v>
      </c>
      <c r="L3178">
        <v>0</v>
      </c>
    </row>
    <row r="3179" spans="1:12" x14ac:dyDescent="0.3">
      <c r="A3179" t="s">
        <v>3195</v>
      </c>
      <c r="B3179" t="s">
        <v>21</v>
      </c>
      <c r="C3179">
        <v>4197</v>
      </c>
      <c r="D3179">
        <v>12.59</v>
      </c>
      <c r="E3179">
        <v>2.27</v>
      </c>
      <c r="F3179">
        <f>COUNTIFS(mdr_rate_cleaned!$A$2:$A$10,B3179,mdr_rate_cleaned!$B$2:$B$10,"&lt;"&amp;C3179,mdr_rate_cleaned!$F$2:$F$10,"&gt;="&amp;C3179)</f>
        <v>1</v>
      </c>
      <c r="G3179">
        <v>3.0000000000000001E-3</v>
      </c>
      <c r="H3179">
        <v>12.59</v>
      </c>
      <c r="I3179" t="s">
        <v>15</v>
      </c>
      <c r="J3179" t="s">
        <v>15</v>
      </c>
      <c r="K3179">
        <v>2.27</v>
      </c>
      <c r="L3179">
        <v>0</v>
      </c>
    </row>
    <row r="3180" spans="1:12" x14ac:dyDescent="0.3">
      <c r="A3180" t="s">
        <v>3196</v>
      </c>
      <c r="B3180" t="s">
        <v>39</v>
      </c>
      <c r="C3180">
        <v>3998</v>
      </c>
      <c r="D3180">
        <v>47.98</v>
      </c>
      <c r="E3180">
        <v>8.64</v>
      </c>
      <c r="F3180">
        <f>COUNTIFS(mdr_rate_cleaned!$A$2:$A$10,B3180,mdr_rate_cleaned!$B$2:$B$10,"&lt;"&amp;C3180,mdr_rate_cleaned!$F$2:$F$10,"&gt;="&amp;C3180)</f>
        <v>1</v>
      </c>
      <c r="G3180">
        <v>1.2E-2</v>
      </c>
      <c r="H3180">
        <v>47.98</v>
      </c>
      <c r="I3180" t="s">
        <v>15</v>
      </c>
      <c r="J3180" t="s">
        <v>15</v>
      </c>
      <c r="K3180">
        <v>8.64</v>
      </c>
      <c r="L3180">
        <v>0</v>
      </c>
    </row>
    <row r="3181" spans="1:12" x14ac:dyDescent="0.3">
      <c r="A3181" t="s">
        <v>3197</v>
      </c>
      <c r="B3181" t="s">
        <v>21</v>
      </c>
      <c r="C3181">
        <v>4797</v>
      </c>
      <c r="D3181">
        <v>14.39</v>
      </c>
      <c r="E3181">
        <v>2.59</v>
      </c>
      <c r="F3181">
        <f>COUNTIFS(mdr_rate_cleaned!$A$2:$A$10,B3181,mdr_rate_cleaned!$B$2:$B$10,"&lt;"&amp;C3181,mdr_rate_cleaned!$F$2:$F$10,"&gt;="&amp;C3181)</f>
        <v>1</v>
      </c>
      <c r="G3181">
        <v>3.0000000000000001E-3</v>
      </c>
      <c r="H3181">
        <v>14.39</v>
      </c>
      <c r="I3181" t="s">
        <v>15</v>
      </c>
      <c r="J3181" t="s">
        <v>15</v>
      </c>
      <c r="K3181">
        <v>2.59</v>
      </c>
      <c r="L3181">
        <v>0</v>
      </c>
    </row>
    <row r="3182" spans="1:12" x14ac:dyDescent="0.3">
      <c r="A3182" t="s">
        <v>3198</v>
      </c>
      <c r="B3182" t="s">
        <v>21</v>
      </c>
      <c r="C3182">
        <v>3098</v>
      </c>
      <c r="D3182">
        <v>9.2899999999999991</v>
      </c>
      <c r="E3182">
        <v>1.67</v>
      </c>
      <c r="F3182">
        <f>COUNTIFS(mdr_rate_cleaned!$A$2:$A$10,B3182,mdr_rate_cleaned!$B$2:$B$10,"&lt;"&amp;C3182,mdr_rate_cleaned!$F$2:$F$10,"&gt;="&amp;C3182)</f>
        <v>1</v>
      </c>
      <c r="G3182">
        <v>3.0000000000000001E-3</v>
      </c>
      <c r="H3182">
        <v>9.2899999999999991</v>
      </c>
      <c r="I3182" t="s">
        <v>15</v>
      </c>
      <c r="J3182" t="s">
        <v>15</v>
      </c>
      <c r="K3182">
        <v>1.67</v>
      </c>
      <c r="L3182">
        <v>0</v>
      </c>
    </row>
    <row r="3183" spans="1:12" x14ac:dyDescent="0.3">
      <c r="A3183" t="s">
        <v>3199</v>
      </c>
      <c r="B3183" t="s">
        <v>21</v>
      </c>
      <c r="C3183">
        <v>2499</v>
      </c>
      <c r="D3183">
        <v>7.5</v>
      </c>
      <c r="E3183">
        <v>1.35</v>
      </c>
      <c r="F3183">
        <f>COUNTIFS(mdr_rate_cleaned!$A$2:$A$10,B3183,mdr_rate_cleaned!$B$2:$B$10,"&lt;"&amp;C3183,mdr_rate_cleaned!$F$2:$F$10,"&gt;="&amp;C3183)</f>
        <v>1</v>
      </c>
      <c r="G3183">
        <v>3.0000000000000001E-3</v>
      </c>
      <c r="H3183">
        <v>7.5</v>
      </c>
      <c r="I3183" t="s">
        <v>15</v>
      </c>
      <c r="J3183" t="s">
        <v>15</v>
      </c>
      <c r="K3183">
        <v>1.35</v>
      </c>
      <c r="L3183">
        <v>0</v>
      </c>
    </row>
    <row r="3184" spans="1:12" x14ac:dyDescent="0.3">
      <c r="A3184" t="s">
        <v>3200</v>
      </c>
      <c r="B3184" t="s">
        <v>21</v>
      </c>
      <c r="C3184">
        <v>299</v>
      </c>
      <c r="D3184">
        <v>0</v>
      </c>
      <c r="E3184">
        <v>0</v>
      </c>
      <c r="F3184">
        <f>COUNTIFS(mdr_rate_cleaned!$A$2:$A$10,B3184,mdr_rate_cleaned!$B$2:$B$10,"&lt;"&amp;C3184,mdr_rate_cleaned!$F$2:$F$10,"&gt;="&amp;C3184)</f>
        <v>1</v>
      </c>
      <c r="G3184">
        <v>0</v>
      </c>
      <c r="H3184">
        <v>0</v>
      </c>
      <c r="I3184" t="s">
        <v>15</v>
      </c>
      <c r="J3184" t="s">
        <v>15</v>
      </c>
      <c r="K3184">
        <v>0</v>
      </c>
      <c r="L3184">
        <v>0</v>
      </c>
    </row>
    <row r="3185" spans="1:12" x14ac:dyDescent="0.3">
      <c r="A3185" t="s">
        <v>3201</v>
      </c>
      <c r="B3185" t="s">
        <v>17</v>
      </c>
      <c r="C3185">
        <v>349</v>
      </c>
      <c r="D3185">
        <v>6.28</v>
      </c>
      <c r="E3185">
        <v>1.1299999999999999</v>
      </c>
      <c r="F3185">
        <f>COUNTIFS(mdr_rate_cleaned!$A$2:$A$10,B3185,mdr_rate_cleaned!$B$2:$B$10,"&lt;"&amp;C3185,mdr_rate_cleaned!$F$2:$F$10,"&gt;="&amp;C3185)</f>
        <v>1</v>
      </c>
      <c r="G3185">
        <v>1.7999999999999999E-2</v>
      </c>
      <c r="H3185">
        <v>6.28</v>
      </c>
      <c r="I3185" t="s">
        <v>15</v>
      </c>
      <c r="J3185" t="s">
        <v>15</v>
      </c>
      <c r="K3185">
        <v>1.1299999999999999</v>
      </c>
      <c r="L3185">
        <v>0</v>
      </c>
    </row>
    <row r="3186" spans="1:12" x14ac:dyDescent="0.3">
      <c r="A3186" t="s">
        <v>3202</v>
      </c>
      <c r="B3186" t="s">
        <v>21</v>
      </c>
      <c r="C3186">
        <v>2999</v>
      </c>
      <c r="D3186">
        <v>9</v>
      </c>
      <c r="E3186">
        <v>1.62</v>
      </c>
      <c r="F3186">
        <f>COUNTIFS(mdr_rate_cleaned!$A$2:$A$10,B3186,mdr_rate_cleaned!$B$2:$B$10,"&lt;"&amp;C3186,mdr_rate_cleaned!$F$2:$F$10,"&gt;="&amp;C3186)</f>
        <v>1</v>
      </c>
      <c r="G3186">
        <v>3.0000000000000001E-3</v>
      </c>
      <c r="H3186">
        <v>9</v>
      </c>
      <c r="I3186" t="s">
        <v>15</v>
      </c>
      <c r="J3186" t="s">
        <v>15</v>
      </c>
      <c r="K3186">
        <v>1.62</v>
      </c>
      <c r="L3186">
        <v>0</v>
      </c>
    </row>
    <row r="3187" spans="1:12" x14ac:dyDescent="0.3">
      <c r="A3187" t="s">
        <v>3203</v>
      </c>
      <c r="B3187" t="s">
        <v>21</v>
      </c>
      <c r="C3187">
        <v>2999</v>
      </c>
      <c r="D3187">
        <v>9</v>
      </c>
      <c r="E3187">
        <v>1.62</v>
      </c>
      <c r="F3187">
        <f>COUNTIFS(mdr_rate_cleaned!$A$2:$A$10,B3187,mdr_rate_cleaned!$B$2:$B$10,"&lt;"&amp;C3187,mdr_rate_cleaned!$F$2:$F$10,"&gt;="&amp;C3187)</f>
        <v>1</v>
      </c>
      <c r="G3187">
        <v>3.0000000000000001E-3</v>
      </c>
      <c r="H3187">
        <v>9</v>
      </c>
      <c r="I3187" t="s">
        <v>15</v>
      </c>
      <c r="J3187" t="s">
        <v>15</v>
      </c>
      <c r="K3187">
        <v>1.62</v>
      </c>
      <c r="L3187">
        <v>0</v>
      </c>
    </row>
    <row r="3188" spans="1:12" x14ac:dyDescent="0.3">
      <c r="A3188" t="s">
        <v>3204</v>
      </c>
      <c r="B3188" t="s">
        <v>17</v>
      </c>
      <c r="C3188">
        <v>599</v>
      </c>
      <c r="D3188">
        <v>10.78</v>
      </c>
      <c r="E3188">
        <v>1.94</v>
      </c>
      <c r="F3188">
        <f>COUNTIFS(mdr_rate_cleaned!$A$2:$A$10,B3188,mdr_rate_cleaned!$B$2:$B$10,"&lt;"&amp;C3188,mdr_rate_cleaned!$F$2:$F$10,"&gt;="&amp;C3188)</f>
        <v>1</v>
      </c>
      <c r="G3188">
        <v>1.7999999999999999E-2</v>
      </c>
      <c r="H3188">
        <v>10.78</v>
      </c>
      <c r="I3188" t="s">
        <v>15</v>
      </c>
      <c r="J3188" t="s">
        <v>15</v>
      </c>
      <c r="K3188">
        <v>1.94</v>
      </c>
      <c r="L3188">
        <v>0</v>
      </c>
    </row>
    <row r="3189" spans="1:12" x14ac:dyDescent="0.3">
      <c r="A3189" t="s">
        <v>3205</v>
      </c>
      <c r="B3189" t="s">
        <v>17</v>
      </c>
      <c r="C3189">
        <v>2499</v>
      </c>
      <c r="D3189">
        <v>39.979999999999997</v>
      </c>
      <c r="E3189">
        <v>7.2</v>
      </c>
      <c r="F3189">
        <f>COUNTIFS(mdr_rate_cleaned!$A$2:$A$10,B3189,mdr_rate_cleaned!$B$2:$B$10,"&lt;"&amp;C3189,mdr_rate_cleaned!$F$2:$F$10,"&gt;="&amp;C3189)</f>
        <v>1</v>
      </c>
      <c r="G3189">
        <v>1.6E-2</v>
      </c>
      <c r="H3189">
        <v>39.979999999999997</v>
      </c>
      <c r="I3189" t="s">
        <v>15</v>
      </c>
      <c r="J3189" t="s">
        <v>15</v>
      </c>
      <c r="K3189">
        <v>7.2</v>
      </c>
      <c r="L3189">
        <v>0</v>
      </c>
    </row>
    <row r="3190" spans="1:12" x14ac:dyDescent="0.3">
      <c r="A3190" t="s">
        <v>3206</v>
      </c>
      <c r="B3190" t="s">
        <v>21</v>
      </c>
      <c r="C3190">
        <v>2499</v>
      </c>
      <c r="D3190">
        <v>7.5</v>
      </c>
      <c r="E3190">
        <v>1.35</v>
      </c>
      <c r="F3190">
        <f>COUNTIFS(mdr_rate_cleaned!$A$2:$A$10,B3190,mdr_rate_cleaned!$B$2:$B$10,"&lt;"&amp;C3190,mdr_rate_cleaned!$F$2:$F$10,"&gt;="&amp;C3190)</f>
        <v>1</v>
      </c>
      <c r="G3190">
        <v>3.0000000000000001E-3</v>
      </c>
      <c r="H3190">
        <v>7.5</v>
      </c>
      <c r="I3190" t="s">
        <v>15</v>
      </c>
      <c r="J3190" t="s">
        <v>15</v>
      </c>
      <c r="K3190">
        <v>1.35</v>
      </c>
      <c r="L3190">
        <v>0</v>
      </c>
    </row>
    <row r="3191" spans="1:12" x14ac:dyDescent="0.3">
      <c r="A3191" t="s">
        <v>3207</v>
      </c>
      <c r="B3191" t="s">
        <v>17</v>
      </c>
      <c r="C3191">
        <v>7097</v>
      </c>
      <c r="D3191">
        <v>113.55</v>
      </c>
      <c r="E3191">
        <v>20.440000000000001</v>
      </c>
      <c r="F3191">
        <f>COUNTIFS(mdr_rate_cleaned!$A$2:$A$10,B3191,mdr_rate_cleaned!$B$2:$B$10,"&lt;"&amp;C3191,mdr_rate_cleaned!$F$2:$F$10,"&gt;="&amp;C3191)</f>
        <v>1</v>
      </c>
      <c r="G3191">
        <v>1.6E-2</v>
      </c>
      <c r="H3191">
        <v>113.55</v>
      </c>
      <c r="I3191" t="s">
        <v>15</v>
      </c>
      <c r="J3191" t="s">
        <v>15</v>
      </c>
      <c r="K3191">
        <v>20.440000000000001</v>
      </c>
      <c r="L3191">
        <v>0</v>
      </c>
    </row>
    <row r="3192" spans="1:12" x14ac:dyDescent="0.3">
      <c r="A3192" t="s">
        <v>3208</v>
      </c>
      <c r="B3192" t="s">
        <v>17</v>
      </c>
      <c r="C3192">
        <v>5498</v>
      </c>
      <c r="D3192">
        <v>87.97</v>
      </c>
      <c r="E3192">
        <v>15.83</v>
      </c>
      <c r="F3192">
        <f>COUNTIFS(mdr_rate_cleaned!$A$2:$A$10,B3192,mdr_rate_cleaned!$B$2:$B$10,"&lt;"&amp;C3192,mdr_rate_cleaned!$F$2:$F$10,"&gt;="&amp;C3192)</f>
        <v>1</v>
      </c>
      <c r="G3192">
        <v>1.6E-2</v>
      </c>
      <c r="H3192">
        <v>87.97</v>
      </c>
      <c r="I3192" t="s">
        <v>15</v>
      </c>
      <c r="J3192" t="s">
        <v>15</v>
      </c>
      <c r="K3192">
        <v>15.83</v>
      </c>
      <c r="L3192">
        <v>0</v>
      </c>
    </row>
    <row r="3193" spans="1:12" x14ac:dyDescent="0.3">
      <c r="A3193" t="s">
        <v>3209</v>
      </c>
      <c r="B3193" t="s">
        <v>21</v>
      </c>
      <c r="C3193">
        <v>499</v>
      </c>
      <c r="D3193">
        <v>0</v>
      </c>
      <c r="E3193">
        <v>0</v>
      </c>
      <c r="F3193">
        <f>COUNTIFS(mdr_rate_cleaned!$A$2:$A$10,B3193,mdr_rate_cleaned!$B$2:$B$10,"&lt;"&amp;C3193,mdr_rate_cleaned!$F$2:$F$10,"&gt;="&amp;C3193)</f>
        <v>1</v>
      </c>
      <c r="G3193">
        <v>0</v>
      </c>
      <c r="H3193">
        <v>0</v>
      </c>
      <c r="I3193" t="s">
        <v>15</v>
      </c>
      <c r="J3193" t="s">
        <v>15</v>
      </c>
      <c r="K3193">
        <v>0</v>
      </c>
      <c r="L3193">
        <v>0</v>
      </c>
    </row>
    <row r="3194" spans="1:12" x14ac:dyDescent="0.3">
      <c r="A3194" t="s">
        <v>3210</v>
      </c>
      <c r="B3194" t="s">
        <v>17</v>
      </c>
      <c r="C3194">
        <v>599</v>
      </c>
      <c r="D3194">
        <v>10.78</v>
      </c>
      <c r="E3194">
        <v>1.94</v>
      </c>
      <c r="F3194">
        <f>COUNTIFS(mdr_rate_cleaned!$A$2:$A$10,B3194,mdr_rate_cleaned!$B$2:$B$10,"&lt;"&amp;C3194,mdr_rate_cleaned!$F$2:$F$10,"&gt;="&amp;C3194)</f>
        <v>1</v>
      </c>
      <c r="G3194">
        <v>1.7999999999999999E-2</v>
      </c>
      <c r="H3194">
        <v>10.78</v>
      </c>
      <c r="I3194" t="s">
        <v>15</v>
      </c>
      <c r="J3194" t="s">
        <v>15</v>
      </c>
      <c r="K3194">
        <v>1.94</v>
      </c>
      <c r="L3194">
        <v>0</v>
      </c>
    </row>
    <row r="3195" spans="1:12" x14ac:dyDescent="0.3">
      <c r="A3195" t="s">
        <v>3211</v>
      </c>
      <c r="B3195" t="s">
        <v>21</v>
      </c>
      <c r="C3195">
        <v>1398</v>
      </c>
      <c r="D3195">
        <v>0</v>
      </c>
      <c r="E3195">
        <v>0</v>
      </c>
      <c r="F3195">
        <f>COUNTIFS(mdr_rate_cleaned!$A$2:$A$10,B3195,mdr_rate_cleaned!$B$2:$B$10,"&lt;"&amp;C3195,mdr_rate_cleaned!$F$2:$F$10,"&gt;="&amp;C3195)</f>
        <v>1</v>
      </c>
      <c r="G3195">
        <v>0</v>
      </c>
      <c r="H3195">
        <v>0</v>
      </c>
      <c r="I3195" t="s">
        <v>15</v>
      </c>
      <c r="J3195" t="s">
        <v>15</v>
      </c>
      <c r="K3195">
        <v>0</v>
      </c>
      <c r="L3195">
        <v>0</v>
      </c>
    </row>
    <row r="3196" spans="1:12" x14ac:dyDescent="0.3">
      <c r="A3196" t="s">
        <v>3212</v>
      </c>
      <c r="B3196" t="s">
        <v>17</v>
      </c>
      <c r="C3196">
        <v>2999</v>
      </c>
      <c r="D3196">
        <v>47.98</v>
      </c>
      <c r="E3196">
        <v>8.64</v>
      </c>
      <c r="F3196">
        <f>COUNTIFS(mdr_rate_cleaned!$A$2:$A$10,B3196,mdr_rate_cleaned!$B$2:$B$10,"&lt;"&amp;C3196,mdr_rate_cleaned!$F$2:$F$10,"&gt;="&amp;C3196)</f>
        <v>1</v>
      </c>
      <c r="G3196">
        <v>1.6E-2</v>
      </c>
      <c r="H3196">
        <v>47.98</v>
      </c>
      <c r="I3196" t="s">
        <v>15</v>
      </c>
      <c r="J3196" t="s">
        <v>15</v>
      </c>
      <c r="K3196">
        <v>8.64</v>
      </c>
      <c r="L3196">
        <v>0</v>
      </c>
    </row>
    <row r="3197" spans="1:12" x14ac:dyDescent="0.3">
      <c r="A3197" t="s">
        <v>3213</v>
      </c>
      <c r="B3197" t="s">
        <v>17</v>
      </c>
      <c r="C3197">
        <v>3498</v>
      </c>
      <c r="D3197">
        <v>55.97</v>
      </c>
      <c r="E3197">
        <v>10.07</v>
      </c>
      <c r="F3197">
        <f>COUNTIFS(mdr_rate_cleaned!$A$2:$A$10,B3197,mdr_rate_cleaned!$B$2:$B$10,"&lt;"&amp;C3197,mdr_rate_cleaned!$F$2:$F$10,"&gt;="&amp;C3197)</f>
        <v>1</v>
      </c>
      <c r="G3197">
        <v>1.6E-2</v>
      </c>
      <c r="H3197">
        <v>55.97</v>
      </c>
      <c r="I3197" t="s">
        <v>15</v>
      </c>
      <c r="J3197" t="s">
        <v>15</v>
      </c>
      <c r="K3197">
        <v>10.07</v>
      </c>
      <c r="L3197">
        <v>0</v>
      </c>
    </row>
    <row r="3198" spans="1:12" x14ac:dyDescent="0.3">
      <c r="A3198" t="s">
        <v>3214</v>
      </c>
      <c r="B3198" t="s">
        <v>17</v>
      </c>
      <c r="C3198">
        <v>8597</v>
      </c>
      <c r="D3198">
        <v>137.55000000000001</v>
      </c>
      <c r="E3198">
        <v>24.76</v>
      </c>
      <c r="F3198">
        <f>COUNTIFS(mdr_rate_cleaned!$A$2:$A$10,B3198,mdr_rate_cleaned!$B$2:$B$10,"&lt;"&amp;C3198,mdr_rate_cleaned!$F$2:$F$10,"&gt;="&amp;C3198)</f>
        <v>1</v>
      </c>
      <c r="G3198">
        <v>1.6E-2</v>
      </c>
      <c r="H3198">
        <v>137.55000000000001</v>
      </c>
      <c r="I3198" t="s">
        <v>15</v>
      </c>
      <c r="J3198" t="s">
        <v>15</v>
      </c>
      <c r="K3198">
        <v>24.76</v>
      </c>
      <c r="L3198">
        <v>0</v>
      </c>
    </row>
    <row r="3199" spans="1:12" x14ac:dyDescent="0.3">
      <c r="A3199" t="s">
        <v>3215</v>
      </c>
      <c r="B3199" t="s">
        <v>21</v>
      </c>
      <c r="C3199">
        <v>2499</v>
      </c>
      <c r="D3199">
        <v>7.5</v>
      </c>
      <c r="E3199">
        <v>1.35</v>
      </c>
      <c r="F3199">
        <f>COUNTIFS(mdr_rate_cleaned!$A$2:$A$10,B3199,mdr_rate_cleaned!$B$2:$B$10,"&lt;"&amp;C3199,mdr_rate_cleaned!$F$2:$F$10,"&gt;="&amp;C3199)</f>
        <v>1</v>
      </c>
      <c r="G3199">
        <v>3.0000000000000001E-3</v>
      </c>
      <c r="H3199">
        <v>7.5</v>
      </c>
      <c r="I3199" t="s">
        <v>15</v>
      </c>
      <c r="J3199" t="s">
        <v>15</v>
      </c>
      <c r="K3199">
        <v>1.35</v>
      </c>
      <c r="L3199">
        <v>0</v>
      </c>
    </row>
    <row r="3200" spans="1:12" x14ac:dyDescent="0.3">
      <c r="A3200" t="s">
        <v>3216</v>
      </c>
      <c r="B3200" t="s">
        <v>21</v>
      </c>
      <c r="C3200">
        <v>4097</v>
      </c>
      <c r="D3200">
        <v>12.29</v>
      </c>
      <c r="E3200">
        <v>2.21</v>
      </c>
      <c r="F3200">
        <f>COUNTIFS(mdr_rate_cleaned!$A$2:$A$10,B3200,mdr_rate_cleaned!$B$2:$B$10,"&lt;"&amp;C3200,mdr_rate_cleaned!$F$2:$F$10,"&gt;="&amp;C3200)</f>
        <v>1</v>
      </c>
      <c r="G3200">
        <v>3.0000000000000001E-3</v>
      </c>
      <c r="H3200">
        <v>12.29</v>
      </c>
      <c r="I3200" t="s">
        <v>15</v>
      </c>
      <c r="J3200" t="s">
        <v>15</v>
      </c>
      <c r="K3200">
        <v>2.21</v>
      </c>
      <c r="L3200">
        <v>0</v>
      </c>
    </row>
    <row r="3201" spans="1:12" x14ac:dyDescent="0.3">
      <c r="A3201" t="s">
        <v>3217</v>
      </c>
      <c r="B3201" t="s">
        <v>39</v>
      </c>
      <c r="C3201">
        <v>1499</v>
      </c>
      <c r="D3201">
        <v>22.49</v>
      </c>
      <c r="E3201">
        <v>4.05</v>
      </c>
      <c r="F3201">
        <f>COUNTIFS(mdr_rate_cleaned!$A$2:$A$10,B3201,mdr_rate_cleaned!$B$2:$B$10,"&lt;"&amp;C3201,mdr_rate_cleaned!$F$2:$F$10,"&gt;="&amp;C3201)</f>
        <v>1</v>
      </c>
      <c r="G3201">
        <v>1.4999999999999999E-2</v>
      </c>
      <c r="H3201">
        <v>22.49</v>
      </c>
      <c r="I3201" t="s">
        <v>15</v>
      </c>
      <c r="J3201" t="s">
        <v>15</v>
      </c>
      <c r="K3201">
        <v>4.05</v>
      </c>
      <c r="L3201">
        <v>0</v>
      </c>
    </row>
    <row r="3202" spans="1:12" x14ac:dyDescent="0.3">
      <c r="A3202" t="s">
        <v>3218</v>
      </c>
      <c r="B3202" t="s">
        <v>17</v>
      </c>
      <c r="C3202">
        <v>3499</v>
      </c>
      <c r="D3202">
        <v>55.98</v>
      </c>
      <c r="E3202">
        <v>10.08</v>
      </c>
      <c r="F3202">
        <f>COUNTIFS(mdr_rate_cleaned!$A$2:$A$10,B3202,mdr_rate_cleaned!$B$2:$B$10,"&lt;"&amp;C3202,mdr_rate_cleaned!$F$2:$F$10,"&gt;="&amp;C3202)</f>
        <v>1</v>
      </c>
      <c r="G3202">
        <v>1.6E-2</v>
      </c>
      <c r="H3202">
        <v>55.98</v>
      </c>
      <c r="I3202" t="s">
        <v>15</v>
      </c>
      <c r="J3202" t="s">
        <v>15</v>
      </c>
      <c r="K3202">
        <v>10.08</v>
      </c>
      <c r="L3202">
        <v>0</v>
      </c>
    </row>
    <row r="3203" spans="1:12" x14ac:dyDescent="0.3">
      <c r="A3203" t="s">
        <v>3219</v>
      </c>
      <c r="B3203" t="s">
        <v>21</v>
      </c>
      <c r="C3203">
        <v>6798</v>
      </c>
      <c r="D3203">
        <v>20.39</v>
      </c>
      <c r="E3203">
        <v>3.67</v>
      </c>
      <c r="F3203">
        <f>COUNTIFS(mdr_rate_cleaned!$A$2:$A$10,B3203,mdr_rate_cleaned!$B$2:$B$10,"&lt;"&amp;C3203,mdr_rate_cleaned!$F$2:$F$10,"&gt;="&amp;C3203)</f>
        <v>1</v>
      </c>
      <c r="G3203">
        <v>3.0000000000000001E-3</v>
      </c>
      <c r="H3203">
        <v>20.39</v>
      </c>
      <c r="I3203" t="s">
        <v>15</v>
      </c>
      <c r="J3203" t="s">
        <v>15</v>
      </c>
      <c r="K3203">
        <v>3.67</v>
      </c>
      <c r="L3203">
        <v>0</v>
      </c>
    </row>
    <row r="3204" spans="1:12" x14ac:dyDescent="0.3">
      <c r="A3204" t="s">
        <v>3220</v>
      </c>
      <c r="B3204" t="s">
        <v>21</v>
      </c>
      <c r="C3204">
        <v>3697</v>
      </c>
      <c r="D3204">
        <v>11.09</v>
      </c>
      <c r="E3204">
        <v>2</v>
      </c>
      <c r="F3204">
        <f>COUNTIFS(mdr_rate_cleaned!$A$2:$A$10,B3204,mdr_rate_cleaned!$B$2:$B$10,"&lt;"&amp;C3204,mdr_rate_cleaned!$F$2:$F$10,"&gt;="&amp;C3204)</f>
        <v>1</v>
      </c>
      <c r="G3204">
        <v>3.0000000000000001E-3</v>
      </c>
      <c r="H3204">
        <v>11.09</v>
      </c>
      <c r="I3204" t="s">
        <v>15</v>
      </c>
      <c r="J3204" t="s">
        <v>15</v>
      </c>
      <c r="K3204">
        <v>2</v>
      </c>
      <c r="L3204">
        <v>0</v>
      </c>
    </row>
    <row r="3205" spans="1:12" x14ac:dyDescent="0.3">
      <c r="A3205" t="s">
        <v>3221</v>
      </c>
      <c r="B3205" t="s">
        <v>21</v>
      </c>
      <c r="C3205">
        <v>1348</v>
      </c>
      <c r="D3205">
        <v>0</v>
      </c>
      <c r="E3205">
        <v>0</v>
      </c>
      <c r="F3205">
        <f>COUNTIFS(mdr_rate_cleaned!$A$2:$A$10,B3205,mdr_rate_cleaned!$B$2:$B$10,"&lt;"&amp;C3205,mdr_rate_cleaned!$F$2:$F$10,"&gt;="&amp;C3205)</f>
        <v>1</v>
      </c>
      <c r="G3205">
        <v>0</v>
      </c>
      <c r="H3205">
        <v>0</v>
      </c>
      <c r="I3205" t="s">
        <v>15</v>
      </c>
      <c r="J3205" t="s">
        <v>15</v>
      </c>
      <c r="K3205">
        <v>0</v>
      </c>
      <c r="L3205">
        <v>0</v>
      </c>
    </row>
    <row r="3206" spans="1:12" x14ac:dyDescent="0.3">
      <c r="A3206" t="s">
        <v>3222</v>
      </c>
      <c r="B3206" t="s">
        <v>17</v>
      </c>
      <c r="C3206">
        <v>3297</v>
      </c>
      <c r="D3206">
        <v>52.75</v>
      </c>
      <c r="E3206">
        <v>9.5</v>
      </c>
      <c r="F3206">
        <f>COUNTIFS(mdr_rate_cleaned!$A$2:$A$10,B3206,mdr_rate_cleaned!$B$2:$B$10,"&lt;"&amp;C3206,mdr_rate_cleaned!$F$2:$F$10,"&gt;="&amp;C3206)</f>
        <v>1</v>
      </c>
      <c r="G3206">
        <v>1.6E-2</v>
      </c>
      <c r="H3206">
        <v>52.75</v>
      </c>
      <c r="I3206" t="s">
        <v>15</v>
      </c>
      <c r="J3206" t="s">
        <v>15</v>
      </c>
      <c r="K3206">
        <v>9.5</v>
      </c>
      <c r="L3206">
        <v>0</v>
      </c>
    </row>
    <row r="3207" spans="1:12" x14ac:dyDescent="0.3">
      <c r="A3207" t="s">
        <v>3223</v>
      </c>
      <c r="B3207" t="s">
        <v>21</v>
      </c>
      <c r="C3207">
        <v>4597</v>
      </c>
      <c r="D3207">
        <v>13.79</v>
      </c>
      <c r="E3207">
        <v>2.48</v>
      </c>
      <c r="F3207">
        <f>COUNTIFS(mdr_rate_cleaned!$A$2:$A$10,B3207,mdr_rate_cleaned!$B$2:$B$10,"&lt;"&amp;C3207,mdr_rate_cleaned!$F$2:$F$10,"&gt;="&amp;C3207)</f>
        <v>1</v>
      </c>
      <c r="G3207">
        <v>3.0000000000000001E-3</v>
      </c>
      <c r="H3207">
        <v>13.79</v>
      </c>
      <c r="I3207" t="s">
        <v>15</v>
      </c>
      <c r="J3207" t="s">
        <v>15</v>
      </c>
      <c r="K3207">
        <v>2.48</v>
      </c>
      <c r="L3207">
        <v>0</v>
      </c>
    </row>
    <row r="3208" spans="1:12" x14ac:dyDescent="0.3">
      <c r="A3208" t="s">
        <v>3224</v>
      </c>
      <c r="B3208" t="s">
        <v>21</v>
      </c>
      <c r="C3208">
        <v>3798</v>
      </c>
      <c r="D3208">
        <v>11.39</v>
      </c>
      <c r="E3208">
        <v>2.0499999999999998</v>
      </c>
      <c r="F3208">
        <f>COUNTIFS(mdr_rate_cleaned!$A$2:$A$10,B3208,mdr_rate_cleaned!$B$2:$B$10,"&lt;"&amp;C3208,mdr_rate_cleaned!$F$2:$F$10,"&gt;="&amp;C3208)</f>
        <v>1</v>
      </c>
      <c r="G3208">
        <v>3.0000000000000001E-3</v>
      </c>
      <c r="H3208">
        <v>11.39</v>
      </c>
      <c r="I3208" t="s">
        <v>15</v>
      </c>
      <c r="J3208" t="s">
        <v>15</v>
      </c>
      <c r="K3208">
        <v>2.0499999999999998</v>
      </c>
      <c r="L3208">
        <v>0</v>
      </c>
    </row>
    <row r="3209" spans="1:12" x14ac:dyDescent="0.3">
      <c r="A3209" t="s">
        <v>3225</v>
      </c>
      <c r="B3209" t="s">
        <v>39</v>
      </c>
      <c r="C3209">
        <v>5498</v>
      </c>
      <c r="D3209">
        <v>65.98</v>
      </c>
      <c r="E3209">
        <v>11.88</v>
      </c>
      <c r="F3209">
        <f>COUNTIFS(mdr_rate_cleaned!$A$2:$A$10,B3209,mdr_rate_cleaned!$B$2:$B$10,"&lt;"&amp;C3209,mdr_rate_cleaned!$F$2:$F$10,"&gt;="&amp;C3209)</f>
        <v>1</v>
      </c>
      <c r="G3209">
        <v>1.2E-2</v>
      </c>
      <c r="H3209">
        <v>65.98</v>
      </c>
      <c r="I3209" t="s">
        <v>15</v>
      </c>
      <c r="J3209" t="s">
        <v>15</v>
      </c>
      <c r="K3209">
        <v>11.88</v>
      </c>
      <c r="L3209">
        <v>0</v>
      </c>
    </row>
    <row r="3210" spans="1:12" x14ac:dyDescent="0.3">
      <c r="A3210" t="s">
        <v>3226</v>
      </c>
      <c r="B3210" t="s">
        <v>21</v>
      </c>
      <c r="C3210">
        <v>3499</v>
      </c>
      <c r="D3210">
        <v>10.5</v>
      </c>
      <c r="E3210">
        <v>1.89</v>
      </c>
      <c r="F3210">
        <f>COUNTIFS(mdr_rate_cleaned!$A$2:$A$10,B3210,mdr_rate_cleaned!$B$2:$B$10,"&lt;"&amp;C3210,mdr_rate_cleaned!$F$2:$F$10,"&gt;="&amp;C3210)</f>
        <v>1</v>
      </c>
      <c r="G3210">
        <v>3.0000000000000001E-3</v>
      </c>
      <c r="H3210">
        <v>10.5</v>
      </c>
      <c r="I3210" t="s">
        <v>15</v>
      </c>
      <c r="J3210" t="s">
        <v>15</v>
      </c>
      <c r="K3210">
        <v>1.89</v>
      </c>
      <c r="L3210">
        <v>0</v>
      </c>
    </row>
    <row r="3211" spans="1:12" x14ac:dyDescent="0.3">
      <c r="A3211" t="s">
        <v>3227</v>
      </c>
      <c r="B3211" t="s">
        <v>21</v>
      </c>
      <c r="C3211">
        <v>5597</v>
      </c>
      <c r="D3211">
        <v>16.79</v>
      </c>
      <c r="E3211">
        <v>3.02</v>
      </c>
      <c r="F3211">
        <f>COUNTIFS(mdr_rate_cleaned!$A$2:$A$10,B3211,mdr_rate_cleaned!$B$2:$B$10,"&lt;"&amp;C3211,mdr_rate_cleaned!$F$2:$F$10,"&gt;="&amp;C3211)</f>
        <v>1</v>
      </c>
      <c r="G3211">
        <v>3.0000000000000001E-3</v>
      </c>
      <c r="H3211">
        <v>16.79</v>
      </c>
      <c r="I3211" t="s">
        <v>15</v>
      </c>
      <c r="J3211" t="s">
        <v>15</v>
      </c>
      <c r="K3211">
        <v>3.02</v>
      </c>
      <c r="L3211">
        <v>0</v>
      </c>
    </row>
    <row r="3212" spans="1:12" x14ac:dyDescent="0.3">
      <c r="A3212" t="s">
        <v>3228</v>
      </c>
      <c r="B3212" t="s">
        <v>21</v>
      </c>
      <c r="C3212">
        <v>2598</v>
      </c>
      <c r="D3212">
        <v>7.79</v>
      </c>
      <c r="E3212">
        <v>1.4</v>
      </c>
      <c r="F3212">
        <f>COUNTIFS(mdr_rate_cleaned!$A$2:$A$10,B3212,mdr_rate_cleaned!$B$2:$B$10,"&lt;"&amp;C3212,mdr_rate_cleaned!$F$2:$F$10,"&gt;="&amp;C3212)</f>
        <v>1</v>
      </c>
      <c r="G3212">
        <v>3.0000000000000001E-3</v>
      </c>
      <c r="H3212">
        <v>7.79</v>
      </c>
      <c r="I3212" t="s">
        <v>15</v>
      </c>
      <c r="J3212" t="s">
        <v>15</v>
      </c>
      <c r="K3212">
        <v>1.4</v>
      </c>
      <c r="L3212">
        <v>0</v>
      </c>
    </row>
    <row r="3213" spans="1:12" x14ac:dyDescent="0.3">
      <c r="A3213" t="s">
        <v>3229</v>
      </c>
      <c r="B3213" t="s">
        <v>21</v>
      </c>
      <c r="C3213">
        <v>3499</v>
      </c>
      <c r="D3213">
        <v>10.5</v>
      </c>
      <c r="E3213">
        <v>1.89</v>
      </c>
      <c r="F3213">
        <f>COUNTIFS(mdr_rate_cleaned!$A$2:$A$10,B3213,mdr_rate_cleaned!$B$2:$B$10,"&lt;"&amp;C3213,mdr_rate_cleaned!$F$2:$F$10,"&gt;="&amp;C3213)</f>
        <v>1</v>
      </c>
      <c r="G3213">
        <v>3.0000000000000001E-3</v>
      </c>
      <c r="H3213">
        <v>10.5</v>
      </c>
      <c r="I3213" t="s">
        <v>15</v>
      </c>
      <c r="J3213" t="s">
        <v>15</v>
      </c>
      <c r="K3213">
        <v>1.89</v>
      </c>
      <c r="L3213">
        <v>0</v>
      </c>
    </row>
    <row r="3214" spans="1:12" x14ac:dyDescent="0.3">
      <c r="A3214" t="s">
        <v>3230</v>
      </c>
      <c r="B3214" t="s">
        <v>21</v>
      </c>
      <c r="C3214">
        <v>599</v>
      </c>
      <c r="D3214">
        <v>0</v>
      </c>
      <c r="E3214">
        <v>0</v>
      </c>
      <c r="F3214">
        <f>COUNTIFS(mdr_rate_cleaned!$A$2:$A$10,B3214,mdr_rate_cleaned!$B$2:$B$10,"&lt;"&amp;C3214,mdr_rate_cleaned!$F$2:$F$10,"&gt;="&amp;C3214)</f>
        <v>1</v>
      </c>
      <c r="G3214">
        <v>0</v>
      </c>
      <c r="H3214">
        <v>0</v>
      </c>
      <c r="I3214" t="s">
        <v>15</v>
      </c>
      <c r="J3214" t="s">
        <v>15</v>
      </c>
      <c r="K3214">
        <v>0</v>
      </c>
      <c r="L3214">
        <v>0</v>
      </c>
    </row>
    <row r="3215" spans="1:12" x14ac:dyDescent="0.3">
      <c r="A3215" t="s">
        <v>3231</v>
      </c>
      <c r="B3215" t="s">
        <v>17</v>
      </c>
      <c r="C3215">
        <v>11497</v>
      </c>
      <c r="D3215">
        <v>183.95</v>
      </c>
      <c r="E3215">
        <v>33.11</v>
      </c>
      <c r="F3215">
        <f>COUNTIFS(mdr_rate_cleaned!$A$2:$A$10,B3215,mdr_rate_cleaned!$B$2:$B$10,"&lt;"&amp;C3215,mdr_rate_cleaned!$F$2:$F$10,"&gt;="&amp;C3215)</f>
        <v>1</v>
      </c>
      <c r="G3215">
        <v>1.6E-2</v>
      </c>
      <c r="H3215">
        <v>183.95</v>
      </c>
      <c r="I3215" t="s">
        <v>15</v>
      </c>
      <c r="J3215" t="s">
        <v>15</v>
      </c>
      <c r="K3215">
        <v>33.11</v>
      </c>
      <c r="L3215">
        <v>0</v>
      </c>
    </row>
    <row r="3216" spans="1:12" x14ac:dyDescent="0.3">
      <c r="A3216" t="s">
        <v>3232</v>
      </c>
      <c r="B3216" t="s">
        <v>21</v>
      </c>
      <c r="C3216">
        <v>7999</v>
      </c>
      <c r="D3216">
        <v>24</v>
      </c>
      <c r="E3216">
        <v>4.32</v>
      </c>
      <c r="F3216">
        <f>COUNTIFS(mdr_rate_cleaned!$A$2:$A$10,B3216,mdr_rate_cleaned!$B$2:$B$10,"&lt;"&amp;C3216,mdr_rate_cleaned!$F$2:$F$10,"&gt;="&amp;C3216)</f>
        <v>1</v>
      </c>
      <c r="G3216">
        <v>3.0000000000000001E-3</v>
      </c>
      <c r="H3216">
        <v>24</v>
      </c>
      <c r="I3216" t="s">
        <v>15</v>
      </c>
      <c r="J3216" t="s">
        <v>15</v>
      </c>
      <c r="K3216">
        <v>4.32</v>
      </c>
      <c r="L3216">
        <v>0</v>
      </c>
    </row>
    <row r="3217" spans="1:12" x14ac:dyDescent="0.3">
      <c r="A3217" t="s">
        <v>3233</v>
      </c>
      <c r="B3217" t="s">
        <v>21</v>
      </c>
      <c r="C3217">
        <v>2999</v>
      </c>
      <c r="D3217">
        <v>9</v>
      </c>
      <c r="E3217">
        <v>1.62</v>
      </c>
      <c r="F3217">
        <f>COUNTIFS(mdr_rate_cleaned!$A$2:$A$10,B3217,mdr_rate_cleaned!$B$2:$B$10,"&lt;"&amp;C3217,mdr_rate_cleaned!$F$2:$F$10,"&gt;="&amp;C3217)</f>
        <v>1</v>
      </c>
      <c r="G3217">
        <v>3.0000000000000001E-3</v>
      </c>
      <c r="H3217">
        <v>9</v>
      </c>
      <c r="I3217" t="s">
        <v>15</v>
      </c>
      <c r="J3217" t="s">
        <v>15</v>
      </c>
      <c r="K3217">
        <v>1.62</v>
      </c>
      <c r="L3217">
        <v>0</v>
      </c>
    </row>
    <row r="3218" spans="1:12" x14ac:dyDescent="0.3">
      <c r="A3218" t="s">
        <v>3234</v>
      </c>
      <c r="B3218" t="s">
        <v>17</v>
      </c>
      <c r="C3218">
        <v>499</v>
      </c>
      <c r="D3218">
        <v>8.98</v>
      </c>
      <c r="E3218">
        <v>1.62</v>
      </c>
      <c r="F3218">
        <f>COUNTIFS(mdr_rate_cleaned!$A$2:$A$10,B3218,mdr_rate_cleaned!$B$2:$B$10,"&lt;"&amp;C3218,mdr_rate_cleaned!$F$2:$F$10,"&gt;="&amp;C3218)</f>
        <v>1</v>
      </c>
      <c r="G3218">
        <v>1.7999999999999999E-2</v>
      </c>
      <c r="H3218">
        <v>8.98</v>
      </c>
      <c r="I3218" t="s">
        <v>15</v>
      </c>
      <c r="J3218" t="s">
        <v>15</v>
      </c>
      <c r="K3218">
        <v>1.62</v>
      </c>
      <c r="L3218">
        <v>0</v>
      </c>
    </row>
    <row r="3219" spans="1:12" x14ac:dyDescent="0.3">
      <c r="A3219" t="s">
        <v>3235</v>
      </c>
      <c r="B3219" t="s">
        <v>17</v>
      </c>
      <c r="C3219">
        <v>898</v>
      </c>
      <c r="D3219">
        <v>16.16</v>
      </c>
      <c r="E3219">
        <v>2.91</v>
      </c>
      <c r="F3219">
        <f>COUNTIFS(mdr_rate_cleaned!$A$2:$A$10,B3219,mdr_rate_cleaned!$B$2:$B$10,"&lt;"&amp;C3219,mdr_rate_cleaned!$F$2:$F$10,"&gt;="&amp;C3219)</f>
        <v>1</v>
      </c>
      <c r="G3219">
        <v>1.7999999999999999E-2</v>
      </c>
      <c r="H3219">
        <v>16.16</v>
      </c>
      <c r="I3219" t="s">
        <v>15</v>
      </c>
      <c r="J3219" t="s">
        <v>15</v>
      </c>
      <c r="K3219">
        <v>2.91</v>
      </c>
      <c r="L3219">
        <v>0</v>
      </c>
    </row>
    <row r="3220" spans="1:12" x14ac:dyDescent="0.3">
      <c r="A3220" t="s">
        <v>3236</v>
      </c>
      <c r="B3220" t="s">
        <v>17</v>
      </c>
      <c r="C3220">
        <v>2798</v>
      </c>
      <c r="D3220">
        <v>44.77</v>
      </c>
      <c r="E3220">
        <v>8.06</v>
      </c>
      <c r="F3220">
        <f>COUNTIFS(mdr_rate_cleaned!$A$2:$A$10,B3220,mdr_rate_cleaned!$B$2:$B$10,"&lt;"&amp;C3220,mdr_rate_cleaned!$F$2:$F$10,"&gt;="&amp;C3220)</f>
        <v>1</v>
      </c>
      <c r="G3220">
        <v>1.6E-2</v>
      </c>
      <c r="H3220">
        <v>44.77</v>
      </c>
      <c r="I3220" t="s">
        <v>15</v>
      </c>
      <c r="J3220" t="s">
        <v>15</v>
      </c>
      <c r="K3220">
        <v>8.06</v>
      </c>
      <c r="L3220">
        <v>0</v>
      </c>
    </row>
    <row r="3221" spans="1:12" x14ac:dyDescent="0.3">
      <c r="A3221" t="s">
        <v>3237</v>
      </c>
      <c r="B3221" t="s">
        <v>21</v>
      </c>
      <c r="C3221">
        <v>6798</v>
      </c>
      <c r="D3221">
        <v>20.39</v>
      </c>
      <c r="E3221">
        <v>3.67</v>
      </c>
      <c r="F3221">
        <f>COUNTIFS(mdr_rate_cleaned!$A$2:$A$10,B3221,mdr_rate_cleaned!$B$2:$B$10,"&lt;"&amp;C3221,mdr_rate_cleaned!$F$2:$F$10,"&gt;="&amp;C3221)</f>
        <v>1</v>
      </c>
      <c r="G3221">
        <v>3.0000000000000001E-3</v>
      </c>
      <c r="H3221">
        <v>20.39</v>
      </c>
      <c r="I3221" t="s">
        <v>15</v>
      </c>
      <c r="J3221" t="s">
        <v>15</v>
      </c>
      <c r="K3221">
        <v>3.67</v>
      </c>
      <c r="L3221">
        <v>0</v>
      </c>
    </row>
    <row r="3222" spans="1:12" x14ac:dyDescent="0.3">
      <c r="A3222" t="s">
        <v>3238</v>
      </c>
      <c r="B3222" t="s">
        <v>21</v>
      </c>
      <c r="C3222">
        <v>5297</v>
      </c>
      <c r="D3222">
        <v>15.89</v>
      </c>
      <c r="E3222">
        <v>2.86</v>
      </c>
      <c r="F3222">
        <f>COUNTIFS(mdr_rate_cleaned!$A$2:$A$10,B3222,mdr_rate_cleaned!$B$2:$B$10,"&lt;"&amp;C3222,mdr_rate_cleaned!$F$2:$F$10,"&gt;="&amp;C3222)</f>
        <v>1</v>
      </c>
      <c r="G3222">
        <v>3.0000000000000001E-3</v>
      </c>
      <c r="H3222">
        <v>15.89</v>
      </c>
      <c r="I3222" t="s">
        <v>15</v>
      </c>
      <c r="J3222" t="s">
        <v>15</v>
      </c>
      <c r="K3222">
        <v>2.86</v>
      </c>
      <c r="L3222">
        <v>0</v>
      </c>
    </row>
    <row r="3223" spans="1:12" x14ac:dyDescent="0.3">
      <c r="A3223" t="s">
        <v>3239</v>
      </c>
      <c r="B3223" t="s">
        <v>21</v>
      </c>
      <c r="C3223">
        <v>7097</v>
      </c>
      <c r="D3223">
        <v>21.29</v>
      </c>
      <c r="E3223">
        <v>3.83</v>
      </c>
      <c r="F3223">
        <f>COUNTIFS(mdr_rate_cleaned!$A$2:$A$10,B3223,mdr_rate_cleaned!$B$2:$B$10,"&lt;"&amp;C3223,mdr_rate_cleaned!$F$2:$F$10,"&gt;="&amp;C3223)</f>
        <v>1</v>
      </c>
      <c r="G3223">
        <v>3.0000000000000001E-3</v>
      </c>
      <c r="H3223">
        <v>21.29</v>
      </c>
      <c r="I3223" t="s">
        <v>15</v>
      </c>
      <c r="J3223" t="s">
        <v>15</v>
      </c>
      <c r="K3223">
        <v>3.83</v>
      </c>
      <c r="L3223">
        <v>0</v>
      </c>
    </row>
    <row r="3224" spans="1:12" x14ac:dyDescent="0.3">
      <c r="A3224" t="s">
        <v>3240</v>
      </c>
      <c r="B3224" t="s">
        <v>17</v>
      </c>
      <c r="C3224">
        <v>3298</v>
      </c>
      <c r="D3224">
        <v>52.77</v>
      </c>
      <c r="E3224">
        <v>9.5</v>
      </c>
      <c r="F3224">
        <f>COUNTIFS(mdr_rate_cleaned!$A$2:$A$10,B3224,mdr_rate_cleaned!$B$2:$B$10,"&lt;"&amp;C3224,mdr_rate_cleaned!$F$2:$F$10,"&gt;="&amp;C3224)</f>
        <v>1</v>
      </c>
      <c r="G3224">
        <v>1.6E-2</v>
      </c>
      <c r="H3224">
        <v>52.77</v>
      </c>
      <c r="I3224" t="s">
        <v>15</v>
      </c>
      <c r="J3224" t="s">
        <v>15</v>
      </c>
      <c r="K3224">
        <v>9.5</v>
      </c>
      <c r="L3224">
        <v>0</v>
      </c>
    </row>
    <row r="3225" spans="1:12" x14ac:dyDescent="0.3">
      <c r="A3225" t="s">
        <v>3241</v>
      </c>
      <c r="B3225" t="s">
        <v>13</v>
      </c>
      <c r="C3225">
        <v>999</v>
      </c>
      <c r="D3225">
        <v>18.98</v>
      </c>
      <c r="E3225">
        <v>3.42</v>
      </c>
      <c r="F3225">
        <f>COUNTIFS(mdr_rate_cleaned!$A$2:$A$10,B3225,mdr_rate_cleaned!$B$2:$B$10,"&lt;"&amp;C3225,mdr_rate_cleaned!$F$2:$F$10,"&gt;="&amp;C3225)</f>
        <v>1</v>
      </c>
      <c r="G3225">
        <v>1.9E-2</v>
      </c>
      <c r="H3225">
        <v>18.98</v>
      </c>
      <c r="I3225" t="s">
        <v>15</v>
      </c>
      <c r="J3225" t="s">
        <v>15</v>
      </c>
      <c r="K3225">
        <v>3.42</v>
      </c>
      <c r="L3225">
        <v>0</v>
      </c>
    </row>
    <row r="3226" spans="1:12" x14ac:dyDescent="0.3">
      <c r="A3226" t="s">
        <v>3242</v>
      </c>
      <c r="B3226" t="s">
        <v>21</v>
      </c>
      <c r="C3226">
        <v>499</v>
      </c>
      <c r="D3226">
        <v>0</v>
      </c>
      <c r="E3226">
        <v>0</v>
      </c>
      <c r="F3226">
        <f>COUNTIFS(mdr_rate_cleaned!$A$2:$A$10,B3226,mdr_rate_cleaned!$B$2:$B$10,"&lt;"&amp;C3226,mdr_rate_cleaned!$F$2:$F$10,"&gt;="&amp;C3226)</f>
        <v>1</v>
      </c>
      <c r="G3226">
        <v>0</v>
      </c>
      <c r="H3226">
        <v>0</v>
      </c>
      <c r="I3226" t="s">
        <v>15</v>
      </c>
      <c r="J3226" t="s">
        <v>15</v>
      </c>
      <c r="K3226">
        <v>0</v>
      </c>
      <c r="L3226">
        <v>0</v>
      </c>
    </row>
    <row r="3227" spans="1:12" x14ac:dyDescent="0.3">
      <c r="A3227" t="s">
        <v>3243</v>
      </c>
      <c r="B3227" t="s">
        <v>13</v>
      </c>
      <c r="C3227">
        <v>1299</v>
      </c>
      <c r="D3227">
        <v>24.68</v>
      </c>
      <c r="E3227">
        <v>4.4400000000000004</v>
      </c>
      <c r="F3227">
        <f>COUNTIFS(mdr_rate_cleaned!$A$2:$A$10,B3227,mdr_rate_cleaned!$B$2:$B$10,"&lt;"&amp;C3227,mdr_rate_cleaned!$F$2:$F$10,"&gt;="&amp;C3227)</f>
        <v>1</v>
      </c>
      <c r="G3227">
        <v>1.9E-2</v>
      </c>
      <c r="H3227">
        <v>24.68</v>
      </c>
      <c r="I3227" t="s">
        <v>15</v>
      </c>
      <c r="J3227" t="s">
        <v>15</v>
      </c>
      <c r="K3227">
        <v>4.4400000000000004</v>
      </c>
      <c r="L3227">
        <v>0</v>
      </c>
    </row>
    <row r="3228" spans="1:12" x14ac:dyDescent="0.3">
      <c r="A3228" t="s">
        <v>3244</v>
      </c>
      <c r="B3228" t="s">
        <v>17</v>
      </c>
      <c r="C3228">
        <v>2097</v>
      </c>
      <c r="D3228">
        <v>33.549999999999997</v>
      </c>
      <c r="E3228">
        <v>6.04</v>
      </c>
      <c r="F3228">
        <f>COUNTIFS(mdr_rate_cleaned!$A$2:$A$10,B3228,mdr_rate_cleaned!$B$2:$B$10,"&lt;"&amp;C3228,mdr_rate_cleaned!$F$2:$F$10,"&gt;="&amp;C3228)</f>
        <v>1</v>
      </c>
      <c r="G3228">
        <v>1.6E-2</v>
      </c>
      <c r="H3228">
        <v>33.549999999999997</v>
      </c>
      <c r="I3228" t="s">
        <v>15</v>
      </c>
      <c r="J3228" t="s">
        <v>15</v>
      </c>
      <c r="K3228">
        <v>6.04</v>
      </c>
      <c r="L3228">
        <v>0</v>
      </c>
    </row>
    <row r="3229" spans="1:12" x14ac:dyDescent="0.3">
      <c r="A3229" t="s">
        <v>3245</v>
      </c>
      <c r="B3229" t="s">
        <v>17</v>
      </c>
      <c r="C3229">
        <v>2499</v>
      </c>
      <c r="D3229">
        <v>39.979999999999997</v>
      </c>
      <c r="E3229">
        <v>7.2</v>
      </c>
      <c r="F3229">
        <f>COUNTIFS(mdr_rate_cleaned!$A$2:$A$10,B3229,mdr_rate_cleaned!$B$2:$B$10,"&lt;"&amp;C3229,mdr_rate_cleaned!$F$2:$F$10,"&gt;="&amp;C3229)</f>
        <v>1</v>
      </c>
      <c r="G3229">
        <v>1.6E-2</v>
      </c>
      <c r="H3229">
        <v>39.979999999999997</v>
      </c>
      <c r="I3229" t="s">
        <v>15</v>
      </c>
      <c r="J3229" t="s">
        <v>15</v>
      </c>
      <c r="K3229">
        <v>7.2</v>
      </c>
      <c r="L3229">
        <v>0</v>
      </c>
    </row>
    <row r="3230" spans="1:12" x14ac:dyDescent="0.3">
      <c r="A3230" t="s">
        <v>3246</v>
      </c>
      <c r="B3230" t="s">
        <v>39</v>
      </c>
      <c r="C3230">
        <v>3498</v>
      </c>
      <c r="D3230">
        <v>41.98</v>
      </c>
      <c r="E3230">
        <v>7.56</v>
      </c>
      <c r="F3230">
        <f>COUNTIFS(mdr_rate_cleaned!$A$2:$A$10,B3230,mdr_rate_cleaned!$B$2:$B$10,"&lt;"&amp;C3230,mdr_rate_cleaned!$F$2:$F$10,"&gt;="&amp;C3230)</f>
        <v>1</v>
      </c>
      <c r="G3230">
        <v>1.2E-2</v>
      </c>
      <c r="H3230">
        <v>41.98</v>
      </c>
      <c r="I3230" t="s">
        <v>15</v>
      </c>
      <c r="J3230" t="s">
        <v>15</v>
      </c>
      <c r="K3230">
        <v>7.56</v>
      </c>
      <c r="L3230">
        <v>0</v>
      </c>
    </row>
    <row r="3231" spans="1:12" x14ac:dyDescent="0.3">
      <c r="A3231" t="s">
        <v>3247</v>
      </c>
      <c r="B3231" t="s">
        <v>21</v>
      </c>
      <c r="C3231">
        <v>599</v>
      </c>
      <c r="D3231">
        <v>0</v>
      </c>
      <c r="E3231">
        <v>0</v>
      </c>
      <c r="F3231">
        <f>COUNTIFS(mdr_rate_cleaned!$A$2:$A$10,B3231,mdr_rate_cleaned!$B$2:$B$10,"&lt;"&amp;C3231,mdr_rate_cleaned!$F$2:$F$10,"&gt;="&amp;C3231)</f>
        <v>1</v>
      </c>
      <c r="G3231">
        <v>0</v>
      </c>
      <c r="H3231">
        <v>0</v>
      </c>
      <c r="I3231" t="s">
        <v>15</v>
      </c>
      <c r="J3231" t="s">
        <v>15</v>
      </c>
      <c r="K3231">
        <v>0</v>
      </c>
      <c r="L3231">
        <v>0</v>
      </c>
    </row>
    <row r="3232" spans="1:12" x14ac:dyDescent="0.3">
      <c r="A3232" t="s">
        <v>3248</v>
      </c>
      <c r="B3232" t="s">
        <v>21</v>
      </c>
      <c r="C3232">
        <v>3597</v>
      </c>
      <c r="D3232">
        <v>10.79</v>
      </c>
      <c r="E3232">
        <v>1.94</v>
      </c>
      <c r="F3232">
        <f>COUNTIFS(mdr_rate_cleaned!$A$2:$A$10,B3232,mdr_rate_cleaned!$B$2:$B$10,"&lt;"&amp;C3232,mdr_rate_cleaned!$F$2:$F$10,"&gt;="&amp;C3232)</f>
        <v>1</v>
      </c>
      <c r="G3232">
        <v>3.0000000000000001E-3</v>
      </c>
      <c r="H3232">
        <v>10.79</v>
      </c>
      <c r="I3232" t="s">
        <v>15</v>
      </c>
      <c r="J3232" t="s">
        <v>15</v>
      </c>
      <c r="K3232">
        <v>1.94</v>
      </c>
      <c r="L3232">
        <v>0</v>
      </c>
    </row>
    <row r="3233" spans="1:12" x14ac:dyDescent="0.3">
      <c r="A3233" t="s">
        <v>3249</v>
      </c>
      <c r="B3233" t="s">
        <v>13</v>
      </c>
      <c r="C3233">
        <v>3298</v>
      </c>
      <c r="D3233">
        <v>56.07</v>
      </c>
      <c r="E3233">
        <v>10.09</v>
      </c>
      <c r="F3233">
        <f>COUNTIFS(mdr_rate_cleaned!$A$2:$A$10,B3233,mdr_rate_cleaned!$B$2:$B$10,"&lt;"&amp;C3233,mdr_rate_cleaned!$F$2:$F$10,"&gt;="&amp;C3233)</f>
        <v>1</v>
      </c>
      <c r="G3233">
        <v>1.7000000000000001E-2</v>
      </c>
      <c r="H3233">
        <v>56.07</v>
      </c>
      <c r="I3233" t="s">
        <v>15</v>
      </c>
      <c r="J3233" t="s">
        <v>15</v>
      </c>
      <c r="K3233">
        <v>10.09</v>
      </c>
      <c r="L3233">
        <v>0</v>
      </c>
    </row>
    <row r="3234" spans="1:12" x14ac:dyDescent="0.3">
      <c r="A3234" t="s">
        <v>3250</v>
      </c>
      <c r="B3234" t="s">
        <v>21</v>
      </c>
      <c r="C3234">
        <v>2499</v>
      </c>
      <c r="D3234">
        <v>7.5</v>
      </c>
      <c r="E3234">
        <v>1.35</v>
      </c>
      <c r="F3234">
        <f>COUNTIFS(mdr_rate_cleaned!$A$2:$A$10,B3234,mdr_rate_cleaned!$B$2:$B$10,"&lt;"&amp;C3234,mdr_rate_cleaned!$F$2:$F$10,"&gt;="&amp;C3234)</f>
        <v>1</v>
      </c>
      <c r="G3234">
        <v>3.0000000000000001E-3</v>
      </c>
      <c r="H3234">
        <v>7.5</v>
      </c>
      <c r="I3234" t="s">
        <v>15</v>
      </c>
      <c r="J3234" t="s">
        <v>15</v>
      </c>
      <c r="K3234">
        <v>1.35</v>
      </c>
      <c r="L3234">
        <v>0</v>
      </c>
    </row>
    <row r="3235" spans="1:12" x14ac:dyDescent="0.3">
      <c r="A3235" t="s">
        <v>3251</v>
      </c>
      <c r="B3235" t="s">
        <v>21</v>
      </c>
      <c r="C3235">
        <v>299</v>
      </c>
      <c r="D3235">
        <v>0</v>
      </c>
      <c r="E3235">
        <v>0</v>
      </c>
      <c r="F3235">
        <f>COUNTIFS(mdr_rate_cleaned!$A$2:$A$10,B3235,mdr_rate_cleaned!$B$2:$B$10,"&lt;"&amp;C3235,mdr_rate_cleaned!$F$2:$F$10,"&gt;="&amp;C3235)</f>
        <v>1</v>
      </c>
      <c r="G3235">
        <v>0</v>
      </c>
      <c r="H3235">
        <v>0</v>
      </c>
      <c r="I3235" t="s">
        <v>15</v>
      </c>
      <c r="J3235" t="s">
        <v>15</v>
      </c>
      <c r="K3235">
        <v>0</v>
      </c>
      <c r="L3235">
        <v>0</v>
      </c>
    </row>
    <row r="3236" spans="1:12" x14ac:dyDescent="0.3">
      <c r="A3236" t="s">
        <v>3252</v>
      </c>
      <c r="B3236" t="s">
        <v>21</v>
      </c>
      <c r="C3236">
        <v>599</v>
      </c>
      <c r="D3236">
        <v>0</v>
      </c>
      <c r="E3236">
        <v>0</v>
      </c>
      <c r="F3236">
        <f>COUNTIFS(mdr_rate_cleaned!$A$2:$A$10,B3236,mdr_rate_cleaned!$B$2:$B$10,"&lt;"&amp;C3236,mdr_rate_cleaned!$F$2:$F$10,"&gt;="&amp;C3236)</f>
        <v>1</v>
      </c>
      <c r="G3236">
        <v>0</v>
      </c>
      <c r="H3236">
        <v>0</v>
      </c>
      <c r="I3236" t="s">
        <v>15</v>
      </c>
      <c r="J3236" t="s">
        <v>15</v>
      </c>
      <c r="K3236">
        <v>0</v>
      </c>
      <c r="L3236">
        <v>0</v>
      </c>
    </row>
    <row r="3237" spans="1:12" x14ac:dyDescent="0.3">
      <c r="A3237" t="s">
        <v>3253</v>
      </c>
      <c r="B3237" t="s">
        <v>13</v>
      </c>
      <c r="C3237">
        <v>4098</v>
      </c>
      <c r="D3237">
        <v>69.67</v>
      </c>
      <c r="E3237">
        <v>12.54</v>
      </c>
      <c r="F3237">
        <f>COUNTIFS(mdr_rate_cleaned!$A$2:$A$10,B3237,mdr_rate_cleaned!$B$2:$B$10,"&lt;"&amp;C3237,mdr_rate_cleaned!$F$2:$F$10,"&gt;="&amp;C3237)</f>
        <v>1</v>
      </c>
      <c r="G3237">
        <v>1.7000000000000001E-2</v>
      </c>
      <c r="H3237">
        <v>69.67</v>
      </c>
      <c r="I3237" t="s">
        <v>15</v>
      </c>
      <c r="J3237" t="s">
        <v>15</v>
      </c>
      <c r="K3237">
        <v>12.54</v>
      </c>
      <c r="L3237">
        <v>0</v>
      </c>
    </row>
    <row r="3238" spans="1:12" x14ac:dyDescent="0.3">
      <c r="A3238" t="s">
        <v>3254</v>
      </c>
      <c r="B3238" t="s">
        <v>21</v>
      </c>
      <c r="C3238">
        <v>3998</v>
      </c>
      <c r="D3238">
        <v>11.99</v>
      </c>
      <c r="E3238">
        <v>2.16</v>
      </c>
      <c r="F3238">
        <f>COUNTIFS(mdr_rate_cleaned!$A$2:$A$10,B3238,mdr_rate_cleaned!$B$2:$B$10,"&lt;"&amp;C3238,mdr_rate_cleaned!$F$2:$F$10,"&gt;="&amp;C3238)</f>
        <v>1</v>
      </c>
      <c r="G3238">
        <v>3.0000000000000001E-3</v>
      </c>
      <c r="H3238">
        <v>11.99</v>
      </c>
      <c r="I3238" t="s">
        <v>15</v>
      </c>
      <c r="J3238" t="s">
        <v>15</v>
      </c>
      <c r="K3238">
        <v>2.16</v>
      </c>
      <c r="L3238">
        <v>0</v>
      </c>
    </row>
    <row r="3239" spans="1:12" x14ac:dyDescent="0.3">
      <c r="A3239" t="s">
        <v>3255</v>
      </c>
      <c r="B3239" t="s">
        <v>21</v>
      </c>
      <c r="C3239">
        <v>10998</v>
      </c>
      <c r="D3239">
        <v>32.99</v>
      </c>
      <c r="E3239">
        <v>5.94</v>
      </c>
      <c r="F3239">
        <f>COUNTIFS(mdr_rate_cleaned!$A$2:$A$10,B3239,mdr_rate_cleaned!$B$2:$B$10,"&lt;"&amp;C3239,mdr_rate_cleaned!$F$2:$F$10,"&gt;="&amp;C3239)</f>
        <v>1</v>
      </c>
      <c r="G3239">
        <v>3.0000000000000001E-3</v>
      </c>
      <c r="H3239">
        <v>32.99</v>
      </c>
      <c r="I3239" t="s">
        <v>15</v>
      </c>
      <c r="J3239" t="s">
        <v>15</v>
      </c>
      <c r="K3239">
        <v>5.94</v>
      </c>
      <c r="L3239">
        <v>0</v>
      </c>
    </row>
    <row r="3240" spans="1:12" x14ac:dyDescent="0.3">
      <c r="A3240" t="s">
        <v>3256</v>
      </c>
      <c r="B3240" t="s">
        <v>17</v>
      </c>
      <c r="C3240">
        <v>7999</v>
      </c>
      <c r="D3240">
        <v>127.98</v>
      </c>
      <c r="E3240">
        <v>23.04</v>
      </c>
      <c r="F3240">
        <f>COUNTIFS(mdr_rate_cleaned!$A$2:$A$10,B3240,mdr_rate_cleaned!$B$2:$B$10,"&lt;"&amp;C3240,mdr_rate_cleaned!$F$2:$F$10,"&gt;="&amp;C3240)</f>
        <v>1</v>
      </c>
      <c r="G3240">
        <v>1.6E-2</v>
      </c>
      <c r="H3240">
        <v>127.98</v>
      </c>
      <c r="I3240" t="s">
        <v>15</v>
      </c>
      <c r="J3240" t="s">
        <v>15</v>
      </c>
      <c r="K3240">
        <v>23.04</v>
      </c>
      <c r="L3240">
        <v>0</v>
      </c>
    </row>
    <row r="3241" spans="1:12" x14ac:dyDescent="0.3">
      <c r="A3241" t="s">
        <v>3257</v>
      </c>
      <c r="B3241" t="s">
        <v>21</v>
      </c>
      <c r="C3241">
        <v>4597</v>
      </c>
      <c r="D3241">
        <v>13.79</v>
      </c>
      <c r="E3241">
        <v>2.48</v>
      </c>
      <c r="F3241">
        <f>COUNTIFS(mdr_rate_cleaned!$A$2:$A$10,B3241,mdr_rate_cleaned!$B$2:$B$10,"&lt;"&amp;C3241,mdr_rate_cleaned!$F$2:$F$10,"&gt;="&amp;C3241)</f>
        <v>1</v>
      </c>
      <c r="G3241">
        <v>3.0000000000000001E-3</v>
      </c>
      <c r="H3241">
        <v>13.79</v>
      </c>
      <c r="I3241" t="s">
        <v>15</v>
      </c>
      <c r="J3241" t="s">
        <v>15</v>
      </c>
      <c r="K3241">
        <v>2.48</v>
      </c>
      <c r="L3241">
        <v>0</v>
      </c>
    </row>
    <row r="3242" spans="1:12" x14ac:dyDescent="0.3">
      <c r="A3242" t="s">
        <v>3258</v>
      </c>
      <c r="B3242" t="s">
        <v>21</v>
      </c>
      <c r="C3242">
        <v>499</v>
      </c>
      <c r="D3242">
        <v>0</v>
      </c>
      <c r="E3242">
        <v>0</v>
      </c>
      <c r="F3242">
        <f>COUNTIFS(mdr_rate_cleaned!$A$2:$A$10,B3242,mdr_rate_cleaned!$B$2:$B$10,"&lt;"&amp;C3242,mdr_rate_cleaned!$F$2:$F$10,"&gt;="&amp;C3242)</f>
        <v>1</v>
      </c>
      <c r="G3242">
        <v>0</v>
      </c>
      <c r="H3242">
        <v>0</v>
      </c>
      <c r="I3242" t="s">
        <v>15</v>
      </c>
      <c r="J3242" t="s">
        <v>15</v>
      </c>
      <c r="K3242">
        <v>0</v>
      </c>
      <c r="L3242">
        <v>0</v>
      </c>
    </row>
    <row r="3243" spans="1:12" x14ac:dyDescent="0.3">
      <c r="A3243" t="s">
        <v>3259</v>
      </c>
      <c r="B3243" t="s">
        <v>13</v>
      </c>
      <c r="C3243">
        <v>4998</v>
      </c>
      <c r="D3243">
        <v>84.97</v>
      </c>
      <c r="E3243">
        <v>15.29</v>
      </c>
      <c r="F3243">
        <f>COUNTIFS(mdr_rate_cleaned!$A$2:$A$10,B3243,mdr_rate_cleaned!$B$2:$B$10,"&lt;"&amp;C3243,mdr_rate_cleaned!$F$2:$F$10,"&gt;="&amp;C3243)</f>
        <v>1</v>
      </c>
      <c r="G3243">
        <v>1.7000000000000001E-2</v>
      </c>
      <c r="H3243">
        <v>84.97</v>
      </c>
      <c r="I3243" t="s">
        <v>15</v>
      </c>
      <c r="J3243" t="s">
        <v>15</v>
      </c>
      <c r="K3243">
        <v>15.29</v>
      </c>
      <c r="L3243">
        <v>0</v>
      </c>
    </row>
    <row r="3244" spans="1:12" x14ac:dyDescent="0.3">
      <c r="A3244" t="s">
        <v>3260</v>
      </c>
      <c r="B3244" t="s">
        <v>21</v>
      </c>
      <c r="C3244">
        <v>5998</v>
      </c>
      <c r="D3244">
        <v>17.989999999999998</v>
      </c>
      <c r="E3244">
        <v>3.24</v>
      </c>
      <c r="F3244">
        <f>COUNTIFS(mdr_rate_cleaned!$A$2:$A$10,B3244,mdr_rate_cleaned!$B$2:$B$10,"&lt;"&amp;C3244,mdr_rate_cleaned!$F$2:$F$10,"&gt;="&amp;C3244)</f>
        <v>1</v>
      </c>
      <c r="G3244">
        <v>3.0000000000000001E-3</v>
      </c>
      <c r="H3244">
        <v>17.989999999999998</v>
      </c>
      <c r="I3244" t="s">
        <v>15</v>
      </c>
      <c r="J3244" t="s">
        <v>15</v>
      </c>
      <c r="K3244">
        <v>3.24</v>
      </c>
      <c r="L3244">
        <v>0</v>
      </c>
    </row>
    <row r="3245" spans="1:12" x14ac:dyDescent="0.3">
      <c r="A3245" t="s">
        <v>3261</v>
      </c>
      <c r="B3245" t="s">
        <v>13</v>
      </c>
      <c r="C3245">
        <v>2999</v>
      </c>
      <c r="D3245">
        <v>71.98</v>
      </c>
      <c r="E3245">
        <v>12.96</v>
      </c>
      <c r="F3245">
        <f>COUNTIFS(mdr_rate_cleaned!$A$2:$A$10,B3245,mdr_rate_cleaned!$B$2:$B$10,"&lt;"&amp;C3245,mdr_rate_cleaned!$F$2:$F$10,"&gt;="&amp;C3245)</f>
        <v>1</v>
      </c>
      <c r="G3245">
        <v>1.7000000000000001E-2</v>
      </c>
      <c r="H3245">
        <v>50.98</v>
      </c>
      <c r="I3245" t="s">
        <v>14</v>
      </c>
      <c r="J3245" t="s">
        <v>15</v>
      </c>
      <c r="K3245">
        <v>9.18</v>
      </c>
      <c r="L3245">
        <v>24.78</v>
      </c>
    </row>
    <row r="3246" spans="1:12" x14ac:dyDescent="0.3">
      <c r="A3246" t="s">
        <v>3262</v>
      </c>
      <c r="B3246" t="s">
        <v>13</v>
      </c>
      <c r="C3246">
        <v>3798</v>
      </c>
      <c r="D3246">
        <v>91.15</v>
      </c>
      <c r="E3246">
        <v>16.41</v>
      </c>
      <c r="F3246">
        <f>COUNTIFS(mdr_rate_cleaned!$A$2:$A$10,B3246,mdr_rate_cleaned!$B$2:$B$10,"&lt;"&amp;C3246,mdr_rate_cleaned!$F$2:$F$10,"&gt;="&amp;C3246)</f>
        <v>1</v>
      </c>
      <c r="G3246">
        <v>1.7000000000000001E-2</v>
      </c>
      <c r="H3246">
        <v>64.569999999999993</v>
      </c>
      <c r="I3246" t="s">
        <v>14</v>
      </c>
      <c r="J3246" t="s">
        <v>15</v>
      </c>
      <c r="K3246">
        <v>11.62</v>
      </c>
      <c r="L3246">
        <v>31.37</v>
      </c>
    </row>
    <row r="3247" spans="1:12" x14ac:dyDescent="0.3">
      <c r="A3247" t="s">
        <v>3263</v>
      </c>
      <c r="B3247" t="s">
        <v>21</v>
      </c>
      <c r="C3247">
        <v>2999</v>
      </c>
      <c r="D3247">
        <v>9</v>
      </c>
      <c r="E3247">
        <v>1.62</v>
      </c>
      <c r="F3247">
        <f>COUNTIFS(mdr_rate_cleaned!$A$2:$A$10,B3247,mdr_rate_cleaned!$B$2:$B$10,"&lt;"&amp;C3247,mdr_rate_cleaned!$F$2:$F$10,"&gt;="&amp;C3247)</f>
        <v>1</v>
      </c>
      <c r="G3247">
        <v>3.0000000000000001E-3</v>
      </c>
      <c r="H3247">
        <v>9</v>
      </c>
      <c r="I3247" t="s">
        <v>15</v>
      </c>
      <c r="J3247" t="s">
        <v>15</v>
      </c>
      <c r="K3247">
        <v>1.62</v>
      </c>
      <c r="L3247">
        <v>0</v>
      </c>
    </row>
    <row r="3248" spans="1:12" x14ac:dyDescent="0.3">
      <c r="A3248" t="s">
        <v>3264</v>
      </c>
      <c r="B3248" t="s">
        <v>17</v>
      </c>
      <c r="C3248">
        <v>9297</v>
      </c>
      <c r="D3248">
        <v>148.75</v>
      </c>
      <c r="E3248">
        <v>26.78</v>
      </c>
      <c r="F3248">
        <f>COUNTIFS(mdr_rate_cleaned!$A$2:$A$10,B3248,mdr_rate_cleaned!$B$2:$B$10,"&lt;"&amp;C3248,mdr_rate_cleaned!$F$2:$F$10,"&gt;="&amp;C3248)</f>
        <v>1</v>
      </c>
      <c r="G3248">
        <v>1.6E-2</v>
      </c>
      <c r="H3248">
        <v>148.75</v>
      </c>
      <c r="I3248" t="s">
        <v>15</v>
      </c>
      <c r="J3248" t="s">
        <v>15</v>
      </c>
      <c r="K3248">
        <v>26.78</v>
      </c>
      <c r="L3248">
        <v>0</v>
      </c>
    </row>
    <row r="3249" spans="1:12" x14ac:dyDescent="0.3">
      <c r="A3249" t="s">
        <v>3265</v>
      </c>
      <c r="B3249" t="s">
        <v>17</v>
      </c>
      <c r="C3249">
        <v>8348</v>
      </c>
      <c r="D3249">
        <v>133.57</v>
      </c>
      <c r="E3249">
        <v>24.04</v>
      </c>
      <c r="F3249">
        <f>COUNTIFS(mdr_rate_cleaned!$A$2:$A$10,B3249,mdr_rate_cleaned!$B$2:$B$10,"&lt;"&amp;C3249,mdr_rate_cleaned!$F$2:$F$10,"&gt;="&amp;C3249)</f>
        <v>1</v>
      </c>
      <c r="G3249">
        <v>1.6E-2</v>
      </c>
      <c r="H3249">
        <v>133.57</v>
      </c>
      <c r="I3249" t="s">
        <v>15</v>
      </c>
      <c r="J3249" t="s">
        <v>15</v>
      </c>
      <c r="K3249">
        <v>24.04</v>
      </c>
      <c r="L3249">
        <v>0</v>
      </c>
    </row>
    <row r="3250" spans="1:12" x14ac:dyDescent="0.3">
      <c r="A3250" t="s">
        <v>3266</v>
      </c>
      <c r="B3250" t="s">
        <v>21</v>
      </c>
      <c r="C3250">
        <v>11497</v>
      </c>
      <c r="D3250">
        <v>34.49</v>
      </c>
      <c r="E3250">
        <v>6.21</v>
      </c>
      <c r="F3250">
        <f>COUNTIFS(mdr_rate_cleaned!$A$2:$A$10,B3250,mdr_rate_cleaned!$B$2:$B$10,"&lt;"&amp;C3250,mdr_rate_cleaned!$F$2:$F$10,"&gt;="&amp;C3250)</f>
        <v>1</v>
      </c>
      <c r="G3250">
        <v>3.0000000000000001E-3</v>
      </c>
      <c r="H3250">
        <v>34.49</v>
      </c>
      <c r="I3250" t="s">
        <v>15</v>
      </c>
      <c r="J3250" t="s">
        <v>15</v>
      </c>
      <c r="K3250">
        <v>6.21</v>
      </c>
      <c r="L3250">
        <v>0</v>
      </c>
    </row>
    <row r="3251" spans="1:12" x14ac:dyDescent="0.3">
      <c r="A3251" t="s">
        <v>3267</v>
      </c>
      <c r="B3251" t="s">
        <v>21</v>
      </c>
      <c r="C3251">
        <v>2499</v>
      </c>
      <c r="D3251">
        <v>7.5</v>
      </c>
      <c r="E3251">
        <v>1.35</v>
      </c>
      <c r="F3251">
        <f>COUNTIFS(mdr_rate_cleaned!$A$2:$A$10,B3251,mdr_rate_cleaned!$B$2:$B$10,"&lt;"&amp;C3251,mdr_rate_cleaned!$F$2:$F$10,"&gt;="&amp;C3251)</f>
        <v>1</v>
      </c>
      <c r="G3251">
        <v>3.0000000000000001E-3</v>
      </c>
      <c r="H3251">
        <v>7.5</v>
      </c>
      <c r="I3251" t="s">
        <v>15</v>
      </c>
      <c r="J3251" t="s">
        <v>15</v>
      </c>
      <c r="K3251">
        <v>1.35</v>
      </c>
      <c r="L3251">
        <v>0</v>
      </c>
    </row>
    <row r="3252" spans="1:12" x14ac:dyDescent="0.3">
      <c r="A3252" t="s">
        <v>3268</v>
      </c>
      <c r="B3252" t="s">
        <v>21</v>
      </c>
      <c r="C3252">
        <v>3499</v>
      </c>
      <c r="D3252">
        <v>10.5</v>
      </c>
      <c r="E3252">
        <v>1.89</v>
      </c>
      <c r="F3252">
        <f>COUNTIFS(mdr_rate_cleaned!$A$2:$A$10,B3252,mdr_rate_cleaned!$B$2:$B$10,"&lt;"&amp;C3252,mdr_rate_cleaned!$F$2:$F$10,"&gt;="&amp;C3252)</f>
        <v>1</v>
      </c>
      <c r="G3252">
        <v>3.0000000000000001E-3</v>
      </c>
      <c r="H3252">
        <v>10.5</v>
      </c>
      <c r="I3252" t="s">
        <v>15</v>
      </c>
      <c r="J3252" t="s">
        <v>15</v>
      </c>
      <c r="K3252">
        <v>1.89</v>
      </c>
      <c r="L3252">
        <v>0</v>
      </c>
    </row>
    <row r="3253" spans="1:12" x14ac:dyDescent="0.3">
      <c r="A3253" t="s">
        <v>3269</v>
      </c>
      <c r="B3253" t="s">
        <v>17</v>
      </c>
      <c r="C3253">
        <v>4999</v>
      </c>
      <c r="D3253">
        <v>79.98</v>
      </c>
      <c r="E3253">
        <v>14.4</v>
      </c>
      <c r="F3253">
        <f>COUNTIFS(mdr_rate_cleaned!$A$2:$A$10,B3253,mdr_rate_cleaned!$B$2:$B$10,"&lt;"&amp;C3253,mdr_rate_cleaned!$F$2:$F$10,"&gt;="&amp;C3253)</f>
        <v>1</v>
      </c>
      <c r="G3253">
        <v>1.6E-2</v>
      </c>
      <c r="H3253">
        <v>79.98</v>
      </c>
      <c r="I3253" t="s">
        <v>15</v>
      </c>
      <c r="J3253" t="s">
        <v>15</v>
      </c>
      <c r="K3253">
        <v>14.4</v>
      </c>
      <c r="L3253">
        <v>0</v>
      </c>
    </row>
    <row r="3254" spans="1:12" x14ac:dyDescent="0.3">
      <c r="A3254" t="s">
        <v>3270</v>
      </c>
      <c r="B3254" t="s">
        <v>21</v>
      </c>
      <c r="C3254">
        <v>4597</v>
      </c>
      <c r="D3254">
        <v>13.79</v>
      </c>
      <c r="E3254">
        <v>2.48</v>
      </c>
      <c r="F3254">
        <f>COUNTIFS(mdr_rate_cleaned!$A$2:$A$10,B3254,mdr_rate_cleaned!$B$2:$B$10,"&lt;"&amp;C3254,mdr_rate_cleaned!$F$2:$F$10,"&gt;="&amp;C3254)</f>
        <v>1</v>
      </c>
      <c r="G3254">
        <v>3.0000000000000001E-3</v>
      </c>
      <c r="H3254">
        <v>13.79</v>
      </c>
      <c r="I3254" t="s">
        <v>15</v>
      </c>
      <c r="J3254" t="s">
        <v>15</v>
      </c>
      <c r="K3254">
        <v>2.48</v>
      </c>
      <c r="L3254">
        <v>0</v>
      </c>
    </row>
    <row r="3255" spans="1:12" x14ac:dyDescent="0.3">
      <c r="A3255" t="s">
        <v>3271</v>
      </c>
      <c r="B3255" t="s">
        <v>21</v>
      </c>
      <c r="C3255">
        <v>1798</v>
      </c>
      <c r="D3255">
        <v>0</v>
      </c>
      <c r="E3255">
        <v>0</v>
      </c>
      <c r="F3255">
        <f>COUNTIFS(mdr_rate_cleaned!$A$2:$A$10,B3255,mdr_rate_cleaned!$B$2:$B$10,"&lt;"&amp;C3255,mdr_rate_cleaned!$F$2:$F$10,"&gt;="&amp;C3255)</f>
        <v>1</v>
      </c>
      <c r="G3255">
        <v>0</v>
      </c>
      <c r="H3255">
        <v>0</v>
      </c>
      <c r="I3255" t="s">
        <v>15</v>
      </c>
      <c r="J3255" t="s">
        <v>15</v>
      </c>
      <c r="K3255">
        <v>0</v>
      </c>
      <c r="L3255">
        <v>0</v>
      </c>
    </row>
    <row r="3256" spans="1:12" x14ac:dyDescent="0.3">
      <c r="A3256" t="s">
        <v>3272</v>
      </c>
      <c r="B3256" t="s">
        <v>21</v>
      </c>
      <c r="C3256">
        <v>1798</v>
      </c>
      <c r="D3256">
        <v>0</v>
      </c>
      <c r="E3256">
        <v>0</v>
      </c>
      <c r="F3256">
        <f>COUNTIFS(mdr_rate_cleaned!$A$2:$A$10,B3256,mdr_rate_cleaned!$B$2:$B$10,"&lt;"&amp;C3256,mdr_rate_cleaned!$F$2:$F$10,"&gt;="&amp;C3256)</f>
        <v>1</v>
      </c>
      <c r="G3256">
        <v>0</v>
      </c>
      <c r="H3256">
        <v>0</v>
      </c>
      <c r="I3256" t="s">
        <v>15</v>
      </c>
      <c r="J3256" t="s">
        <v>15</v>
      </c>
      <c r="K3256">
        <v>0</v>
      </c>
      <c r="L3256">
        <v>0</v>
      </c>
    </row>
    <row r="3257" spans="1:12" x14ac:dyDescent="0.3">
      <c r="A3257" t="s">
        <v>3273</v>
      </c>
      <c r="B3257" t="s">
        <v>17</v>
      </c>
      <c r="C3257">
        <v>13597</v>
      </c>
      <c r="D3257">
        <v>217.55</v>
      </c>
      <c r="E3257">
        <v>39.159999999999997</v>
      </c>
      <c r="F3257">
        <f>COUNTIFS(mdr_rate_cleaned!$A$2:$A$10,B3257,mdr_rate_cleaned!$B$2:$B$10,"&lt;"&amp;C3257,mdr_rate_cleaned!$F$2:$F$10,"&gt;="&amp;C3257)</f>
        <v>1</v>
      </c>
      <c r="G3257">
        <v>1.6E-2</v>
      </c>
      <c r="H3257">
        <v>217.55</v>
      </c>
      <c r="I3257" t="s">
        <v>15</v>
      </c>
      <c r="J3257" t="s">
        <v>15</v>
      </c>
      <c r="K3257">
        <v>39.159999999999997</v>
      </c>
      <c r="L3257">
        <v>0</v>
      </c>
    </row>
    <row r="3258" spans="1:12" x14ac:dyDescent="0.3">
      <c r="A3258" t="s">
        <v>3274</v>
      </c>
      <c r="B3258" t="s">
        <v>21</v>
      </c>
      <c r="C3258">
        <v>1299</v>
      </c>
      <c r="D3258">
        <v>0</v>
      </c>
      <c r="E3258">
        <v>0</v>
      </c>
      <c r="F3258">
        <f>COUNTIFS(mdr_rate_cleaned!$A$2:$A$10,B3258,mdr_rate_cleaned!$B$2:$B$10,"&lt;"&amp;C3258,mdr_rate_cleaned!$F$2:$F$10,"&gt;="&amp;C3258)</f>
        <v>1</v>
      </c>
      <c r="G3258">
        <v>0</v>
      </c>
      <c r="H3258">
        <v>0</v>
      </c>
      <c r="I3258" t="s">
        <v>15</v>
      </c>
      <c r="J3258" t="s">
        <v>15</v>
      </c>
      <c r="K3258">
        <v>0</v>
      </c>
      <c r="L3258">
        <v>0</v>
      </c>
    </row>
    <row r="3259" spans="1:12" x14ac:dyDescent="0.3">
      <c r="A3259" t="s">
        <v>3275</v>
      </c>
      <c r="B3259" t="s">
        <v>13</v>
      </c>
      <c r="C3259">
        <v>6797</v>
      </c>
      <c r="D3259">
        <v>115.55</v>
      </c>
      <c r="E3259">
        <v>20.8</v>
      </c>
      <c r="F3259">
        <f>COUNTIFS(mdr_rate_cleaned!$A$2:$A$10,B3259,mdr_rate_cleaned!$B$2:$B$10,"&lt;"&amp;C3259,mdr_rate_cleaned!$F$2:$F$10,"&gt;="&amp;C3259)</f>
        <v>1</v>
      </c>
      <c r="G3259">
        <v>1.7000000000000001E-2</v>
      </c>
      <c r="H3259">
        <v>115.55</v>
      </c>
      <c r="I3259" t="s">
        <v>15</v>
      </c>
      <c r="J3259" t="s">
        <v>15</v>
      </c>
      <c r="K3259">
        <v>20.8</v>
      </c>
      <c r="L3259">
        <v>0</v>
      </c>
    </row>
    <row r="3260" spans="1:12" x14ac:dyDescent="0.3">
      <c r="A3260" t="s">
        <v>3276</v>
      </c>
      <c r="B3260" t="s">
        <v>21</v>
      </c>
      <c r="C3260">
        <v>2999</v>
      </c>
      <c r="D3260">
        <v>9</v>
      </c>
      <c r="E3260">
        <v>1.62</v>
      </c>
      <c r="F3260">
        <f>COUNTIFS(mdr_rate_cleaned!$A$2:$A$10,B3260,mdr_rate_cleaned!$B$2:$B$10,"&lt;"&amp;C3260,mdr_rate_cleaned!$F$2:$F$10,"&gt;="&amp;C3260)</f>
        <v>1</v>
      </c>
      <c r="G3260">
        <v>3.0000000000000001E-3</v>
      </c>
      <c r="H3260">
        <v>9</v>
      </c>
      <c r="I3260" t="s">
        <v>15</v>
      </c>
      <c r="J3260" t="s">
        <v>15</v>
      </c>
      <c r="K3260">
        <v>1.62</v>
      </c>
      <c r="L3260">
        <v>0</v>
      </c>
    </row>
    <row r="3261" spans="1:12" x14ac:dyDescent="0.3">
      <c r="A3261" t="s">
        <v>3277</v>
      </c>
      <c r="B3261" t="s">
        <v>21</v>
      </c>
      <c r="C3261">
        <v>7999</v>
      </c>
      <c r="D3261">
        <v>24</v>
      </c>
      <c r="E3261">
        <v>4.32</v>
      </c>
      <c r="F3261">
        <f>COUNTIFS(mdr_rate_cleaned!$A$2:$A$10,B3261,mdr_rate_cleaned!$B$2:$B$10,"&lt;"&amp;C3261,mdr_rate_cleaned!$F$2:$F$10,"&gt;="&amp;C3261)</f>
        <v>1</v>
      </c>
      <c r="G3261">
        <v>3.0000000000000001E-3</v>
      </c>
      <c r="H3261">
        <v>24</v>
      </c>
      <c r="I3261" t="s">
        <v>15</v>
      </c>
      <c r="J3261" t="s">
        <v>15</v>
      </c>
      <c r="K3261">
        <v>4.32</v>
      </c>
      <c r="L3261">
        <v>0</v>
      </c>
    </row>
    <row r="3262" spans="1:12" x14ac:dyDescent="0.3">
      <c r="A3262" t="s">
        <v>3278</v>
      </c>
      <c r="B3262" t="s">
        <v>21</v>
      </c>
      <c r="C3262">
        <v>2798</v>
      </c>
      <c r="D3262">
        <v>8.39</v>
      </c>
      <c r="E3262">
        <v>1.51</v>
      </c>
      <c r="F3262">
        <f>COUNTIFS(mdr_rate_cleaned!$A$2:$A$10,B3262,mdr_rate_cleaned!$B$2:$B$10,"&lt;"&amp;C3262,mdr_rate_cleaned!$F$2:$F$10,"&gt;="&amp;C3262)</f>
        <v>1</v>
      </c>
      <c r="G3262">
        <v>3.0000000000000001E-3</v>
      </c>
      <c r="H3262">
        <v>8.39</v>
      </c>
      <c r="I3262" t="s">
        <v>15</v>
      </c>
      <c r="J3262" t="s">
        <v>15</v>
      </c>
      <c r="K3262">
        <v>1.51</v>
      </c>
      <c r="L3262">
        <v>0</v>
      </c>
    </row>
    <row r="3263" spans="1:12" x14ac:dyDescent="0.3">
      <c r="A3263" t="s">
        <v>3279</v>
      </c>
      <c r="B3263" t="s">
        <v>13</v>
      </c>
      <c r="C3263">
        <v>898</v>
      </c>
      <c r="D3263">
        <v>17.059999999999999</v>
      </c>
      <c r="E3263">
        <v>3.07</v>
      </c>
      <c r="F3263">
        <f>COUNTIFS(mdr_rate_cleaned!$A$2:$A$10,B3263,mdr_rate_cleaned!$B$2:$B$10,"&lt;"&amp;C3263,mdr_rate_cleaned!$F$2:$F$10,"&gt;="&amp;C3263)</f>
        <v>1</v>
      </c>
      <c r="G3263">
        <v>1.9E-2</v>
      </c>
      <c r="H3263">
        <v>17.059999999999999</v>
      </c>
      <c r="I3263" t="s">
        <v>15</v>
      </c>
      <c r="J3263" t="s">
        <v>15</v>
      </c>
      <c r="K3263">
        <v>3.07</v>
      </c>
      <c r="L3263">
        <v>0</v>
      </c>
    </row>
    <row r="3264" spans="1:12" x14ac:dyDescent="0.3">
      <c r="A3264" t="s">
        <v>3280</v>
      </c>
      <c r="B3264" t="s">
        <v>39</v>
      </c>
      <c r="C3264">
        <v>1098</v>
      </c>
      <c r="D3264">
        <v>16.47</v>
      </c>
      <c r="E3264">
        <v>2.96</v>
      </c>
      <c r="F3264">
        <f>COUNTIFS(mdr_rate_cleaned!$A$2:$A$10,B3264,mdr_rate_cleaned!$B$2:$B$10,"&lt;"&amp;C3264,mdr_rate_cleaned!$F$2:$F$10,"&gt;="&amp;C3264)</f>
        <v>1</v>
      </c>
      <c r="G3264">
        <v>1.4999999999999999E-2</v>
      </c>
      <c r="H3264">
        <v>16.47</v>
      </c>
      <c r="I3264" t="s">
        <v>15</v>
      </c>
      <c r="J3264" t="s">
        <v>15</v>
      </c>
      <c r="K3264">
        <v>2.96</v>
      </c>
      <c r="L3264">
        <v>0</v>
      </c>
    </row>
    <row r="3265" spans="1:12" x14ac:dyDescent="0.3">
      <c r="A3265" t="s">
        <v>3281</v>
      </c>
      <c r="B3265" t="s">
        <v>17</v>
      </c>
      <c r="C3265">
        <v>4999</v>
      </c>
      <c r="D3265">
        <v>79.98</v>
      </c>
      <c r="E3265">
        <v>14.4</v>
      </c>
      <c r="F3265">
        <f>COUNTIFS(mdr_rate_cleaned!$A$2:$A$10,B3265,mdr_rate_cleaned!$B$2:$B$10,"&lt;"&amp;C3265,mdr_rate_cleaned!$F$2:$F$10,"&gt;="&amp;C3265)</f>
        <v>1</v>
      </c>
      <c r="G3265">
        <v>1.6E-2</v>
      </c>
      <c r="H3265">
        <v>79.98</v>
      </c>
      <c r="I3265" t="s">
        <v>15</v>
      </c>
      <c r="J3265" t="s">
        <v>15</v>
      </c>
      <c r="K3265">
        <v>14.4</v>
      </c>
      <c r="L3265">
        <v>0</v>
      </c>
    </row>
    <row r="3266" spans="1:12" x14ac:dyDescent="0.3">
      <c r="A3266" t="s">
        <v>3282</v>
      </c>
      <c r="B3266" t="s">
        <v>21</v>
      </c>
      <c r="C3266">
        <v>1299</v>
      </c>
      <c r="D3266">
        <v>0</v>
      </c>
      <c r="E3266">
        <v>0</v>
      </c>
      <c r="F3266">
        <f>COUNTIFS(mdr_rate_cleaned!$A$2:$A$10,B3266,mdr_rate_cleaned!$B$2:$B$10,"&lt;"&amp;C3266,mdr_rate_cleaned!$F$2:$F$10,"&gt;="&amp;C3266)</f>
        <v>1</v>
      </c>
      <c r="G3266">
        <v>0</v>
      </c>
      <c r="H3266">
        <v>0</v>
      </c>
      <c r="I3266" t="s">
        <v>15</v>
      </c>
      <c r="J3266" t="s">
        <v>15</v>
      </c>
      <c r="K3266">
        <v>0</v>
      </c>
      <c r="L3266">
        <v>0</v>
      </c>
    </row>
    <row r="3267" spans="1:12" x14ac:dyDescent="0.3">
      <c r="A3267" t="s">
        <v>3283</v>
      </c>
      <c r="B3267" t="s">
        <v>17</v>
      </c>
      <c r="C3267">
        <v>4998</v>
      </c>
      <c r="D3267">
        <v>79.97</v>
      </c>
      <c r="E3267">
        <v>14.39</v>
      </c>
      <c r="F3267">
        <f>COUNTIFS(mdr_rate_cleaned!$A$2:$A$10,B3267,mdr_rate_cleaned!$B$2:$B$10,"&lt;"&amp;C3267,mdr_rate_cleaned!$F$2:$F$10,"&gt;="&amp;C3267)</f>
        <v>1</v>
      </c>
      <c r="G3267">
        <v>1.6E-2</v>
      </c>
      <c r="H3267">
        <v>79.97</v>
      </c>
      <c r="I3267" t="s">
        <v>15</v>
      </c>
      <c r="J3267" t="s">
        <v>15</v>
      </c>
      <c r="K3267">
        <v>14.39</v>
      </c>
      <c r="L3267">
        <v>0</v>
      </c>
    </row>
    <row r="3268" spans="1:12" x14ac:dyDescent="0.3">
      <c r="A3268" t="s">
        <v>3284</v>
      </c>
      <c r="B3268" t="s">
        <v>17</v>
      </c>
      <c r="C3268">
        <v>4798</v>
      </c>
      <c r="D3268">
        <v>76.77</v>
      </c>
      <c r="E3268">
        <v>13.82</v>
      </c>
      <c r="F3268">
        <f>COUNTIFS(mdr_rate_cleaned!$A$2:$A$10,B3268,mdr_rate_cleaned!$B$2:$B$10,"&lt;"&amp;C3268,mdr_rate_cleaned!$F$2:$F$10,"&gt;="&amp;C3268)</f>
        <v>1</v>
      </c>
      <c r="G3268">
        <v>1.6E-2</v>
      </c>
      <c r="H3268">
        <v>76.77</v>
      </c>
      <c r="I3268" t="s">
        <v>15</v>
      </c>
      <c r="J3268" t="s">
        <v>15</v>
      </c>
      <c r="K3268">
        <v>13.82</v>
      </c>
      <c r="L3268">
        <v>0</v>
      </c>
    </row>
    <row r="3269" spans="1:12" x14ac:dyDescent="0.3">
      <c r="A3269" t="s">
        <v>3285</v>
      </c>
      <c r="B3269" t="s">
        <v>13</v>
      </c>
      <c r="C3269">
        <v>698</v>
      </c>
      <c r="D3269">
        <v>13.26</v>
      </c>
      <c r="E3269">
        <v>2.39</v>
      </c>
      <c r="F3269">
        <f>COUNTIFS(mdr_rate_cleaned!$A$2:$A$10,B3269,mdr_rate_cleaned!$B$2:$B$10,"&lt;"&amp;C3269,mdr_rate_cleaned!$F$2:$F$10,"&gt;="&amp;C3269)</f>
        <v>1</v>
      </c>
      <c r="G3269">
        <v>1.9E-2</v>
      </c>
      <c r="H3269">
        <v>13.26</v>
      </c>
      <c r="I3269" t="s">
        <v>15</v>
      </c>
      <c r="J3269" t="s">
        <v>15</v>
      </c>
      <c r="K3269">
        <v>2.39</v>
      </c>
      <c r="L3269">
        <v>0</v>
      </c>
    </row>
    <row r="3270" spans="1:12" x14ac:dyDescent="0.3">
      <c r="A3270" t="s">
        <v>3286</v>
      </c>
      <c r="B3270" t="s">
        <v>39</v>
      </c>
      <c r="C3270">
        <v>349</v>
      </c>
      <c r="D3270">
        <v>5.24</v>
      </c>
      <c r="E3270">
        <v>0.94</v>
      </c>
      <c r="F3270">
        <f>COUNTIFS(mdr_rate_cleaned!$A$2:$A$10,B3270,mdr_rate_cleaned!$B$2:$B$10,"&lt;"&amp;C3270,mdr_rate_cleaned!$F$2:$F$10,"&gt;="&amp;C3270)</f>
        <v>1</v>
      </c>
      <c r="G3270">
        <v>1.4999999999999999E-2</v>
      </c>
      <c r="H3270">
        <v>5.24</v>
      </c>
      <c r="I3270" t="s">
        <v>15</v>
      </c>
      <c r="J3270" t="s">
        <v>15</v>
      </c>
      <c r="K3270">
        <v>0.94</v>
      </c>
      <c r="L3270">
        <v>0</v>
      </c>
    </row>
    <row r="3271" spans="1:12" x14ac:dyDescent="0.3">
      <c r="A3271" t="s">
        <v>3287</v>
      </c>
      <c r="B3271" t="s">
        <v>21</v>
      </c>
      <c r="C3271">
        <v>4498</v>
      </c>
      <c r="D3271">
        <v>13.49</v>
      </c>
      <c r="E3271">
        <v>2.4300000000000002</v>
      </c>
      <c r="F3271">
        <f>COUNTIFS(mdr_rate_cleaned!$A$2:$A$10,B3271,mdr_rate_cleaned!$B$2:$B$10,"&lt;"&amp;C3271,mdr_rate_cleaned!$F$2:$F$10,"&gt;="&amp;C3271)</f>
        <v>1</v>
      </c>
      <c r="G3271">
        <v>3.0000000000000001E-3</v>
      </c>
      <c r="H3271">
        <v>13.49</v>
      </c>
      <c r="I3271" t="s">
        <v>15</v>
      </c>
      <c r="J3271" t="s">
        <v>15</v>
      </c>
      <c r="K3271">
        <v>2.4300000000000002</v>
      </c>
      <c r="L3271">
        <v>0</v>
      </c>
    </row>
    <row r="3272" spans="1:12" x14ac:dyDescent="0.3">
      <c r="A3272" t="s">
        <v>3288</v>
      </c>
      <c r="B3272" t="s">
        <v>21</v>
      </c>
      <c r="C3272">
        <v>3797</v>
      </c>
      <c r="D3272">
        <v>11.39</v>
      </c>
      <c r="E3272">
        <v>2.0499999999999998</v>
      </c>
      <c r="F3272">
        <f>COUNTIFS(mdr_rate_cleaned!$A$2:$A$10,B3272,mdr_rate_cleaned!$B$2:$B$10,"&lt;"&amp;C3272,mdr_rate_cleaned!$F$2:$F$10,"&gt;="&amp;C3272)</f>
        <v>1</v>
      </c>
      <c r="G3272">
        <v>3.0000000000000001E-3</v>
      </c>
      <c r="H3272">
        <v>11.39</v>
      </c>
      <c r="I3272" t="s">
        <v>15</v>
      </c>
      <c r="J3272" t="s">
        <v>15</v>
      </c>
      <c r="K3272">
        <v>2.0499999999999998</v>
      </c>
      <c r="L3272">
        <v>0</v>
      </c>
    </row>
    <row r="3273" spans="1:12" x14ac:dyDescent="0.3">
      <c r="A3273" t="s">
        <v>3289</v>
      </c>
      <c r="B3273" t="s">
        <v>21</v>
      </c>
      <c r="C3273">
        <v>1998</v>
      </c>
      <c r="D3273">
        <v>0</v>
      </c>
      <c r="E3273">
        <v>0</v>
      </c>
      <c r="F3273">
        <f>COUNTIFS(mdr_rate_cleaned!$A$2:$A$10,B3273,mdr_rate_cleaned!$B$2:$B$10,"&lt;"&amp;C3273,mdr_rate_cleaned!$F$2:$F$10,"&gt;="&amp;C3273)</f>
        <v>1</v>
      </c>
      <c r="G3273">
        <v>0</v>
      </c>
      <c r="H3273">
        <v>0</v>
      </c>
      <c r="I3273" t="s">
        <v>15</v>
      </c>
      <c r="J3273" t="s">
        <v>15</v>
      </c>
      <c r="K3273">
        <v>0</v>
      </c>
      <c r="L3273">
        <v>0</v>
      </c>
    </row>
    <row r="3274" spans="1:12" x14ac:dyDescent="0.3">
      <c r="A3274" t="s">
        <v>3290</v>
      </c>
      <c r="B3274" t="s">
        <v>21</v>
      </c>
      <c r="C3274">
        <v>648</v>
      </c>
      <c r="D3274">
        <v>0</v>
      </c>
      <c r="E3274">
        <v>0</v>
      </c>
      <c r="F3274">
        <f>COUNTIFS(mdr_rate_cleaned!$A$2:$A$10,B3274,mdr_rate_cleaned!$B$2:$B$10,"&lt;"&amp;C3274,mdr_rate_cleaned!$F$2:$F$10,"&gt;="&amp;C3274)</f>
        <v>1</v>
      </c>
      <c r="G3274">
        <v>0</v>
      </c>
      <c r="H3274">
        <v>0</v>
      </c>
      <c r="I3274" t="s">
        <v>15</v>
      </c>
      <c r="J3274" t="s">
        <v>15</v>
      </c>
      <c r="K3274">
        <v>0</v>
      </c>
      <c r="L3274">
        <v>0</v>
      </c>
    </row>
    <row r="3275" spans="1:12" x14ac:dyDescent="0.3">
      <c r="A3275" t="s">
        <v>3291</v>
      </c>
      <c r="B3275" t="s">
        <v>17</v>
      </c>
      <c r="C3275">
        <v>5298</v>
      </c>
      <c r="D3275">
        <v>84.77</v>
      </c>
      <c r="E3275">
        <v>15.26</v>
      </c>
      <c r="F3275">
        <f>COUNTIFS(mdr_rate_cleaned!$A$2:$A$10,B3275,mdr_rate_cleaned!$B$2:$B$10,"&lt;"&amp;C3275,mdr_rate_cleaned!$F$2:$F$10,"&gt;="&amp;C3275)</f>
        <v>1</v>
      </c>
      <c r="G3275">
        <v>1.6E-2</v>
      </c>
      <c r="H3275">
        <v>84.77</v>
      </c>
      <c r="I3275" t="s">
        <v>15</v>
      </c>
      <c r="J3275" t="s">
        <v>15</v>
      </c>
      <c r="K3275">
        <v>15.26</v>
      </c>
      <c r="L3275">
        <v>0</v>
      </c>
    </row>
    <row r="3276" spans="1:12" x14ac:dyDescent="0.3">
      <c r="A3276" t="s">
        <v>3292</v>
      </c>
      <c r="B3276" t="s">
        <v>21</v>
      </c>
      <c r="C3276">
        <v>1299</v>
      </c>
      <c r="D3276">
        <v>0</v>
      </c>
      <c r="E3276">
        <v>0</v>
      </c>
      <c r="F3276">
        <f>COUNTIFS(mdr_rate_cleaned!$A$2:$A$10,B3276,mdr_rate_cleaned!$B$2:$B$10,"&lt;"&amp;C3276,mdr_rate_cleaned!$F$2:$F$10,"&gt;="&amp;C3276)</f>
        <v>1</v>
      </c>
      <c r="G3276">
        <v>0</v>
      </c>
      <c r="H3276">
        <v>0</v>
      </c>
      <c r="I3276" t="s">
        <v>15</v>
      </c>
      <c r="J3276" t="s">
        <v>15</v>
      </c>
      <c r="K3276">
        <v>0</v>
      </c>
      <c r="L3276">
        <v>0</v>
      </c>
    </row>
    <row r="3277" spans="1:12" x14ac:dyDescent="0.3">
      <c r="A3277" t="s">
        <v>3293</v>
      </c>
      <c r="B3277" t="s">
        <v>17</v>
      </c>
      <c r="C3277">
        <v>3147</v>
      </c>
      <c r="D3277">
        <v>50.35</v>
      </c>
      <c r="E3277">
        <v>9.06</v>
      </c>
      <c r="F3277">
        <f>COUNTIFS(mdr_rate_cleaned!$A$2:$A$10,B3277,mdr_rate_cleaned!$B$2:$B$10,"&lt;"&amp;C3277,mdr_rate_cleaned!$F$2:$F$10,"&gt;="&amp;C3277)</f>
        <v>1</v>
      </c>
      <c r="G3277">
        <v>1.6E-2</v>
      </c>
      <c r="H3277">
        <v>50.35</v>
      </c>
      <c r="I3277" t="s">
        <v>15</v>
      </c>
      <c r="J3277" t="s">
        <v>15</v>
      </c>
      <c r="K3277">
        <v>9.06</v>
      </c>
      <c r="L3277">
        <v>0</v>
      </c>
    </row>
    <row r="3278" spans="1:12" x14ac:dyDescent="0.3">
      <c r="A3278" t="s">
        <v>3294</v>
      </c>
      <c r="B3278" t="s">
        <v>39</v>
      </c>
      <c r="C3278">
        <v>3499</v>
      </c>
      <c r="D3278">
        <v>41.99</v>
      </c>
      <c r="E3278">
        <v>7.56</v>
      </c>
      <c r="F3278">
        <f>COUNTIFS(mdr_rate_cleaned!$A$2:$A$10,B3278,mdr_rate_cleaned!$B$2:$B$10,"&lt;"&amp;C3278,mdr_rate_cleaned!$F$2:$F$10,"&gt;="&amp;C3278)</f>
        <v>1</v>
      </c>
      <c r="G3278">
        <v>1.2E-2</v>
      </c>
      <c r="H3278">
        <v>41.99</v>
      </c>
      <c r="I3278" t="s">
        <v>15</v>
      </c>
      <c r="J3278" t="s">
        <v>15</v>
      </c>
      <c r="K3278">
        <v>7.56</v>
      </c>
      <c r="L3278">
        <v>0</v>
      </c>
    </row>
    <row r="3279" spans="1:12" x14ac:dyDescent="0.3">
      <c r="A3279" t="s">
        <v>3295</v>
      </c>
      <c r="B3279" t="s">
        <v>21</v>
      </c>
      <c r="C3279">
        <v>2499</v>
      </c>
      <c r="D3279">
        <v>7.5</v>
      </c>
      <c r="E3279">
        <v>1.35</v>
      </c>
      <c r="F3279">
        <f>COUNTIFS(mdr_rate_cleaned!$A$2:$A$10,B3279,mdr_rate_cleaned!$B$2:$B$10,"&lt;"&amp;C3279,mdr_rate_cleaned!$F$2:$F$10,"&gt;="&amp;C3279)</f>
        <v>1</v>
      </c>
      <c r="G3279">
        <v>3.0000000000000001E-3</v>
      </c>
      <c r="H3279">
        <v>7.5</v>
      </c>
      <c r="I3279" t="s">
        <v>15</v>
      </c>
      <c r="J3279" t="s">
        <v>15</v>
      </c>
      <c r="K3279">
        <v>1.35</v>
      </c>
      <c r="L3279">
        <v>0</v>
      </c>
    </row>
    <row r="3280" spans="1:12" x14ac:dyDescent="0.3">
      <c r="A3280" t="s">
        <v>3296</v>
      </c>
      <c r="B3280" t="s">
        <v>21</v>
      </c>
      <c r="C3280">
        <v>599</v>
      </c>
      <c r="D3280">
        <v>0</v>
      </c>
      <c r="E3280">
        <v>0</v>
      </c>
      <c r="F3280">
        <f>COUNTIFS(mdr_rate_cleaned!$A$2:$A$10,B3280,mdr_rate_cleaned!$B$2:$B$10,"&lt;"&amp;C3280,mdr_rate_cleaned!$F$2:$F$10,"&gt;="&amp;C3280)</f>
        <v>1</v>
      </c>
      <c r="G3280">
        <v>0</v>
      </c>
      <c r="H3280">
        <v>0</v>
      </c>
      <c r="I3280" t="s">
        <v>15</v>
      </c>
      <c r="J3280" t="s">
        <v>15</v>
      </c>
      <c r="K3280">
        <v>0</v>
      </c>
      <c r="L3280">
        <v>0</v>
      </c>
    </row>
    <row r="3281" spans="1:12" x14ac:dyDescent="0.3">
      <c r="A3281" t="s">
        <v>3297</v>
      </c>
      <c r="B3281" t="s">
        <v>21</v>
      </c>
      <c r="C3281">
        <v>6847</v>
      </c>
      <c r="D3281">
        <v>20.54</v>
      </c>
      <c r="E3281">
        <v>3.7</v>
      </c>
      <c r="F3281">
        <f>COUNTIFS(mdr_rate_cleaned!$A$2:$A$10,B3281,mdr_rate_cleaned!$B$2:$B$10,"&lt;"&amp;C3281,mdr_rate_cleaned!$F$2:$F$10,"&gt;="&amp;C3281)</f>
        <v>1</v>
      </c>
      <c r="G3281">
        <v>3.0000000000000001E-3</v>
      </c>
      <c r="H3281">
        <v>20.54</v>
      </c>
      <c r="I3281" t="s">
        <v>15</v>
      </c>
      <c r="J3281" t="s">
        <v>15</v>
      </c>
      <c r="K3281">
        <v>3.7</v>
      </c>
      <c r="L3281">
        <v>0</v>
      </c>
    </row>
    <row r="3282" spans="1:12" x14ac:dyDescent="0.3">
      <c r="A3282" t="s">
        <v>3298</v>
      </c>
      <c r="B3282" t="s">
        <v>21</v>
      </c>
      <c r="C3282">
        <v>2499</v>
      </c>
      <c r="D3282">
        <v>7.5</v>
      </c>
      <c r="E3282">
        <v>1.35</v>
      </c>
      <c r="F3282">
        <f>COUNTIFS(mdr_rate_cleaned!$A$2:$A$10,B3282,mdr_rate_cleaned!$B$2:$B$10,"&lt;"&amp;C3282,mdr_rate_cleaned!$F$2:$F$10,"&gt;="&amp;C3282)</f>
        <v>1</v>
      </c>
      <c r="G3282">
        <v>3.0000000000000001E-3</v>
      </c>
      <c r="H3282">
        <v>7.5</v>
      </c>
      <c r="I3282" t="s">
        <v>15</v>
      </c>
      <c r="J3282" t="s">
        <v>15</v>
      </c>
      <c r="K3282">
        <v>1.35</v>
      </c>
      <c r="L3282">
        <v>0</v>
      </c>
    </row>
    <row r="3283" spans="1:12" x14ac:dyDescent="0.3">
      <c r="A3283" t="s">
        <v>3299</v>
      </c>
      <c r="B3283" t="s">
        <v>21</v>
      </c>
      <c r="C3283">
        <v>3498</v>
      </c>
      <c r="D3283">
        <v>10.49</v>
      </c>
      <c r="E3283">
        <v>1.89</v>
      </c>
      <c r="F3283">
        <f>COUNTIFS(mdr_rate_cleaned!$A$2:$A$10,B3283,mdr_rate_cleaned!$B$2:$B$10,"&lt;"&amp;C3283,mdr_rate_cleaned!$F$2:$F$10,"&gt;="&amp;C3283)</f>
        <v>1</v>
      </c>
      <c r="G3283">
        <v>3.0000000000000001E-3</v>
      </c>
      <c r="H3283">
        <v>10.49</v>
      </c>
      <c r="I3283" t="s">
        <v>15</v>
      </c>
      <c r="J3283" t="s">
        <v>15</v>
      </c>
      <c r="K3283">
        <v>1.89</v>
      </c>
      <c r="L3283">
        <v>0</v>
      </c>
    </row>
    <row r="3284" spans="1:12" x14ac:dyDescent="0.3">
      <c r="A3284" t="s">
        <v>3300</v>
      </c>
      <c r="B3284" t="s">
        <v>17</v>
      </c>
      <c r="C3284">
        <v>4999</v>
      </c>
      <c r="D3284">
        <v>79.98</v>
      </c>
      <c r="E3284">
        <v>14.4</v>
      </c>
      <c r="F3284">
        <f>COUNTIFS(mdr_rate_cleaned!$A$2:$A$10,B3284,mdr_rate_cleaned!$B$2:$B$10,"&lt;"&amp;C3284,mdr_rate_cleaned!$F$2:$F$10,"&gt;="&amp;C3284)</f>
        <v>1</v>
      </c>
      <c r="G3284">
        <v>1.6E-2</v>
      </c>
      <c r="H3284">
        <v>79.98</v>
      </c>
      <c r="I3284" t="s">
        <v>15</v>
      </c>
      <c r="J3284" t="s">
        <v>15</v>
      </c>
      <c r="K3284">
        <v>14.4</v>
      </c>
      <c r="L3284">
        <v>0</v>
      </c>
    </row>
    <row r="3285" spans="1:12" x14ac:dyDescent="0.3">
      <c r="A3285" t="s">
        <v>3301</v>
      </c>
      <c r="B3285" t="s">
        <v>13</v>
      </c>
      <c r="C3285">
        <v>4498</v>
      </c>
      <c r="D3285">
        <v>76.47</v>
      </c>
      <c r="E3285">
        <v>13.76</v>
      </c>
      <c r="F3285">
        <f>COUNTIFS(mdr_rate_cleaned!$A$2:$A$10,B3285,mdr_rate_cleaned!$B$2:$B$10,"&lt;"&amp;C3285,mdr_rate_cleaned!$F$2:$F$10,"&gt;="&amp;C3285)</f>
        <v>1</v>
      </c>
      <c r="G3285">
        <v>1.7000000000000001E-2</v>
      </c>
      <c r="H3285">
        <v>76.47</v>
      </c>
      <c r="I3285" t="s">
        <v>15</v>
      </c>
      <c r="J3285" t="s">
        <v>15</v>
      </c>
      <c r="K3285">
        <v>13.76</v>
      </c>
      <c r="L3285">
        <v>0</v>
      </c>
    </row>
    <row r="3286" spans="1:12" x14ac:dyDescent="0.3">
      <c r="A3286" t="s">
        <v>3302</v>
      </c>
      <c r="B3286" t="s">
        <v>13</v>
      </c>
      <c r="C3286">
        <v>2398</v>
      </c>
      <c r="D3286">
        <v>40.770000000000003</v>
      </c>
      <c r="E3286">
        <v>7.34</v>
      </c>
      <c r="F3286">
        <f>COUNTIFS(mdr_rate_cleaned!$A$2:$A$10,B3286,mdr_rate_cleaned!$B$2:$B$10,"&lt;"&amp;C3286,mdr_rate_cleaned!$F$2:$F$10,"&gt;="&amp;C3286)</f>
        <v>1</v>
      </c>
      <c r="G3286">
        <v>1.7000000000000001E-2</v>
      </c>
      <c r="H3286">
        <v>40.770000000000003</v>
      </c>
      <c r="I3286" t="s">
        <v>15</v>
      </c>
      <c r="J3286" t="s">
        <v>15</v>
      </c>
      <c r="K3286">
        <v>7.34</v>
      </c>
      <c r="L3286">
        <v>0</v>
      </c>
    </row>
    <row r="3287" spans="1:12" x14ac:dyDescent="0.3">
      <c r="A3287" t="s">
        <v>3303</v>
      </c>
      <c r="B3287" t="s">
        <v>21</v>
      </c>
      <c r="C3287">
        <v>2499</v>
      </c>
      <c r="D3287">
        <v>7.5</v>
      </c>
      <c r="E3287">
        <v>1.35</v>
      </c>
      <c r="F3287">
        <f>COUNTIFS(mdr_rate_cleaned!$A$2:$A$10,B3287,mdr_rate_cleaned!$B$2:$B$10,"&lt;"&amp;C3287,mdr_rate_cleaned!$F$2:$F$10,"&gt;="&amp;C3287)</f>
        <v>1</v>
      </c>
      <c r="G3287">
        <v>3.0000000000000001E-3</v>
      </c>
      <c r="H3287">
        <v>7.5</v>
      </c>
      <c r="I3287" t="s">
        <v>15</v>
      </c>
      <c r="J3287" t="s">
        <v>15</v>
      </c>
      <c r="K3287">
        <v>1.35</v>
      </c>
      <c r="L3287">
        <v>0</v>
      </c>
    </row>
    <row r="3288" spans="1:12" x14ac:dyDescent="0.3">
      <c r="A3288" t="s">
        <v>3304</v>
      </c>
      <c r="B3288" t="s">
        <v>17</v>
      </c>
      <c r="C3288">
        <v>4999</v>
      </c>
      <c r="D3288">
        <v>79.98</v>
      </c>
      <c r="E3288">
        <v>14.4</v>
      </c>
      <c r="F3288">
        <f>COUNTIFS(mdr_rate_cleaned!$A$2:$A$10,B3288,mdr_rate_cleaned!$B$2:$B$10,"&lt;"&amp;C3288,mdr_rate_cleaned!$F$2:$F$10,"&gt;="&amp;C3288)</f>
        <v>1</v>
      </c>
      <c r="G3288">
        <v>1.6E-2</v>
      </c>
      <c r="H3288">
        <v>79.98</v>
      </c>
      <c r="I3288" t="s">
        <v>15</v>
      </c>
      <c r="J3288" t="s">
        <v>15</v>
      </c>
      <c r="K3288">
        <v>14.4</v>
      </c>
      <c r="L3288">
        <v>0</v>
      </c>
    </row>
    <row r="3289" spans="1:12" x14ac:dyDescent="0.3">
      <c r="A3289" t="s">
        <v>3305</v>
      </c>
      <c r="B3289" t="s">
        <v>17</v>
      </c>
      <c r="C3289">
        <v>3498</v>
      </c>
      <c r="D3289">
        <v>55.97</v>
      </c>
      <c r="E3289">
        <v>10.07</v>
      </c>
      <c r="F3289">
        <f>COUNTIFS(mdr_rate_cleaned!$A$2:$A$10,B3289,mdr_rate_cleaned!$B$2:$B$10,"&lt;"&amp;C3289,mdr_rate_cleaned!$F$2:$F$10,"&gt;="&amp;C3289)</f>
        <v>1</v>
      </c>
      <c r="G3289">
        <v>1.6E-2</v>
      </c>
      <c r="H3289">
        <v>55.97</v>
      </c>
      <c r="I3289" t="s">
        <v>15</v>
      </c>
      <c r="J3289" t="s">
        <v>15</v>
      </c>
      <c r="K3289">
        <v>10.07</v>
      </c>
      <c r="L3289">
        <v>0</v>
      </c>
    </row>
    <row r="3290" spans="1:12" x14ac:dyDescent="0.3">
      <c r="A3290" t="s">
        <v>3306</v>
      </c>
      <c r="B3290" t="s">
        <v>17</v>
      </c>
      <c r="C3290">
        <v>2999</v>
      </c>
      <c r="D3290">
        <v>47.98</v>
      </c>
      <c r="E3290">
        <v>8.64</v>
      </c>
      <c r="F3290">
        <f>COUNTIFS(mdr_rate_cleaned!$A$2:$A$10,B3290,mdr_rate_cleaned!$B$2:$B$10,"&lt;"&amp;C3290,mdr_rate_cleaned!$F$2:$F$10,"&gt;="&amp;C3290)</f>
        <v>1</v>
      </c>
      <c r="G3290">
        <v>1.6E-2</v>
      </c>
      <c r="H3290">
        <v>47.98</v>
      </c>
      <c r="I3290" t="s">
        <v>15</v>
      </c>
      <c r="J3290" t="s">
        <v>15</v>
      </c>
      <c r="K3290">
        <v>8.64</v>
      </c>
      <c r="L3290">
        <v>0</v>
      </c>
    </row>
    <row r="3291" spans="1:12" x14ac:dyDescent="0.3">
      <c r="A3291" t="s">
        <v>3307</v>
      </c>
      <c r="B3291" t="s">
        <v>21</v>
      </c>
      <c r="C3291">
        <v>3998</v>
      </c>
      <c r="D3291">
        <v>11.99</v>
      </c>
      <c r="E3291">
        <v>2.16</v>
      </c>
      <c r="F3291">
        <f>COUNTIFS(mdr_rate_cleaned!$A$2:$A$10,B3291,mdr_rate_cleaned!$B$2:$B$10,"&lt;"&amp;C3291,mdr_rate_cleaned!$F$2:$F$10,"&gt;="&amp;C3291)</f>
        <v>1</v>
      </c>
      <c r="G3291">
        <v>3.0000000000000001E-3</v>
      </c>
      <c r="H3291">
        <v>11.99</v>
      </c>
      <c r="I3291" t="s">
        <v>15</v>
      </c>
      <c r="J3291" t="s">
        <v>15</v>
      </c>
      <c r="K3291">
        <v>2.16</v>
      </c>
      <c r="L3291">
        <v>0</v>
      </c>
    </row>
    <row r="3292" spans="1:12" x14ac:dyDescent="0.3">
      <c r="A3292" t="s">
        <v>3308</v>
      </c>
      <c r="B3292" t="s">
        <v>21</v>
      </c>
      <c r="C3292">
        <v>2397</v>
      </c>
      <c r="D3292">
        <v>7.19</v>
      </c>
      <c r="E3292">
        <v>1.29</v>
      </c>
      <c r="F3292">
        <f>COUNTIFS(mdr_rate_cleaned!$A$2:$A$10,B3292,mdr_rate_cleaned!$B$2:$B$10,"&lt;"&amp;C3292,mdr_rate_cleaned!$F$2:$F$10,"&gt;="&amp;C3292)</f>
        <v>1</v>
      </c>
      <c r="G3292">
        <v>3.0000000000000001E-3</v>
      </c>
      <c r="H3292">
        <v>7.19</v>
      </c>
      <c r="I3292" t="s">
        <v>15</v>
      </c>
      <c r="J3292" t="s">
        <v>15</v>
      </c>
      <c r="K3292">
        <v>1.29</v>
      </c>
      <c r="L3292">
        <v>0</v>
      </c>
    </row>
    <row r="3293" spans="1:12" x14ac:dyDescent="0.3">
      <c r="A3293" t="s">
        <v>3309</v>
      </c>
      <c r="B3293" t="s">
        <v>39</v>
      </c>
      <c r="C3293">
        <v>2499</v>
      </c>
      <c r="D3293">
        <v>29.99</v>
      </c>
      <c r="E3293">
        <v>5.4</v>
      </c>
      <c r="F3293">
        <f>COUNTIFS(mdr_rate_cleaned!$A$2:$A$10,B3293,mdr_rate_cleaned!$B$2:$B$10,"&lt;"&amp;C3293,mdr_rate_cleaned!$F$2:$F$10,"&gt;="&amp;C3293)</f>
        <v>1</v>
      </c>
      <c r="G3293">
        <v>1.2E-2</v>
      </c>
      <c r="H3293">
        <v>29.99</v>
      </c>
      <c r="I3293" t="s">
        <v>15</v>
      </c>
      <c r="J3293" t="s">
        <v>15</v>
      </c>
      <c r="K3293">
        <v>5.4</v>
      </c>
      <c r="L3293">
        <v>0</v>
      </c>
    </row>
    <row r="3294" spans="1:12" x14ac:dyDescent="0.3">
      <c r="A3294" t="s">
        <v>3310</v>
      </c>
      <c r="B3294" t="s">
        <v>17</v>
      </c>
      <c r="C3294">
        <v>4999</v>
      </c>
      <c r="D3294">
        <v>79.98</v>
      </c>
      <c r="E3294">
        <v>14.4</v>
      </c>
      <c r="F3294">
        <f>COUNTIFS(mdr_rate_cleaned!$A$2:$A$10,B3294,mdr_rate_cleaned!$B$2:$B$10,"&lt;"&amp;C3294,mdr_rate_cleaned!$F$2:$F$10,"&gt;="&amp;C3294)</f>
        <v>1</v>
      </c>
      <c r="G3294">
        <v>1.6E-2</v>
      </c>
      <c r="H3294">
        <v>79.98</v>
      </c>
      <c r="I3294" t="s">
        <v>15</v>
      </c>
      <c r="J3294" t="s">
        <v>15</v>
      </c>
      <c r="K3294">
        <v>14.4</v>
      </c>
      <c r="L3294">
        <v>0</v>
      </c>
    </row>
    <row r="3295" spans="1:12" x14ac:dyDescent="0.3">
      <c r="A3295" t="s">
        <v>3311</v>
      </c>
      <c r="B3295" t="s">
        <v>21</v>
      </c>
      <c r="C3295">
        <v>6097</v>
      </c>
      <c r="D3295">
        <v>18.29</v>
      </c>
      <c r="E3295">
        <v>3.29</v>
      </c>
      <c r="F3295">
        <f>COUNTIFS(mdr_rate_cleaned!$A$2:$A$10,B3295,mdr_rate_cleaned!$B$2:$B$10,"&lt;"&amp;C3295,mdr_rate_cleaned!$F$2:$F$10,"&gt;="&amp;C3295)</f>
        <v>1</v>
      </c>
      <c r="G3295">
        <v>3.0000000000000001E-3</v>
      </c>
      <c r="H3295">
        <v>18.29</v>
      </c>
      <c r="I3295" t="s">
        <v>15</v>
      </c>
      <c r="J3295" t="s">
        <v>15</v>
      </c>
      <c r="K3295">
        <v>3.29</v>
      </c>
      <c r="L3295">
        <v>0</v>
      </c>
    </row>
    <row r="3296" spans="1:12" x14ac:dyDescent="0.3">
      <c r="A3296" t="s">
        <v>3312</v>
      </c>
      <c r="B3296" t="s">
        <v>21</v>
      </c>
      <c r="C3296">
        <v>1798</v>
      </c>
      <c r="D3296">
        <v>0</v>
      </c>
      <c r="E3296">
        <v>0</v>
      </c>
      <c r="F3296">
        <f>COUNTIFS(mdr_rate_cleaned!$A$2:$A$10,B3296,mdr_rate_cleaned!$B$2:$B$10,"&lt;"&amp;C3296,mdr_rate_cleaned!$F$2:$F$10,"&gt;="&amp;C3296)</f>
        <v>1</v>
      </c>
      <c r="G3296">
        <v>0</v>
      </c>
      <c r="H3296">
        <v>0</v>
      </c>
      <c r="I3296" t="s">
        <v>15</v>
      </c>
      <c r="J3296" t="s">
        <v>15</v>
      </c>
      <c r="K3296">
        <v>0</v>
      </c>
      <c r="L3296">
        <v>0</v>
      </c>
    </row>
    <row r="3297" spans="1:12" x14ac:dyDescent="0.3">
      <c r="A3297" t="s">
        <v>3313</v>
      </c>
      <c r="B3297" t="s">
        <v>17</v>
      </c>
      <c r="C3297">
        <v>1798</v>
      </c>
      <c r="D3297">
        <v>32.36</v>
      </c>
      <c r="E3297">
        <v>5.82</v>
      </c>
      <c r="F3297">
        <f>COUNTIFS(mdr_rate_cleaned!$A$2:$A$10,B3297,mdr_rate_cleaned!$B$2:$B$10,"&lt;"&amp;C3297,mdr_rate_cleaned!$F$2:$F$10,"&gt;="&amp;C3297)</f>
        <v>1</v>
      </c>
      <c r="G3297">
        <v>1.7999999999999999E-2</v>
      </c>
      <c r="H3297">
        <v>32.36</v>
      </c>
      <c r="I3297" t="s">
        <v>15</v>
      </c>
      <c r="J3297" t="s">
        <v>15</v>
      </c>
      <c r="K3297">
        <v>5.82</v>
      </c>
      <c r="L3297">
        <v>0</v>
      </c>
    </row>
    <row r="3298" spans="1:12" x14ac:dyDescent="0.3">
      <c r="A3298" t="s">
        <v>3314</v>
      </c>
      <c r="B3298" t="s">
        <v>13</v>
      </c>
      <c r="C3298">
        <v>599</v>
      </c>
      <c r="D3298">
        <v>11.38</v>
      </c>
      <c r="E3298">
        <v>2.0499999999999998</v>
      </c>
      <c r="F3298">
        <f>COUNTIFS(mdr_rate_cleaned!$A$2:$A$10,B3298,mdr_rate_cleaned!$B$2:$B$10,"&lt;"&amp;C3298,mdr_rate_cleaned!$F$2:$F$10,"&gt;="&amp;C3298)</f>
        <v>1</v>
      </c>
      <c r="G3298">
        <v>1.9E-2</v>
      </c>
      <c r="H3298">
        <v>11.38</v>
      </c>
      <c r="I3298" t="s">
        <v>15</v>
      </c>
      <c r="J3298" t="s">
        <v>15</v>
      </c>
      <c r="K3298">
        <v>2.0499999999999998</v>
      </c>
      <c r="L3298">
        <v>0</v>
      </c>
    </row>
    <row r="3299" spans="1:12" x14ac:dyDescent="0.3">
      <c r="A3299" t="s">
        <v>3315</v>
      </c>
      <c r="B3299" t="s">
        <v>21</v>
      </c>
      <c r="C3299">
        <v>1799</v>
      </c>
      <c r="D3299">
        <v>0</v>
      </c>
      <c r="E3299">
        <v>0</v>
      </c>
      <c r="F3299">
        <f>COUNTIFS(mdr_rate_cleaned!$A$2:$A$10,B3299,mdr_rate_cleaned!$B$2:$B$10,"&lt;"&amp;C3299,mdr_rate_cleaned!$F$2:$F$10,"&gt;="&amp;C3299)</f>
        <v>1</v>
      </c>
      <c r="G3299">
        <v>0</v>
      </c>
      <c r="H3299">
        <v>0</v>
      </c>
      <c r="I3299" t="s">
        <v>15</v>
      </c>
      <c r="J3299" t="s">
        <v>15</v>
      </c>
      <c r="K3299">
        <v>0</v>
      </c>
      <c r="L3299">
        <v>0</v>
      </c>
    </row>
    <row r="3300" spans="1:12" x14ac:dyDescent="0.3">
      <c r="A3300" t="s">
        <v>3316</v>
      </c>
      <c r="B3300" t="s">
        <v>21</v>
      </c>
      <c r="C3300">
        <v>3499</v>
      </c>
      <c r="D3300">
        <v>10.5</v>
      </c>
      <c r="E3300">
        <v>1.89</v>
      </c>
      <c r="F3300">
        <f>COUNTIFS(mdr_rate_cleaned!$A$2:$A$10,B3300,mdr_rate_cleaned!$B$2:$B$10,"&lt;"&amp;C3300,mdr_rate_cleaned!$F$2:$F$10,"&gt;="&amp;C3300)</f>
        <v>1</v>
      </c>
      <c r="G3300">
        <v>3.0000000000000001E-3</v>
      </c>
      <c r="H3300">
        <v>10.5</v>
      </c>
      <c r="I3300" t="s">
        <v>15</v>
      </c>
      <c r="J3300" t="s">
        <v>15</v>
      </c>
      <c r="K3300">
        <v>1.89</v>
      </c>
      <c r="L3300">
        <v>0</v>
      </c>
    </row>
    <row r="3301" spans="1:12" x14ac:dyDescent="0.3">
      <c r="A3301" t="s">
        <v>3317</v>
      </c>
      <c r="B3301" t="s">
        <v>13</v>
      </c>
      <c r="C3301">
        <v>1299</v>
      </c>
      <c r="D3301">
        <v>24.68</v>
      </c>
      <c r="E3301">
        <v>4.4400000000000004</v>
      </c>
      <c r="F3301">
        <f>COUNTIFS(mdr_rate_cleaned!$A$2:$A$10,B3301,mdr_rate_cleaned!$B$2:$B$10,"&lt;"&amp;C3301,mdr_rate_cleaned!$F$2:$F$10,"&gt;="&amp;C3301)</f>
        <v>1</v>
      </c>
      <c r="G3301">
        <v>1.9E-2</v>
      </c>
      <c r="H3301">
        <v>24.68</v>
      </c>
      <c r="I3301" t="s">
        <v>15</v>
      </c>
      <c r="J3301" t="s">
        <v>15</v>
      </c>
      <c r="K3301">
        <v>4.4400000000000004</v>
      </c>
      <c r="L3301">
        <v>0</v>
      </c>
    </row>
    <row r="3302" spans="1:12" x14ac:dyDescent="0.3">
      <c r="A3302" t="s">
        <v>3318</v>
      </c>
      <c r="B3302" t="s">
        <v>17</v>
      </c>
      <c r="C3302">
        <v>3597</v>
      </c>
      <c r="D3302">
        <v>57.55</v>
      </c>
      <c r="E3302">
        <v>10.36</v>
      </c>
      <c r="F3302">
        <f>COUNTIFS(mdr_rate_cleaned!$A$2:$A$10,B3302,mdr_rate_cleaned!$B$2:$B$10,"&lt;"&amp;C3302,mdr_rate_cleaned!$F$2:$F$10,"&gt;="&amp;C3302)</f>
        <v>1</v>
      </c>
      <c r="G3302">
        <v>1.6E-2</v>
      </c>
      <c r="H3302">
        <v>57.55</v>
      </c>
      <c r="I3302" t="s">
        <v>15</v>
      </c>
      <c r="J3302" t="s">
        <v>15</v>
      </c>
      <c r="K3302">
        <v>10.36</v>
      </c>
      <c r="L3302">
        <v>0</v>
      </c>
    </row>
    <row r="3303" spans="1:12" x14ac:dyDescent="0.3">
      <c r="A3303" t="s">
        <v>3319</v>
      </c>
      <c r="B3303" t="s">
        <v>17</v>
      </c>
      <c r="C3303">
        <v>299</v>
      </c>
      <c r="D3303">
        <v>5.38</v>
      </c>
      <c r="E3303">
        <v>0.97</v>
      </c>
      <c r="F3303">
        <f>COUNTIFS(mdr_rate_cleaned!$A$2:$A$10,B3303,mdr_rate_cleaned!$B$2:$B$10,"&lt;"&amp;C3303,mdr_rate_cleaned!$F$2:$F$10,"&gt;="&amp;C3303)</f>
        <v>1</v>
      </c>
      <c r="G3303">
        <v>1.7999999999999999E-2</v>
      </c>
      <c r="H3303">
        <v>5.38</v>
      </c>
      <c r="I3303" t="s">
        <v>15</v>
      </c>
      <c r="J3303" t="s">
        <v>15</v>
      </c>
      <c r="K3303">
        <v>0.97</v>
      </c>
      <c r="L3303">
        <v>0</v>
      </c>
    </row>
    <row r="3304" spans="1:12" x14ac:dyDescent="0.3">
      <c r="A3304" t="s">
        <v>3320</v>
      </c>
      <c r="B3304" t="s">
        <v>21</v>
      </c>
      <c r="C3304">
        <v>3098</v>
      </c>
      <c r="D3304">
        <v>9.2899999999999991</v>
      </c>
      <c r="E3304">
        <v>1.67</v>
      </c>
      <c r="F3304">
        <f>COUNTIFS(mdr_rate_cleaned!$A$2:$A$10,B3304,mdr_rate_cleaned!$B$2:$B$10,"&lt;"&amp;C3304,mdr_rate_cleaned!$F$2:$F$10,"&gt;="&amp;C3304)</f>
        <v>1</v>
      </c>
      <c r="G3304">
        <v>3.0000000000000001E-3</v>
      </c>
      <c r="H3304">
        <v>9.2899999999999991</v>
      </c>
      <c r="I3304" t="s">
        <v>15</v>
      </c>
      <c r="J3304" t="s">
        <v>15</v>
      </c>
      <c r="K3304">
        <v>1.67</v>
      </c>
      <c r="L3304">
        <v>0</v>
      </c>
    </row>
    <row r="3305" spans="1:12" x14ac:dyDescent="0.3">
      <c r="A3305" t="s">
        <v>3321</v>
      </c>
      <c r="B3305" t="s">
        <v>21</v>
      </c>
      <c r="C3305">
        <v>2999</v>
      </c>
      <c r="D3305">
        <v>9</v>
      </c>
      <c r="E3305">
        <v>1.62</v>
      </c>
      <c r="F3305">
        <f>COUNTIFS(mdr_rate_cleaned!$A$2:$A$10,B3305,mdr_rate_cleaned!$B$2:$B$10,"&lt;"&amp;C3305,mdr_rate_cleaned!$F$2:$F$10,"&gt;="&amp;C3305)</f>
        <v>1</v>
      </c>
      <c r="G3305">
        <v>3.0000000000000001E-3</v>
      </c>
      <c r="H3305">
        <v>9</v>
      </c>
      <c r="I3305" t="s">
        <v>15</v>
      </c>
      <c r="J3305" t="s">
        <v>15</v>
      </c>
      <c r="K3305">
        <v>1.62</v>
      </c>
      <c r="L3305">
        <v>0</v>
      </c>
    </row>
    <row r="3306" spans="1:12" x14ac:dyDescent="0.3">
      <c r="A3306" t="s">
        <v>3322</v>
      </c>
      <c r="B3306" t="s">
        <v>21</v>
      </c>
      <c r="C3306">
        <v>1798</v>
      </c>
      <c r="D3306">
        <v>0</v>
      </c>
      <c r="E3306">
        <v>0</v>
      </c>
      <c r="F3306">
        <f>COUNTIFS(mdr_rate_cleaned!$A$2:$A$10,B3306,mdr_rate_cleaned!$B$2:$B$10,"&lt;"&amp;C3306,mdr_rate_cleaned!$F$2:$F$10,"&gt;="&amp;C3306)</f>
        <v>1</v>
      </c>
      <c r="G3306">
        <v>0</v>
      </c>
      <c r="H3306">
        <v>0</v>
      </c>
      <c r="I3306" t="s">
        <v>15</v>
      </c>
      <c r="J3306" t="s">
        <v>15</v>
      </c>
      <c r="K3306">
        <v>0</v>
      </c>
      <c r="L3306">
        <v>0</v>
      </c>
    </row>
    <row r="3307" spans="1:12" x14ac:dyDescent="0.3">
      <c r="A3307" t="s">
        <v>3323</v>
      </c>
      <c r="B3307" t="s">
        <v>13</v>
      </c>
      <c r="C3307">
        <v>7999</v>
      </c>
      <c r="D3307">
        <v>135.97999999999999</v>
      </c>
      <c r="E3307">
        <v>24.48</v>
      </c>
      <c r="F3307">
        <f>COUNTIFS(mdr_rate_cleaned!$A$2:$A$10,B3307,mdr_rate_cleaned!$B$2:$B$10,"&lt;"&amp;C3307,mdr_rate_cleaned!$F$2:$F$10,"&gt;="&amp;C3307)</f>
        <v>1</v>
      </c>
      <c r="G3307">
        <v>1.7000000000000001E-2</v>
      </c>
      <c r="H3307">
        <v>135.97999999999999</v>
      </c>
      <c r="I3307" t="s">
        <v>15</v>
      </c>
      <c r="J3307" t="s">
        <v>15</v>
      </c>
      <c r="K3307">
        <v>24.48</v>
      </c>
      <c r="L3307">
        <v>0</v>
      </c>
    </row>
    <row r="3308" spans="1:12" x14ac:dyDescent="0.3">
      <c r="A3308" t="s">
        <v>3324</v>
      </c>
      <c r="B3308" t="s">
        <v>21</v>
      </c>
      <c r="C3308">
        <v>5097</v>
      </c>
      <c r="D3308">
        <v>15.29</v>
      </c>
      <c r="E3308">
        <v>2.75</v>
      </c>
      <c r="F3308">
        <f>COUNTIFS(mdr_rate_cleaned!$A$2:$A$10,B3308,mdr_rate_cleaned!$B$2:$B$10,"&lt;"&amp;C3308,mdr_rate_cleaned!$F$2:$F$10,"&gt;="&amp;C3308)</f>
        <v>1</v>
      </c>
      <c r="G3308">
        <v>3.0000000000000001E-3</v>
      </c>
      <c r="H3308">
        <v>15.29</v>
      </c>
      <c r="I3308" t="s">
        <v>15</v>
      </c>
      <c r="J3308" t="s">
        <v>15</v>
      </c>
      <c r="K3308">
        <v>2.75</v>
      </c>
      <c r="L3308">
        <v>0</v>
      </c>
    </row>
    <row r="3309" spans="1:12" x14ac:dyDescent="0.3">
      <c r="A3309" t="s">
        <v>3325</v>
      </c>
      <c r="B3309" t="s">
        <v>21</v>
      </c>
      <c r="C3309">
        <v>299</v>
      </c>
      <c r="D3309">
        <v>0</v>
      </c>
      <c r="E3309">
        <v>0</v>
      </c>
      <c r="F3309">
        <f>COUNTIFS(mdr_rate_cleaned!$A$2:$A$10,B3309,mdr_rate_cleaned!$B$2:$B$10,"&lt;"&amp;C3309,mdr_rate_cleaned!$F$2:$F$10,"&gt;="&amp;C3309)</f>
        <v>1</v>
      </c>
      <c r="G3309">
        <v>0</v>
      </c>
      <c r="H3309">
        <v>0</v>
      </c>
      <c r="I3309" t="s">
        <v>15</v>
      </c>
      <c r="J3309" t="s">
        <v>15</v>
      </c>
      <c r="K3309">
        <v>0</v>
      </c>
      <c r="L3309">
        <v>0</v>
      </c>
    </row>
    <row r="3310" spans="1:12" x14ac:dyDescent="0.3">
      <c r="A3310" t="s">
        <v>3326</v>
      </c>
      <c r="B3310" t="s">
        <v>13</v>
      </c>
      <c r="C3310">
        <v>349</v>
      </c>
      <c r="D3310">
        <v>6.63</v>
      </c>
      <c r="E3310">
        <v>1.19</v>
      </c>
      <c r="F3310">
        <f>COUNTIFS(mdr_rate_cleaned!$A$2:$A$10,B3310,mdr_rate_cleaned!$B$2:$B$10,"&lt;"&amp;C3310,mdr_rate_cleaned!$F$2:$F$10,"&gt;="&amp;C3310)</f>
        <v>1</v>
      </c>
      <c r="G3310">
        <v>1.9E-2</v>
      </c>
      <c r="H3310">
        <v>6.63</v>
      </c>
      <c r="I3310" t="s">
        <v>15</v>
      </c>
      <c r="J3310" t="s">
        <v>15</v>
      </c>
      <c r="K3310">
        <v>1.19</v>
      </c>
      <c r="L3310">
        <v>0</v>
      </c>
    </row>
    <row r="3311" spans="1:12" x14ac:dyDescent="0.3">
      <c r="A3311" t="s">
        <v>3327</v>
      </c>
      <c r="B3311" t="s">
        <v>21</v>
      </c>
      <c r="C3311">
        <v>8998</v>
      </c>
      <c r="D3311">
        <v>26.99</v>
      </c>
      <c r="E3311">
        <v>4.8600000000000003</v>
      </c>
      <c r="F3311">
        <f>COUNTIFS(mdr_rate_cleaned!$A$2:$A$10,B3311,mdr_rate_cleaned!$B$2:$B$10,"&lt;"&amp;C3311,mdr_rate_cleaned!$F$2:$F$10,"&gt;="&amp;C3311)</f>
        <v>1</v>
      </c>
      <c r="G3311">
        <v>3.0000000000000001E-3</v>
      </c>
      <c r="H3311">
        <v>26.99</v>
      </c>
      <c r="I3311" t="s">
        <v>15</v>
      </c>
      <c r="J3311" t="s">
        <v>15</v>
      </c>
      <c r="K3311">
        <v>4.8600000000000003</v>
      </c>
      <c r="L3311">
        <v>0</v>
      </c>
    </row>
    <row r="3312" spans="1:12" x14ac:dyDescent="0.3">
      <c r="A3312" t="s">
        <v>3328</v>
      </c>
      <c r="B3312" t="s">
        <v>39</v>
      </c>
      <c r="C3312">
        <v>5698</v>
      </c>
      <c r="D3312">
        <v>68.38</v>
      </c>
      <c r="E3312">
        <v>12.31</v>
      </c>
      <c r="F3312">
        <f>COUNTIFS(mdr_rate_cleaned!$A$2:$A$10,B3312,mdr_rate_cleaned!$B$2:$B$10,"&lt;"&amp;C3312,mdr_rate_cleaned!$F$2:$F$10,"&gt;="&amp;C3312)</f>
        <v>1</v>
      </c>
      <c r="G3312">
        <v>1.2E-2</v>
      </c>
      <c r="H3312">
        <v>68.38</v>
      </c>
      <c r="I3312" t="s">
        <v>15</v>
      </c>
      <c r="J3312" t="s">
        <v>15</v>
      </c>
      <c r="K3312">
        <v>12.31</v>
      </c>
      <c r="L3312">
        <v>0</v>
      </c>
    </row>
    <row r="3313" spans="1:12" x14ac:dyDescent="0.3">
      <c r="A3313" t="s">
        <v>3329</v>
      </c>
      <c r="B3313" t="s">
        <v>21</v>
      </c>
      <c r="C3313">
        <v>4999</v>
      </c>
      <c r="D3313">
        <v>15</v>
      </c>
      <c r="E3313">
        <v>2.7</v>
      </c>
      <c r="F3313">
        <f>COUNTIFS(mdr_rate_cleaned!$A$2:$A$10,B3313,mdr_rate_cleaned!$B$2:$B$10,"&lt;"&amp;C3313,mdr_rate_cleaned!$F$2:$F$10,"&gt;="&amp;C3313)</f>
        <v>1</v>
      </c>
      <c r="G3313">
        <v>3.0000000000000001E-3</v>
      </c>
      <c r="H3313">
        <v>15</v>
      </c>
      <c r="I3313" t="s">
        <v>15</v>
      </c>
      <c r="J3313" t="s">
        <v>15</v>
      </c>
      <c r="K3313">
        <v>2.7</v>
      </c>
      <c r="L3313">
        <v>0</v>
      </c>
    </row>
    <row r="3314" spans="1:12" x14ac:dyDescent="0.3">
      <c r="A3314" t="s">
        <v>3330</v>
      </c>
      <c r="B3314" t="s">
        <v>13</v>
      </c>
      <c r="C3314">
        <v>10147</v>
      </c>
      <c r="D3314">
        <v>243.53</v>
      </c>
      <c r="E3314">
        <v>43.84</v>
      </c>
      <c r="F3314">
        <f>COUNTIFS(mdr_rate_cleaned!$A$2:$A$10,B3314,mdr_rate_cleaned!$B$2:$B$10,"&lt;"&amp;C3314,mdr_rate_cleaned!$F$2:$F$10,"&gt;="&amp;C3314)</f>
        <v>1</v>
      </c>
      <c r="G3314">
        <v>1.7000000000000001E-2</v>
      </c>
      <c r="H3314">
        <v>172.5</v>
      </c>
      <c r="I3314" t="s">
        <v>14</v>
      </c>
      <c r="J3314" t="s">
        <v>15</v>
      </c>
      <c r="K3314">
        <v>31.05</v>
      </c>
      <c r="L3314">
        <v>83.82</v>
      </c>
    </row>
    <row r="3315" spans="1:12" x14ac:dyDescent="0.3">
      <c r="A3315" t="s">
        <v>3331</v>
      </c>
      <c r="B3315" t="s">
        <v>21</v>
      </c>
      <c r="C3315">
        <v>2999</v>
      </c>
      <c r="D3315">
        <v>9</v>
      </c>
      <c r="E3315">
        <v>1.62</v>
      </c>
      <c r="F3315">
        <f>COUNTIFS(mdr_rate_cleaned!$A$2:$A$10,B3315,mdr_rate_cleaned!$B$2:$B$10,"&lt;"&amp;C3315,mdr_rate_cleaned!$F$2:$F$10,"&gt;="&amp;C3315)</f>
        <v>1</v>
      </c>
      <c r="G3315">
        <v>3.0000000000000001E-3</v>
      </c>
      <c r="H3315">
        <v>9</v>
      </c>
      <c r="I3315" t="s">
        <v>15</v>
      </c>
      <c r="J3315" t="s">
        <v>15</v>
      </c>
      <c r="K3315">
        <v>1.62</v>
      </c>
      <c r="L3315">
        <v>0</v>
      </c>
    </row>
    <row r="3316" spans="1:12" x14ac:dyDescent="0.3">
      <c r="A3316" t="s">
        <v>3332</v>
      </c>
      <c r="B3316" t="s">
        <v>21</v>
      </c>
      <c r="C3316">
        <v>998</v>
      </c>
      <c r="D3316">
        <v>0</v>
      </c>
      <c r="E3316">
        <v>0</v>
      </c>
      <c r="F3316">
        <f>COUNTIFS(mdr_rate_cleaned!$A$2:$A$10,B3316,mdr_rate_cleaned!$B$2:$B$10,"&lt;"&amp;C3316,mdr_rate_cleaned!$F$2:$F$10,"&gt;="&amp;C3316)</f>
        <v>1</v>
      </c>
      <c r="G3316">
        <v>0</v>
      </c>
      <c r="H3316">
        <v>0</v>
      </c>
      <c r="I3316" t="s">
        <v>15</v>
      </c>
      <c r="J3316" t="s">
        <v>15</v>
      </c>
      <c r="K3316">
        <v>0</v>
      </c>
      <c r="L3316">
        <v>0</v>
      </c>
    </row>
    <row r="3317" spans="1:12" x14ac:dyDescent="0.3">
      <c r="A3317" t="s">
        <v>3333</v>
      </c>
      <c r="B3317" t="s">
        <v>21</v>
      </c>
      <c r="C3317">
        <v>7297</v>
      </c>
      <c r="D3317">
        <v>21.89</v>
      </c>
      <c r="E3317">
        <v>3.94</v>
      </c>
      <c r="F3317">
        <f>COUNTIFS(mdr_rate_cleaned!$A$2:$A$10,B3317,mdr_rate_cleaned!$B$2:$B$10,"&lt;"&amp;C3317,mdr_rate_cleaned!$F$2:$F$10,"&gt;="&amp;C3317)</f>
        <v>1</v>
      </c>
      <c r="G3317">
        <v>3.0000000000000001E-3</v>
      </c>
      <c r="H3317">
        <v>21.89</v>
      </c>
      <c r="I3317" t="s">
        <v>15</v>
      </c>
      <c r="J3317" t="s">
        <v>15</v>
      </c>
      <c r="K3317">
        <v>3.94</v>
      </c>
      <c r="L3317">
        <v>0</v>
      </c>
    </row>
    <row r="3318" spans="1:12" x14ac:dyDescent="0.3">
      <c r="A3318" t="s">
        <v>3334</v>
      </c>
      <c r="B3318" t="s">
        <v>17</v>
      </c>
      <c r="C3318">
        <v>1998</v>
      </c>
      <c r="D3318">
        <v>35.96</v>
      </c>
      <c r="E3318">
        <v>6.47</v>
      </c>
      <c r="F3318">
        <f>COUNTIFS(mdr_rate_cleaned!$A$2:$A$10,B3318,mdr_rate_cleaned!$B$2:$B$10,"&lt;"&amp;C3318,mdr_rate_cleaned!$F$2:$F$10,"&gt;="&amp;C3318)</f>
        <v>1</v>
      </c>
      <c r="G3318">
        <v>1.7999999999999999E-2</v>
      </c>
      <c r="H3318">
        <v>35.96</v>
      </c>
      <c r="I3318" t="s">
        <v>15</v>
      </c>
      <c r="J3318" t="s">
        <v>15</v>
      </c>
      <c r="K3318">
        <v>6.47</v>
      </c>
      <c r="L3318">
        <v>0</v>
      </c>
    </row>
    <row r="3319" spans="1:12" x14ac:dyDescent="0.3">
      <c r="A3319" t="s">
        <v>3335</v>
      </c>
      <c r="B3319" t="s">
        <v>39</v>
      </c>
      <c r="C3319">
        <v>999</v>
      </c>
      <c r="D3319">
        <v>14.99</v>
      </c>
      <c r="E3319">
        <v>2.7</v>
      </c>
      <c r="F3319">
        <f>COUNTIFS(mdr_rate_cleaned!$A$2:$A$10,B3319,mdr_rate_cleaned!$B$2:$B$10,"&lt;"&amp;C3319,mdr_rate_cleaned!$F$2:$F$10,"&gt;="&amp;C3319)</f>
        <v>1</v>
      </c>
      <c r="G3319">
        <v>1.4999999999999999E-2</v>
      </c>
      <c r="H3319">
        <v>14.99</v>
      </c>
      <c r="I3319" t="s">
        <v>15</v>
      </c>
      <c r="J3319" t="s">
        <v>15</v>
      </c>
      <c r="K3319">
        <v>2.7</v>
      </c>
      <c r="L3319">
        <v>0</v>
      </c>
    </row>
    <row r="3320" spans="1:12" x14ac:dyDescent="0.3">
      <c r="A3320" t="s">
        <v>3336</v>
      </c>
      <c r="B3320" t="s">
        <v>17</v>
      </c>
      <c r="C3320">
        <v>7497</v>
      </c>
      <c r="D3320">
        <v>119.95</v>
      </c>
      <c r="E3320">
        <v>21.59</v>
      </c>
      <c r="F3320">
        <f>COUNTIFS(mdr_rate_cleaned!$A$2:$A$10,B3320,mdr_rate_cleaned!$B$2:$B$10,"&lt;"&amp;C3320,mdr_rate_cleaned!$F$2:$F$10,"&gt;="&amp;C3320)</f>
        <v>1</v>
      </c>
      <c r="G3320">
        <v>1.6E-2</v>
      </c>
      <c r="H3320">
        <v>119.95</v>
      </c>
      <c r="I3320" t="s">
        <v>15</v>
      </c>
      <c r="J3320" t="s">
        <v>15</v>
      </c>
      <c r="K3320">
        <v>21.59</v>
      </c>
      <c r="L3320">
        <v>0</v>
      </c>
    </row>
    <row r="3321" spans="1:12" x14ac:dyDescent="0.3">
      <c r="A3321" t="s">
        <v>3337</v>
      </c>
      <c r="B3321" t="s">
        <v>17</v>
      </c>
      <c r="C3321">
        <v>3998</v>
      </c>
      <c r="D3321">
        <v>63.97</v>
      </c>
      <c r="E3321">
        <v>11.51</v>
      </c>
      <c r="F3321">
        <f>COUNTIFS(mdr_rate_cleaned!$A$2:$A$10,B3321,mdr_rate_cleaned!$B$2:$B$10,"&lt;"&amp;C3321,mdr_rate_cleaned!$F$2:$F$10,"&gt;="&amp;C3321)</f>
        <v>1</v>
      </c>
      <c r="G3321">
        <v>1.6E-2</v>
      </c>
      <c r="H3321">
        <v>63.97</v>
      </c>
      <c r="I3321" t="s">
        <v>15</v>
      </c>
      <c r="J3321" t="s">
        <v>15</v>
      </c>
      <c r="K3321">
        <v>11.51</v>
      </c>
      <c r="L3321">
        <v>0</v>
      </c>
    </row>
    <row r="3322" spans="1:12" x14ac:dyDescent="0.3">
      <c r="A3322" t="s">
        <v>3338</v>
      </c>
      <c r="B3322" t="s">
        <v>17</v>
      </c>
      <c r="C3322">
        <v>7999</v>
      </c>
      <c r="D3322">
        <v>127.98</v>
      </c>
      <c r="E3322">
        <v>23.04</v>
      </c>
      <c r="F3322">
        <f>COUNTIFS(mdr_rate_cleaned!$A$2:$A$10,B3322,mdr_rate_cleaned!$B$2:$B$10,"&lt;"&amp;C3322,mdr_rate_cleaned!$F$2:$F$10,"&gt;="&amp;C3322)</f>
        <v>1</v>
      </c>
      <c r="G3322">
        <v>1.6E-2</v>
      </c>
      <c r="H3322">
        <v>127.98</v>
      </c>
      <c r="I3322" t="s">
        <v>15</v>
      </c>
      <c r="J3322" t="s">
        <v>15</v>
      </c>
      <c r="K3322">
        <v>23.04</v>
      </c>
      <c r="L3322">
        <v>0</v>
      </c>
    </row>
    <row r="3323" spans="1:12" x14ac:dyDescent="0.3">
      <c r="A3323" t="s">
        <v>3339</v>
      </c>
      <c r="B3323" t="s">
        <v>21</v>
      </c>
      <c r="C3323">
        <v>3397</v>
      </c>
      <c r="D3323">
        <v>10.19</v>
      </c>
      <c r="E3323">
        <v>1.83</v>
      </c>
      <c r="F3323">
        <f>COUNTIFS(mdr_rate_cleaned!$A$2:$A$10,B3323,mdr_rate_cleaned!$B$2:$B$10,"&lt;"&amp;C3323,mdr_rate_cleaned!$F$2:$F$10,"&gt;="&amp;C3323)</f>
        <v>1</v>
      </c>
      <c r="G3323">
        <v>3.0000000000000001E-3</v>
      </c>
      <c r="H3323">
        <v>10.19</v>
      </c>
      <c r="I3323" t="s">
        <v>15</v>
      </c>
      <c r="J3323" t="s">
        <v>15</v>
      </c>
      <c r="K3323">
        <v>1.83</v>
      </c>
      <c r="L3323">
        <v>0</v>
      </c>
    </row>
    <row r="3324" spans="1:12" x14ac:dyDescent="0.3">
      <c r="A3324" t="s">
        <v>3340</v>
      </c>
      <c r="B3324" t="s">
        <v>21</v>
      </c>
      <c r="C3324">
        <v>8997</v>
      </c>
      <c r="D3324">
        <v>26.99</v>
      </c>
      <c r="E3324">
        <v>4.8600000000000003</v>
      </c>
      <c r="F3324">
        <f>COUNTIFS(mdr_rate_cleaned!$A$2:$A$10,B3324,mdr_rate_cleaned!$B$2:$B$10,"&lt;"&amp;C3324,mdr_rate_cleaned!$F$2:$F$10,"&gt;="&amp;C3324)</f>
        <v>1</v>
      </c>
      <c r="G3324">
        <v>3.0000000000000001E-3</v>
      </c>
      <c r="H3324">
        <v>26.99</v>
      </c>
      <c r="I3324" t="s">
        <v>15</v>
      </c>
      <c r="J3324" t="s">
        <v>15</v>
      </c>
      <c r="K3324">
        <v>4.8600000000000003</v>
      </c>
      <c r="L3324">
        <v>0</v>
      </c>
    </row>
    <row r="3325" spans="1:12" x14ac:dyDescent="0.3">
      <c r="A3325" t="s">
        <v>3341</v>
      </c>
      <c r="B3325" t="s">
        <v>21</v>
      </c>
      <c r="C3325">
        <v>1198</v>
      </c>
      <c r="D3325">
        <v>0</v>
      </c>
      <c r="E3325">
        <v>0</v>
      </c>
      <c r="F3325">
        <f>COUNTIFS(mdr_rate_cleaned!$A$2:$A$10,B3325,mdr_rate_cleaned!$B$2:$B$10,"&lt;"&amp;C3325,mdr_rate_cleaned!$F$2:$F$10,"&gt;="&amp;C3325)</f>
        <v>1</v>
      </c>
      <c r="G3325">
        <v>0</v>
      </c>
      <c r="H3325">
        <v>0</v>
      </c>
      <c r="I3325" t="s">
        <v>15</v>
      </c>
      <c r="J3325" t="s">
        <v>15</v>
      </c>
      <c r="K3325">
        <v>0</v>
      </c>
      <c r="L3325">
        <v>0</v>
      </c>
    </row>
    <row r="3326" spans="1:12" x14ac:dyDescent="0.3">
      <c r="A3326" t="s">
        <v>3342</v>
      </c>
      <c r="B3326" t="s">
        <v>21</v>
      </c>
      <c r="C3326">
        <v>4498</v>
      </c>
      <c r="D3326">
        <v>13.49</v>
      </c>
      <c r="E3326">
        <v>2.4300000000000002</v>
      </c>
      <c r="F3326">
        <f>COUNTIFS(mdr_rate_cleaned!$A$2:$A$10,B3326,mdr_rate_cleaned!$B$2:$B$10,"&lt;"&amp;C3326,mdr_rate_cleaned!$F$2:$F$10,"&gt;="&amp;C3326)</f>
        <v>1</v>
      </c>
      <c r="G3326">
        <v>3.0000000000000001E-3</v>
      </c>
      <c r="H3326">
        <v>13.49</v>
      </c>
      <c r="I3326" t="s">
        <v>15</v>
      </c>
      <c r="J3326" t="s">
        <v>15</v>
      </c>
      <c r="K3326">
        <v>2.4300000000000002</v>
      </c>
      <c r="L3326">
        <v>0</v>
      </c>
    </row>
    <row r="3327" spans="1:12" x14ac:dyDescent="0.3">
      <c r="A3327" t="s">
        <v>3343</v>
      </c>
      <c r="B3327" t="s">
        <v>17</v>
      </c>
      <c r="C3327">
        <v>1799</v>
      </c>
      <c r="D3327">
        <v>32.380000000000003</v>
      </c>
      <c r="E3327">
        <v>5.83</v>
      </c>
      <c r="F3327">
        <f>COUNTIFS(mdr_rate_cleaned!$A$2:$A$10,B3327,mdr_rate_cleaned!$B$2:$B$10,"&lt;"&amp;C3327,mdr_rate_cleaned!$F$2:$F$10,"&gt;="&amp;C3327)</f>
        <v>1</v>
      </c>
      <c r="G3327">
        <v>1.7999999999999999E-2</v>
      </c>
      <c r="H3327">
        <v>32.380000000000003</v>
      </c>
      <c r="I3327" t="s">
        <v>15</v>
      </c>
      <c r="J3327" t="s">
        <v>15</v>
      </c>
      <c r="K3327">
        <v>5.83</v>
      </c>
      <c r="L3327">
        <v>0</v>
      </c>
    </row>
    <row r="3328" spans="1:12" x14ac:dyDescent="0.3">
      <c r="A3328" t="s">
        <v>3344</v>
      </c>
      <c r="B3328" t="s">
        <v>21</v>
      </c>
      <c r="C3328">
        <v>999</v>
      </c>
      <c r="D3328">
        <v>0</v>
      </c>
      <c r="E3328">
        <v>0</v>
      </c>
      <c r="F3328">
        <f>COUNTIFS(mdr_rate_cleaned!$A$2:$A$10,B3328,mdr_rate_cleaned!$B$2:$B$10,"&lt;"&amp;C3328,mdr_rate_cleaned!$F$2:$F$10,"&gt;="&amp;C3328)</f>
        <v>1</v>
      </c>
      <c r="G3328">
        <v>0</v>
      </c>
      <c r="H3328">
        <v>0</v>
      </c>
      <c r="I3328" t="s">
        <v>15</v>
      </c>
      <c r="J3328" t="s">
        <v>15</v>
      </c>
      <c r="K3328">
        <v>0</v>
      </c>
      <c r="L3328">
        <v>0</v>
      </c>
    </row>
    <row r="3329" spans="1:12" x14ac:dyDescent="0.3">
      <c r="A3329" t="s">
        <v>3345</v>
      </c>
      <c r="B3329" t="s">
        <v>17</v>
      </c>
      <c r="C3329">
        <v>4999</v>
      </c>
      <c r="D3329">
        <v>79.98</v>
      </c>
      <c r="E3329">
        <v>14.4</v>
      </c>
      <c r="F3329">
        <f>COUNTIFS(mdr_rate_cleaned!$A$2:$A$10,B3329,mdr_rate_cleaned!$B$2:$B$10,"&lt;"&amp;C3329,mdr_rate_cleaned!$F$2:$F$10,"&gt;="&amp;C3329)</f>
        <v>1</v>
      </c>
      <c r="G3329">
        <v>1.6E-2</v>
      </c>
      <c r="H3329">
        <v>79.98</v>
      </c>
      <c r="I3329" t="s">
        <v>15</v>
      </c>
      <c r="J3329" t="s">
        <v>15</v>
      </c>
      <c r="K3329">
        <v>14.4</v>
      </c>
      <c r="L3329">
        <v>0</v>
      </c>
    </row>
    <row r="3330" spans="1:12" x14ac:dyDescent="0.3">
      <c r="A3330" t="s">
        <v>3346</v>
      </c>
      <c r="B3330" t="s">
        <v>21</v>
      </c>
      <c r="C3330">
        <v>1499</v>
      </c>
      <c r="D3330">
        <v>0</v>
      </c>
      <c r="E3330">
        <v>0</v>
      </c>
      <c r="F3330">
        <f>COUNTIFS(mdr_rate_cleaned!$A$2:$A$10,B3330,mdr_rate_cleaned!$B$2:$B$10,"&lt;"&amp;C3330,mdr_rate_cleaned!$F$2:$F$10,"&gt;="&amp;C3330)</f>
        <v>1</v>
      </c>
      <c r="G3330">
        <v>0</v>
      </c>
      <c r="H3330">
        <v>0</v>
      </c>
      <c r="I3330" t="s">
        <v>15</v>
      </c>
      <c r="J3330" t="s">
        <v>15</v>
      </c>
      <c r="K3330">
        <v>0</v>
      </c>
      <c r="L3330">
        <v>0</v>
      </c>
    </row>
    <row r="3331" spans="1:12" x14ac:dyDescent="0.3">
      <c r="A3331" t="s">
        <v>3347</v>
      </c>
      <c r="B3331" t="s">
        <v>21</v>
      </c>
      <c r="C3331">
        <v>7999</v>
      </c>
      <c r="D3331">
        <v>24</v>
      </c>
      <c r="E3331">
        <v>4.32</v>
      </c>
      <c r="F3331">
        <f>COUNTIFS(mdr_rate_cleaned!$A$2:$A$10,B3331,mdr_rate_cleaned!$B$2:$B$10,"&lt;"&amp;C3331,mdr_rate_cleaned!$F$2:$F$10,"&gt;="&amp;C3331)</f>
        <v>1</v>
      </c>
      <c r="G3331">
        <v>3.0000000000000001E-3</v>
      </c>
      <c r="H3331">
        <v>24</v>
      </c>
      <c r="I3331" t="s">
        <v>15</v>
      </c>
      <c r="J3331" t="s">
        <v>15</v>
      </c>
      <c r="K3331">
        <v>4.32</v>
      </c>
      <c r="L3331">
        <v>0</v>
      </c>
    </row>
    <row r="3332" spans="1:12" x14ac:dyDescent="0.3">
      <c r="A3332" t="s">
        <v>3348</v>
      </c>
      <c r="B3332" t="s">
        <v>21</v>
      </c>
      <c r="C3332">
        <v>1499</v>
      </c>
      <c r="D3332">
        <v>0</v>
      </c>
      <c r="E3332">
        <v>0</v>
      </c>
      <c r="F3332">
        <f>COUNTIFS(mdr_rate_cleaned!$A$2:$A$10,B3332,mdr_rate_cleaned!$B$2:$B$10,"&lt;"&amp;C3332,mdr_rate_cleaned!$F$2:$F$10,"&gt;="&amp;C3332)</f>
        <v>1</v>
      </c>
      <c r="G3332">
        <v>0</v>
      </c>
      <c r="H3332">
        <v>0</v>
      </c>
      <c r="I3332" t="s">
        <v>15</v>
      </c>
      <c r="J3332" t="s">
        <v>15</v>
      </c>
      <c r="K3332">
        <v>0</v>
      </c>
      <c r="L3332">
        <v>0</v>
      </c>
    </row>
    <row r="3333" spans="1:12" x14ac:dyDescent="0.3">
      <c r="A3333" t="s">
        <v>3349</v>
      </c>
      <c r="B3333" t="s">
        <v>21</v>
      </c>
      <c r="C3333">
        <v>999</v>
      </c>
      <c r="D3333">
        <v>0</v>
      </c>
      <c r="E3333">
        <v>0</v>
      </c>
      <c r="F3333">
        <f>COUNTIFS(mdr_rate_cleaned!$A$2:$A$10,B3333,mdr_rate_cleaned!$B$2:$B$10,"&lt;"&amp;C3333,mdr_rate_cleaned!$F$2:$F$10,"&gt;="&amp;C3333)</f>
        <v>1</v>
      </c>
      <c r="G3333">
        <v>0</v>
      </c>
      <c r="H3333">
        <v>0</v>
      </c>
      <c r="I3333" t="s">
        <v>15</v>
      </c>
      <c r="J3333" t="s">
        <v>15</v>
      </c>
      <c r="K3333">
        <v>0</v>
      </c>
      <c r="L3333">
        <v>0</v>
      </c>
    </row>
    <row r="3334" spans="1:12" x14ac:dyDescent="0.3">
      <c r="A3334" t="s">
        <v>3350</v>
      </c>
      <c r="B3334" t="s">
        <v>17</v>
      </c>
      <c r="C3334">
        <v>6297</v>
      </c>
      <c r="D3334">
        <v>100.75</v>
      </c>
      <c r="E3334">
        <v>18.14</v>
      </c>
      <c r="F3334">
        <f>COUNTIFS(mdr_rate_cleaned!$A$2:$A$10,B3334,mdr_rate_cleaned!$B$2:$B$10,"&lt;"&amp;C3334,mdr_rate_cleaned!$F$2:$F$10,"&gt;="&amp;C3334)</f>
        <v>1</v>
      </c>
      <c r="G3334">
        <v>1.6E-2</v>
      </c>
      <c r="H3334">
        <v>100.75</v>
      </c>
      <c r="I3334" t="s">
        <v>15</v>
      </c>
      <c r="J3334" t="s">
        <v>15</v>
      </c>
      <c r="K3334">
        <v>18.14</v>
      </c>
      <c r="L3334">
        <v>0</v>
      </c>
    </row>
    <row r="3335" spans="1:12" x14ac:dyDescent="0.3">
      <c r="A3335" t="s">
        <v>3351</v>
      </c>
      <c r="B3335" t="s">
        <v>21</v>
      </c>
      <c r="C3335">
        <v>999</v>
      </c>
      <c r="D3335">
        <v>0</v>
      </c>
      <c r="E3335">
        <v>0</v>
      </c>
      <c r="F3335">
        <f>COUNTIFS(mdr_rate_cleaned!$A$2:$A$10,B3335,mdr_rate_cleaned!$B$2:$B$10,"&lt;"&amp;C3335,mdr_rate_cleaned!$F$2:$F$10,"&gt;="&amp;C3335)</f>
        <v>1</v>
      </c>
      <c r="G3335">
        <v>0</v>
      </c>
      <c r="H3335">
        <v>0</v>
      </c>
      <c r="I3335" t="s">
        <v>15</v>
      </c>
      <c r="J3335" t="s">
        <v>15</v>
      </c>
      <c r="K3335">
        <v>0</v>
      </c>
      <c r="L3335">
        <v>0</v>
      </c>
    </row>
    <row r="3336" spans="1:12" x14ac:dyDescent="0.3">
      <c r="A3336" t="s">
        <v>3352</v>
      </c>
      <c r="B3336" t="s">
        <v>39</v>
      </c>
      <c r="C3336">
        <v>799</v>
      </c>
      <c r="D3336">
        <v>11.99</v>
      </c>
      <c r="E3336">
        <v>2.16</v>
      </c>
      <c r="F3336">
        <f>COUNTIFS(mdr_rate_cleaned!$A$2:$A$10,B3336,mdr_rate_cleaned!$B$2:$B$10,"&lt;"&amp;C3336,mdr_rate_cleaned!$F$2:$F$10,"&gt;="&amp;C3336)</f>
        <v>1</v>
      </c>
      <c r="G3336">
        <v>1.4999999999999999E-2</v>
      </c>
      <c r="H3336">
        <v>11.99</v>
      </c>
      <c r="I3336" t="s">
        <v>15</v>
      </c>
      <c r="J3336" t="s">
        <v>15</v>
      </c>
      <c r="K3336">
        <v>2.16</v>
      </c>
      <c r="L3336">
        <v>0</v>
      </c>
    </row>
    <row r="3337" spans="1:12" x14ac:dyDescent="0.3">
      <c r="A3337" t="s">
        <v>3353</v>
      </c>
      <c r="B3337" t="s">
        <v>21</v>
      </c>
      <c r="C3337">
        <v>4498</v>
      </c>
      <c r="D3337">
        <v>13.49</v>
      </c>
      <c r="E3337">
        <v>2.4300000000000002</v>
      </c>
      <c r="F3337">
        <f>COUNTIFS(mdr_rate_cleaned!$A$2:$A$10,B3337,mdr_rate_cleaned!$B$2:$B$10,"&lt;"&amp;C3337,mdr_rate_cleaned!$F$2:$F$10,"&gt;="&amp;C3337)</f>
        <v>1</v>
      </c>
      <c r="G3337">
        <v>3.0000000000000001E-3</v>
      </c>
      <c r="H3337">
        <v>13.49</v>
      </c>
      <c r="I3337" t="s">
        <v>15</v>
      </c>
      <c r="J3337" t="s">
        <v>15</v>
      </c>
      <c r="K3337">
        <v>2.4300000000000002</v>
      </c>
      <c r="L3337">
        <v>0</v>
      </c>
    </row>
    <row r="3338" spans="1:12" x14ac:dyDescent="0.3">
      <c r="A3338" t="s">
        <v>3354</v>
      </c>
      <c r="B3338" t="s">
        <v>39</v>
      </c>
      <c r="C3338">
        <v>9497</v>
      </c>
      <c r="D3338">
        <v>113.96</v>
      </c>
      <c r="E3338">
        <v>20.51</v>
      </c>
      <c r="F3338">
        <f>COUNTIFS(mdr_rate_cleaned!$A$2:$A$10,B3338,mdr_rate_cleaned!$B$2:$B$10,"&lt;"&amp;C3338,mdr_rate_cleaned!$F$2:$F$10,"&gt;="&amp;C3338)</f>
        <v>1</v>
      </c>
      <c r="G3338">
        <v>1.2E-2</v>
      </c>
      <c r="H3338">
        <v>113.96</v>
      </c>
      <c r="I3338" t="s">
        <v>15</v>
      </c>
      <c r="J3338" t="s">
        <v>15</v>
      </c>
      <c r="K3338">
        <v>20.51</v>
      </c>
      <c r="L3338">
        <v>0</v>
      </c>
    </row>
    <row r="3339" spans="1:12" x14ac:dyDescent="0.3">
      <c r="A3339" t="s">
        <v>3355</v>
      </c>
      <c r="B3339" t="s">
        <v>13</v>
      </c>
      <c r="C3339">
        <v>5147</v>
      </c>
      <c r="D3339">
        <v>87.5</v>
      </c>
      <c r="E3339">
        <v>15.75</v>
      </c>
      <c r="F3339">
        <f>COUNTIFS(mdr_rate_cleaned!$A$2:$A$10,B3339,mdr_rate_cleaned!$B$2:$B$10,"&lt;"&amp;C3339,mdr_rate_cleaned!$F$2:$F$10,"&gt;="&amp;C3339)</f>
        <v>1</v>
      </c>
      <c r="G3339">
        <v>1.7000000000000001E-2</v>
      </c>
      <c r="H3339">
        <v>87.5</v>
      </c>
      <c r="I3339" t="s">
        <v>15</v>
      </c>
      <c r="J3339" t="s">
        <v>15</v>
      </c>
      <c r="K3339">
        <v>15.75</v>
      </c>
      <c r="L3339">
        <v>0</v>
      </c>
    </row>
    <row r="3340" spans="1:12" x14ac:dyDescent="0.3">
      <c r="A3340" t="s">
        <v>3356</v>
      </c>
      <c r="B3340" t="s">
        <v>17</v>
      </c>
      <c r="C3340">
        <v>3348</v>
      </c>
      <c r="D3340">
        <v>53.57</v>
      </c>
      <c r="E3340">
        <v>9.64</v>
      </c>
      <c r="F3340">
        <f>COUNTIFS(mdr_rate_cleaned!$A$2:$A$10,B3340,mdr_rate_cleaned!$B$2:$B$10,"&lt;"&amp;C3340,mdr_rate_cleaned!$F$2:$F$10,"&gt;="&amp;C3340)</f>
        <v>1</v>
      </c>
      <c r="G3340">
        <v>1.6E-2</v>
      </c>
      <c r="H3340">
        <v>53.57</v>
      </c>
      <c r="I3340" t="s">
        <v>15</v>
      </c>
      <c r="J3340" t="s">
        <v>15</v>
      </c>
      <c r="K3340">
        <v>9.64</v>
      </c>
      <c r="L3340">
        <v>0</v>
      </c>
    </row>
    <row r="3341" spans="1:12" x14ac:dyDescent="0.3">
      <c r="A3341" t="s">
        <v>3357</v>
      </c>
      <c r="B3341" t="s">
        <v>21</v>
      </c>
      <c r="C3341">
        <v>1848</v>
      </c>
      <c r="D3341">
        <v>0</v>
      </c>
      <c r="E3341">
        <v>0</v>
      </c>
      <c r="F3341">
        <f>COUNTIFS(mdr_rate_cleaned!$A$2:$A$10,B3341,mdr_rate_cleaned!$B$2:$B$10,"&lt;"&amp;C3341,mdr_rate_cleaned!$F$2:$F$10,"&gt;="&amp;C3341)</f>
        <v>1</v>
      </c>
      <c r="G3341">
        <v>0</v>
      </c>
      <c r="H3341">
        <v>0</v>
      </c>
      <c r="I3341" t="s">
        <v>15</v>
      </c>
      <c r="J3341" t="s">
        <v>15</v>
      </c>
      <c r="K3341">
        <v>0</v>
      </c>
      <c r="L3341">
        <v>0</v>
      </c>
    </row>
    <row r="3342" spans="1:12" x14ac:dyDescent="0.3">
      <c r="A3342" t="s">
        <v>3358</v>
      </c>
      <c r="B3342" t="s">
        <v>17</v>
      </c>
      <c r="C3342">
        <v>349</v>
      </c>
      <c r="D3342">
        <v>6.28</v>
      </c>
      <c r="E3342">
        <v>1.1299999999999999</v>
      </c>
      <c r="F3342">
        <f>COUNTIFS(mdr_rate_cleaned!$A$2:$A$10,B3342,mdr_rate_cleaned!$B$2:$B$10,"&lt;"&amp;C3342,mdr_rate_cleaned!$F$2:$F$10,"&gt;="&amp;C3342)</f>
        <v>1</v>
      </c>
      <c r="G3342">
        <v>1.7999999999999999E-2</v>
      </c>
      <c r="H3342">
        <v>6.28</v>
      </c>
      <c r="I3342" t="s">
        <v>15</v>
      </c>
      <c r="J3342" t="s">
        <v>15</v>
      </c>
      <c r="K3342">
        <v>1.1299999999999999</v>
      </c>
      <c r="L3342">
        <v>0</v>
      </c>
    </row>
    <row r="3343" spans="1:12" x14ac:dyDescent="0.3">
      <c r="A3343" t="s">
        <v>3359</v>
      </c>
      <c r="B3343" t="s">
        <v>21</v>
      </c>
      <c r="C3343">
        <v>2499</v>
      </c>
      <c r="D3343">
        <v>7.5</v>
      </c>
      <c r="E3343">
        <v>1.35</v>
      </c>
      <c r="F3343">
        <f>COUNTIFS(mdr_rate_cleaned!$A$2:$A$10,B3343,mdr_rate_cleaned!$B$2:$B$10,"&lt;"&amp;C3343,mdr_rate_cleaned!$F$2:$F$10,"&gt;="&amp;C3343)</f>
        <v>1</v>
      </c>
      <c r="G3343">
        <v>3.0000000000000001E-3</v>
      </c>
      <c r="H3343">
        <v>7.5</v>
      </c>
      <c r="I3343" t="s">
        <v>15</v>
      </c>
      <c r="J3343" t="s">
        <v>15</v>
      </c>
      <c r="K3343">
        <v>1.35</v>
      </c>
      <c r="L3343">
        <v>0</v>
      </c>
    </row>
    <row r="3344" spans="1:12" x14ac:dyDescent="0.3">
      <c r="A3344" t="s">
        <v>3360</v>
      </c>
      <c r="B3344" t="s">
        <v>17</v>
      </c>
      <c r="C3344">
        <v>349</v>
      </c>
      <c r="D3344">
        <v>6.28</v>
      </c>
      <c r="E3344">
        <v>1.1299999999999999</v>
      </c>
      <c r="F3344">
        <f>COUNTIFS(mdr_rate_cleaned!$A$2:$A$10,B3344,mdr_rate_cleaned!$B$2:$B$10,"&lt;"&amp;C3344,mdr_rate_cleaned!$F$2:$F$10,"&gt;="&amp;C3344)</f>
        <v>1</v>
      </c>
      <c r="G3344">
        <v>1.7999999999999999E-2</v>
      </c>
      <c r="H3344">
        <v>6.28</v>
      </c>
      <c r="I3344" t="s">
        <v>15</v>
      </c>
      <c r="J3344" t="s">
        <v>15</v>
      </c>
      <c r="K3344">
        <v>1.1299999999999999</v>
      </c>
      <c r="L3344">
        <v>0</v>
      </c>
    </row>
    <row r="3345" spans="1:12" x14ac:dyDescent="0.3">
      <c r="A3345" t="s">
        <v>3361</v>
      </c>
      <c r="B3345" t="s">
        <v>21</v>
      </c>
      <c r="C3345">
        <v>799</v>
      </c>
      <c r="D3345">
        <v>0</v>
      </c>
      <c r="E3345">
        <v>0</v>
      </c>
      <c r="F3345">
        <f>COUNTIFS(mdr_rate_cleaned!$A$2:$A$10,B3345,mdr_rate_cleaned!$B$2:$B$10,"&lt;"&amp;C3345,mdr_rate_cleaned!$F$2:$F$10,"&gt;="&amp;C3345)</f>
        <v>1</v>
      </c>
      <c r="G3345">
        <v>0</v>
      </c>
      <c r="H3345">
        <v>0</v>
      </c>
      <c r="I3345" t="s">
        <v>15</v>
      </c>
      <c r="J3345" t="s">
        <v>15</v>
      </c>
      <c r="K3345">
        <v>0</v>
      </c>
      <c r="L3345">
        <v>0</v>
      </c>
    </row>
    <row r="3346" spans="1:12" x14ac:dyDescent="0.3">
      <c r="A3346" t="s">
        <v>3362</v>
      </c>
      <c r="B3346" t="s">
        <v>21</v>
      </c>
      <c r="C3346">
        <v>3998</v>
      </c>
      <c r="D3346">
        <v>11.99</v>
      </c>
      <c r="E3346">
        <v>2.16</v>
      </c>
      <c r="F3346">
        <f>COUNTIFS(mdr_rate_cleaned!$A$2:$A$10,B3346,mdr_rate_cleaned!$B$2:$B$10,"&lt;"&amp;C3346,mdr_rate_cleaned!$F$2:$F$10,"&gt;="&amp;C3346)</f>
        <v>1</v>
      </c>
      <c r="G3346">
        <v>3.0000000000000001E-3</v>
      </c>
      <c r="H3346">
        <v>11.99</v>
      </c>
      <c r="I3346" t="s">
        <v>15</v>
      </c>
      <c r="J3346" t="s">
        <v>15</v>
      </c>
      <c r="K3346">
        <v>2.16</v>
      </c>
      <c r="L3346">
        <v>0</v>
      </c>
    </row>
    <row r="3347" spans="1:12" x14ac:dyDescent="0.3">
      <c r="A3347" t="s">
        <v>3363</v>
      </c>
      <c r="B3347" t="s">
        <v>39</v>
      </c>
      <c r="C3347">
        <v>9297</v>
      </c>
      <c r="D3347">
        <v>111.56</v>
      </c>
      <c r="E3347">
        <v>20.079999999999998</v>
      </c>
      <c r="F3347">
        <f>COUNTIFS(mdr_rate_cleaned!$A$2:$A$10,B3347,mdr_rate_cleaned!$B$2:$B$10,"&lt;"&amp;C3347,mdr_rate_cleaned!$F$2:$F$10,"&gt;="&amp;C3347)</f>
        <v>1</v>
      </c>
      <c r="G3347">
        <v>1.2E-2</v>
      </c>
      <c r="H3347">
        <v>111.56</v>
      </c>
      <c r="I3347" t="s">
        <v>15</v>
      </c>
      <c r="J3347" t="s">
        <v>15</v>
      </c>
      <c r="K3347">
        <v>20.079999999999998</v>
      </c>
      <c r="L3347">
        <v>0</v>
      </c>
    </row>
    <row r="3348" spans="1:12" x14ac:dyDescent="0.3">
      <c r="A3348" t="s">
        <v>3364</v>
      </c>
      <c r="B3348" t="s">
        <v>21</v>
      </c>
      <c r="C3348">
        <v>1499</v>
      </c>
      <c r="D3348">
        <v>0</v>
      </c>
      <c r="E3348">
        <v>0</v>
      </c>
      <c r="F3348">
        <f>COUNTIFS(mdr_rate_cleaned!$A$2:$A$10,B3348,mdr_rate_cleaned!$B$2:$B$10,"&lt;"&amp;C3348,mdr_rate_cleaned!$F$2:$F$10,"&gt;="&amp;C3348)</f>
        <v>1</v>
      </c>
      <c r="G3348">
        <v>0</v>
      </c>
      <c r="H3348">
        <v>0</v>
      </c>
      <c r="I3348" t="s">
        <v>15</v>
      </c>
      <c r="J3348" t="s">
        <v>15</v>
      </c>
      <c r="K3348">
        <v>0</v>
      </c>
      <c r="L3348">
        <v>0</v>
      </c>
    </row>
    <row r="3349" spans="1:12" x14ac:dyDescent="0.3">
      <c r="A3349" t="s">
        <v>3365</v>
      </c>
      <c r="B3349" t="s">
        <v>17</v>
      </c>
      <c r="C3349">
        <v>1598</v>
      </c>
      <c r="D3349">
        <v>28.76</v>
      </c>
      <c r="E3349">
        <v>5.18</v>
      </c>
      <c r="F3349">
        <f>COUNTIFS(mdr_rate_cleaned!$A$2:$A$10,B3349,mdr_rate_cleaned!$B$2:$B$10,"&lt;"&amp;C3349,mdr_rate_cleaned!$F$2:$F$10,"&gt;="&amp;C3349)</f>
        <v>1</v>
      </c>
      <c r="G3349">
        <v>1.7999999999999999E-2</v>
      </c>
      <c r="H3349">
        <v>28.76</v>
      </c>
      <c r="I3349" t="s">
        <v>15</v>
      </c>
      <c r="J3349" t="s">
        <v>15</v>
      </c>
      <c r="K3349">
        <v>5.18</v>
      </c>
      <c r="L3349">
        <v>0</v>
      </c>
    </row>
    <row r="3350" spans="1:12" x14ac:dyDescent="0.3">
      <c r="A3350" t="s">
        <v>3366</v>
      </c>
      <c r="B3350" t="s">
        <v>21</v>
      </c>
      <c r="C3350">
        <v>799</v>
      </c>
      <c r="D3350">
        <v>0</v>
      </c>
      <c r="E3350">
        <v>0</v>
      </c>
      <c r="F3350">
        <f>COUNTIFS(mdr_rate_cleaned!$A$2:$A$10,B3350,mdr_rate_cleaned!$B$2:$B$10,"&lt;"&amp;C3350,mdr_rate_cleaned!$F$2:$F$10,"&gt;="&amp;C3350)</f>
        <v>1</v>
      </c>
      <c r="G3350">
        <v>0</v>
      </c>
      <c r="H3350">
        <v>0</v>
      </c>
      <c r="I3350" t="s">
        <v>15</v>
      </c>
      <c r="J3350" t="s">
        <v>15</v>
      </c>
      <c r="K3350">
        <v>0</v>
      </c>
      <c r="L3350">
        <v>0</v>
      </c>
    </row>
    <row r="3351" spans="1:12" x14ac:dyDescent="0.3">
      <c r="A3351" t="s">
        <v>3367</v>
      </c>
      <c r="B3351" t="s">
        <v>21</v>
      </c>
      <c r="C3351">
        <v>3998</v>
      </c>
      <c r="D3351">
        <v>11.99</v>
      </c>
      <c r="E3351">
        <v>2.16</v>
      </c>
      <c r="F3351">
        <f>COUNTIFS(mdr_rate_cleaned!$A$2:$A$10,B3351,mdr_rate_cleaned!$B$2:$B$10,"&lt;"&amp;C3351,mdr_rate_cleaned!$F$2:$F$10,"&gt;="&amp;C3351)</f>
        <v>1</v>
      </c>
      <c r="G3351">
        <v>3.0000000000000001E-3</v>
      </c>
      <c r="H3351">
        <v>11.99</v>
      </c>
      <c r="I3351" t="s">
        <v>15</v>
      </c>
      <c r="J3351" t="s">
        <v>15</v>
      </c>
      <c r="K3351">
        <v>2.16</v>
      </c>
      <c r="L3351">
        <v>0</v>
      </c>
    </row>
    <row r="3352" spans="1:12" x14ac:dyDescent="0.3">
      <c r="A3352" t="s">
        <v>3368</v>
      </c>
      <c r="B3352" t="s">
        <v>21</v>
      </c>
      <c r="C3352">
        <v>2999</v>
      </c>
      <c r="D3352">
        <v>9</v>
      </c>
      <c r="E3352">
        <v>1.62</v>
      </c>
      <c r="F3352">
        <f>COUNTIFS(mdr_rate_cleaned!$A$2:$A$10,B3352,mdr_rate_cleaned!$B$2:$B$10,"&lt;"&amp;C3352,mdr_rate_cleaned!$F$2:$F$10,"&gt;="&amp;C3352)</f>
        <v>1</v>
      </c>
      <c r="G3352">
        <v>3.0000000000000001E-3</v>
      </c>
      <c r="H3352">
        <v>9</v>
      </c>
      <c r="I3352" t="s">
        <v>15</v>
      </c>
      <c r="J3352" t="s">
        <v>15</v>
      </c>
      <c r="K3352">
        <v>1.62</v>
      </c>
      <c r="L3352">
        <v>0</v>
      </c>
    </row>
    <row r="3353" spans="1:12" x14ac:dyDescent="0.3">
      <c r="A3353" t="s">
        <v>3369</v>
      </c>
      <c r="B3353" t="s">
        <v>21</v>
      </c>
      <c r="C3353">
        <v>9797</v>
      </c>
      <c r="D3353">
        <v>29.39</v>
      </c>
      <c r="E3353">
        <v>5.29</v>
      </c>
      <c r="F3353">
        <f>COUNTIFS(mdr_rate_cleaned!$A$2:$A$10,B3353,mdr_rate_cleaned!$B$2:$B$10,"&lt;"&amp;C3353,mdr_rate_cleaned!$F$2:$F$10,"&gt;="&amp;C3353)</f>
        <v>1</v>
      </c>
      <c r="G3353">
        <v>3.0000000000000001E-3</v>
      </c>
      <c r="H3353">
        <v>29.39</v>
      </c>
      <c r="I3353" t="s">
        <v>15</v>
      </c>
      <c r="J3353" t="s">
        <v>15</v>
      </c>
      <c r="K3353">
        <v>5.29</v>
      </c>
      <c r="L3353">
        <v>0</v>
      </c>
    </row>
    <row r="3354" spans="1:12" x14ac:dyDescent="0.3">
      <c r="A3354" t="s">
        <v>3370</v>
      </c>
      <c r="B3354" t="s">
        <v>21</v>
      </c>
      <c r="C3354">
        <v>5498</v>
      </c>
      <c r="D3354">
        <v>16.489999999999998</v>
      </c>
      <c r="E3354">
        <v>2.97</v>
      </c>
      <c r="F3354">
        <f>COUNTIFS(mdr_rate_cleaned!$A$2:$A$10,B3354,mdr_rate_cleaned!$B$2:$B$10,"&lt;"&amp;C3354,mdr_rate_cleaned!$F$2:$F$10,"&gt;="&amp;C3354)</f>
        <v>1</v>
      </c>
      <c r="G3354">
        <v>3.0000000000000001E-3</v>
      </c>
      <c r="H3354">
        <v>16.489999999999998</v>
      </c>
      <c r="I3354" t="s">
        <v>15</v>
      </c>
      <c r="J3354" t="s">
        <v>15</v>
      </c>
      <c r="K3354">
        <v>2.97</v>
      </c>
      <c r="L3354">
        <v>0</v>
      </c>
    </row>
    <row r="3355" spans="1:12" x14ac:dyDescent="0.3">
      <c r="A3355" t="s">
        <v>3371</v>
      </c>
      <c r="B3355" t="s">
        <v>17</v>
      </c>
      <c r="C3355">
        <v>5998</v>
      </c>
      <c r="D3355">
        <v>95.97</v>
      </c>
      <c r="E3355">
        <v>17.27</v>
      </c>
      <c r="F3355">
        <f>COUNTIFS(mdr_rate_cleaned!$A$2:$A$10,B3355,mdr_rate_cleaned!$B$2:$B$10,"&lt;"&amp;C3355,mdr_rate_cleaned!$F$2:$F$10,"&gt;="&amp;C3355)</f>
        <v>1</v>
      </c>
      <c r="G3355">
        <v>1.6E-2</v>
      </c>
      <c r="H3355">
        <v>95.97</v>
      </c>
      <c r="I3355" t="s">
        <v>15</v>
      </c>
      <c r="J3355" t="s">
        <v>15</v>
      </c>
      <c r="K3355">
        <v>17.27</v>
      </c>
      <c r="L3355">
        <v>0</v>
      </c>
    </row>
    <row r="3356" spans="1:12" x14ac:dyDescent="0.3">
      <c r="A3356" t="s">
        <v>3372</v>
      </c>
      <c r="B3356" t="s">
        <v>21</v>
      </c>
      <c r="C3356">
        <v>1299</v>
      </c>
      <c r="D3356">
        <v>0</v>
      </c>
      <c r="E3356">
        <v>0</v>
      </c>
      <c r="F3356">
        <f>COUNTIFS(mdr_rate_cleaned!$A$2:$A$10,B3356,mdr_rate_cleaned!$B$2:$B$10,"&lt;"&amp;C3356,mdr_rate_cleaned!$F$2:$F$10,"&gt;="&amp;C3356)</f>
        <v>1</v>
      </c>
      <c r="G3356">
        <v>0</v>
      </c>
      <c r="H3356">
        <v>0</v>
      </c>
      <c r="I3356" t="s">
        <v>15</v>
      </c>
      <c r="J3356" t="s">
        <v>15</v>
      </c>
      <c r="K3356">
        <v>0</v>
      </c>
      <c r="L3356">
        <v>0</v>
      </c>
    </row>
    <row r="3357" spans="1:12" x14ac:dyDescent="0.3">
      <c r="A3357" t="s">
        <v>3373</v>
      </c>
      <c r="B3357" t="s">
        <v>21</v>
      </c>
      <c r="C3357">
        <v>4798</v>
      </c>
      <c r="D3357">
        <v>14.39</v>
      </c>
      <c r="E3357">
        <v>2.59</v>
      </c>
      <c r="F3357">
        <f>COUNTIFS(mdr_rate_cleaned!$A$2:$A$10,B3357,mdr_rate_cleaned!$B$2:$B$10,"&lt;"&amp;C3357,mdr_rate_cleaned!$F$2:$F$10,"&gt;="&amp;C3357)</f>
        <v>1</v>
      </c>
      <c r="G3357">
        <v>3.0000000000000001E-3</v>
      </c>
      <c r="H3357">
        <v>14.39</v>
      </c>
      <c r="I3357" t="s">
        <v>15</v>
      </c>
      <c r="J3357" t="s">
        <v>15</v>
      </c>
      <c r="K3357">
        <v>2.59</v>
      </c>
      <c r="L3357">
        <v>0</v>
      </c>
    </row>
    <row r="3358" spans="1:12" x14ac:dyDescent="0.3">
      <c r="A3358" t="s">
        <v>3374</v>
      </c>
      <c r="B3358" t="s">
        <v>21</v>
      </c>
      <c r="C3358">
        <v>648</v>
      </c>
      <c r="D3358">
        <v>0</v>
      </c>
      <c r="E3358">
        <v>0</v>
      </c>
      <c r="F3358">
        <f>COUNTIFS(mdr_rate_cleaned!$A$2:$A$10,B3358,mdr_rate_cleaned!$B$2:$B$10,"&lt;"&amp;C3358,mdr_rate_cleaned!$F$2:$F$10,"&gt;="&amp;C3358)</f>
        <v>1</v>
      </c>
      <c r="G3358">
        <v>0</v>
      </c>
      <c r="H3358">
        <v>0</v>
      </c>
      <c r="I3358" t="s">
        <v>15</v>
      </c>
      <c r="J3358" t="s">
        <v>15</v>
      </c>
      <c r="K3358">
        <v>0</v>
      </c>
      <c r="L3358">
        <v>0</v>
      </c>
    </row>
    <row r="3359" spans="1:12" x14ac:dyDescent="0.3">
      <c r="A3359" t="s">
        <v>3375</v>
      </c>
      <c r="B3359" t="s">
        <v>17</v>
      </c>
      <c r="C3359">
        <v>1598</v>
      </c>
      <c r="D3359">
        <v>28.76</v>
      </c>
      <c r="E3359">
        <v>5.18</v>
      </c>
      <c r="F3359">
        <f>COUNTIFS(mdr_rate_cleaned!$A$2:$A$10,B3359,mdr_rate_cleaned!$B$2:$B$10,"&lt;"&amp;C3359,mdr_rate_cleaned!$F$2:$F$10,"&gt;="&amp;C3359)</f>
        <v>1</v>
      </c>
      <c r="G3359">
        <v>1.7999999999999999E-2</v>
      </c>
      <c r="H3359">
        <v>28.76</v>
      </c>
      <c r="I3359" t="s">
        <v>15</v>
      </c>
      <c r="J3359" t="s">
        <v>15</v>
      </c>
      <c r="K3359">
        <v>5.18</v>
      </c>
      <c r="L3359">
        <v>0</v>
      </c>
    </row>
    <row r="3360" spans="1:12" x14ac:dyDescent="0.3">
      <c r="A3360" t="s">
        <v>3376</v>
      </c>
      <c r="B3360" t="s">
        <v>21</v>
      </c>
      <c r="C3360">
        <v>999</v>
      </c>
      <c r="D3360">
        <v>0</v>
      </c>
      <c r="E3360">
        <v>0</v>
      </c>
      <c r="F3360">
        <f>COUNTIFS(mdr_rate_cleaned!$A$2:$A$10,B3360,mdr_rate_cleaned!$B$2:$B$10,"&lt;"&amp;C3360,mdr_rate_cleaned!$F$2:$F$10,"&gt;="&amp;C3360)</f>
        <v>1</v>
      </c>
      <c r="G3360">
        <v>0</v>
      </c>
      <c r="H3360">
        <v>0</v>
      </c>
      <c r="I3360" t="s">
        <v>15</v>
      </c>
      <c r="J3360" t="s">
        <v>15</v>
      </c>
      <c r="K3360">
        <v>0</v>
      </c>
      <c r="L3360">
        <v>0</v>
      </c>
    </row>
    <row r="3361" spans="1:12" x14ac:dyDescent="0.3">
      <c r="A3361" t="s">
        <v>3377</v>
      </c>
      <c r="B3361" t="s">
        <v>21</v>
      </c>
      <c r="C3361">
        <v>2999</v>
      </c>
      <c r="D3361">
        <v>9</v>
      </c>
      <c r="E3361">
        <v>1.62</v>
      </c>
      <c r="F3361">
        <f>COUNTIFS(mdr_rate_cleaned!$A$2:$A$10,B3361,mdr_rate_cleaned!$B$2:$B$10,"&lt;"&amp;C3361,mdr_rate_cleaned!$F$2:$F$10,"&gt;="&amp;C3361)</f>
        <v>1</v>
      </c>
      <c r="G3361">
        <v>3.0000000000000001E-3</v>
      </c>
      <c r="H3361">
        <v>9</v>
      </c>
      <c r="I3361" t="s">
        <v>15</v>
      </c>
      <c r="J3361" t="s">
        <v>15</v>
      </c>
      <c r="K3361">
        <v>1.62</v>
      </c>
      <c r="L3361">
        <v>0</v>
      </c>
    </row>
    <row r="3362" spans="1:12" x14ac:dyDescent="0.3">
      <c r="A3362" t="s">
        <v>3378</v>
      </c>
      <c r="B3362" t="s">
        <v>21</v>
      </c>
      <c r="C3362">
        <v>1898</v>
      </c>
      <c r="D3362">
        <v>0</v>
      </c>
      <c r="E3362">
        <v>0</v>
      </c>
      <c r="F3362">
        <f>COUNTIFS(mdr_rate_cleaned!$A$2:$A$10,B3362,mdr_rate_cleaned!$B$2:$B$10,"&lt;"&amp;C3362,mdr_rate_cleaned!$F$2:$F$10,"&gt;="&amp;C3362)</f>
        <v>1</v>
      </c>
      <c r="G3362">
        <v>0</v>
      </c>
      <c r="H3362">
        <v>0</v>
      </c>
      <c r="I3362" t="s">
        <v>15</v>
      </c>
      <c r="J3362" t="s">
        <v>15</v>
      </c>
      <c r="K3362">
        <v>0</v>
      </c>
      <c r="L3362">
        <v>0</v>
      </c>
    </row>
    <row r="3363" spans="1:12" x14ac:dyDescent="0.3">
      <c r="A3363" t="s">
        <v>3379</v>
      </c>
      <c r="B3363" t="s">
        <v>39</v>
      </c>
      <c r="C3363">
        <v>1499</v>
      </c>
      <c r="D3363">
        <v>22.49</v>
      </c>
      <c r="E3363">
        <v>4.05</v>
      </c>
      <c r="F3363">
        <f>COUNTIFS(mdr_rate_cleaned!$A$2:$A$10,B3363,mdr_rate_cleaned!$B$2:$B$10,"&lt;"&amp;C3363,mdr_rate_cleaned!$F$2:$F$10,"&gt;="&amp;C3363)</f>
        <v>1</v>
      </c>
      <c r="G3363">
        <v>1.4999999999999999E-2</v>
      </c>
      <c r="H3363">
        <v>22.49</v>
      </c>
      <c r="I3363" t="s">
        <v>15</v>
      </c>
      <c r="J3363" t="s">
        <v>15</v>
      </c>
      <c r="K3363">
        <v>4.05</v>
      </c>
      <c r="L3363">
        <v>0</v>
      </c>
    </row>
    <row r="3364" spans="1:12" x14ac:dyDescent="0.3">
      <c r="A3364" t="s">
        <v>3380</v>
      </c>
      <c r="B3364" t="s">
        <v>13</v>
      </c>
      <c r="C3364">
        <v>648</v>
      </c>
      <c r="D3364">
        <v>12.31</v>
      </c>
      <c r="E3364">
        <v>2.2200000000000002</v>
      </c>
      <c r="F3364">
        <f>COUNTIFS(mdr_rate_cleaned!$A$2:$A$10,B3364,mdr_rate_cleaned!$B$2:$B$10,"&lt;"&amp;C3364,mdr_rate_cleaned!$F$2:$F$10,"&gt;="&amp;C3364)</f>
        <v>1</v>
      </c>
      <c r="G3364">
        <v>1.9E-2</v>
      </c>
      <c r="H3364">
        <v>12.31</v>
      </c>
      <c r="I3364" t="s">
        <v>15</v>
      </c>
      <c r="J3364" t="s">
        <v>15</v>
      </c>
      <c r="K3364">
        <v>2.2200000000000002</v>
      </c>
      <c r="L3364">
        <v>0</v>
      </c>
    </row>
    <row r="3365" spans="1:12" x14ac:dyDescent="0.3">
      <c r="A3365" t="s">
        <v>3381</v>
      </c>
      <c r="B3365" t="s">
        <v>17</v>
      </c>
      <c r="C3365">
        <v>4797</v>
      </c>
      <c r="D3365">
        <v>76.75</v>
      </c>
      <c r="E3365">
        <v>13.82</v>
      </c>
      <c r="F3365">
        <f>COUNTIFS(mdr_rate_cleaned!$A$2:$A$10,B3365,mdr_rate_cleaned!$B$2:$B$10,"&lt;"&amp;C3365,mdr_rate_cleaned!$F$2:$F$10,"&gt;="&amp;C3365)</f>
        <v>1</v>
      </c>
      <c r="G3365">
        <v>1.6E-2</v>
      </c>
      <c r="H3365">
        <v>76.75</v>
      </c>
      <c r="I3365" t="s">
        <v>15</v>
      </c>
      <c r="J3365" t="s">
        <v>15</v>
      </c>
      <c r="K3365">
        <v>13.82</v>
      </c>
      <c r="L3365">
        <v>0</v>
      </c>
    </row>
    <row r="3366" spans="1:12" x14ac:dyDescent="0.3">
      <c r="A3366" t="s">
        <v>3382</v>
      </c>
      <c r="B3366" t="s">
        <v>17</v>
      </c>
      <c r="C3366">
        <v>3499</v>
      </c>
      <c r="D3366">
        <v>55.98</v>
      </c>
      <c r="E3366">
        <v>10.08</v>
      </c>
      <c r="F3366">
        <f>COUNTIFS(mdr_rate_cleaned!$A$2:$A$10,B3366,mdr_rate_cleaned!$B$2:$B$10,"&lt;"&amp;C3366,mdr_rate_cleaned!$F$2:$F$10,"&gt;="&amp;C3366)</f>
        <v>1</v>
      </c>
      <c r="G3366">
        <v>1.6E-2</v>
      </c>
      <c r="H3366">
        <v>55.98</v>
      </c>
      <c r="I3366" t="s">
        <v>15</v>
      </c>
      <c r="J3366" t="s">
        <v>15</v>
      </c>
      <c r="K3366">
        <v>10.08</v>
      </c>
      <c r="L3366">
        <v>0</v>
      </c>
    </row>
    <row r="3367" spans="1:12" x14ac:dyDescent="0.3">
      <c r="A3367" t="s">
        <v>3383</v>
      </c>
      <c r="B3367" t="s">
        <v>21</v>
      </c>
      <c r="C3367">
        <v>599</v>
      </c>
      <c r="D3367">
        <v>0</v>
      </c>
      <c r="E3367">
        <v>0</v>
      </c>
      <c r="F3367">
        <f>COUNTIFS(mdr_rate_cleaned!$A$2:$A$10,B3367,mdr_rate_cleaned!$B$2:$B$10,"&lt;"&amp;C3367,mdr_rate_cleaned!$F$2:$F$10,"&gt;="&amp;C3367)</f>
        <v>1</v>
      </c>
      <c r="G3367">
        <v>0</v>
      </c>
      <c r="H3367">
        <v>0</v>
      </c>
      <c r="I3367" t="s">
        <v>15</v>
      </c>
      <c r="J3367" t="s">
        <v>15</v>
      </c>
      <c r="K3367">
        <v>0</v>
      </c>
      <c r="L3367">
        <v>0</v>
      </c>
    </row>
    <row r="3368" spans="1:12" x14ac:dyDescent="0.3">
      <c r="A3368" t="s">
        <v>3384</v>
      </c>
      <c r="B3368" t="s">
        <v>21</v>
      </c>
      <c r="C3368">
        <v>1298</v>
      </c>
      <c r="D3368">
        <v>0</v>
      </c>
      <c r="E3368">
        <v>0</v>
      </c>
      <c r="F3368">
        <f>COUNTIFS(mdr_rate_cleaned!$A$2:$A$10,B3368,mdr_rate_cleaned!$B$2:$B$10,"&lt;"&amp;C3368,mdr_rate_cleaned!$F$2:$F$10,"&gt;="&amp;C3368)</f>
        <v>1</v>
      </c>
      <c r="G3368">
        <v>0</v>
      </c>
      <c r="H3368">
        <v>0</v>
      </c>
      <c r="I3368" t="s">
        <v>15</v>
      </c>
      <c r="J3368" t="s">
        <v>15</v>
      </c>
      <c r="K3368">
        <v>0</v>
      </c>
      <c r="L3368">
        <v>0</v>
      </c>
    </row>
    <row r="3369" spans="1:12" x14ac:dyDescent="0.3">
      <c r="A3369" t="s">
        <v>3385</v>
      </c>
      <c r="B3369" t="s">
        <v>17</v>
      </c>
      <c r="C3369">
        <v>2498</v>
      </c>
      <c r="D3369">
        <v>39.97</v>
      </c>
      <c r="E3369">
        <v>7.19</v>
      </c>
      <c r="F3369">
        <f>COUNTIFS(mdr_rate_cleaned!$A$2:$A$10,B3369,mdr_rate_cleaned!$B$2:$B$10,"&lt;"&amp;C3369,mdr_rate_cleaned!$F$2:$F$10,"&gt;="&amp;C3369)</f>
        <v>1</v>
      </c>
      <c r="G3369">
        <v>1.6E-2</v>
      </c>
      <c r="H3369">
        <v>39.97</v>
      </c>
      <c r="I3369" t="s">
        <v>15</v>
      </c>
      <c r="J3369" t="s">
        <v>15</v>
      </c>
      <c r="K3369">
        <v>7.19</v>
      </c>
      <c r="L3369">
        <v>0</v>
      </c>
    </row>
    <row r="3370" spans="1:12" x14ac:dyDescent="0.3">
      <c r="A3370" t="s">
        <v>3386</v>
      </c>
      <c r="B3370" t="s">
        <v>17</v>
      </c>
      <c r="C3370">
        <v>3499</v>
      </c>
      <c r="D3370">
        <v>55.98</v>
      </c>
      <c r="E3370">
        <v>10.08</v>
      </c>
      <c r="F3370">
        <f>COUNTIFS(mdr_rate_cleaned!$A$2:$A$10,B3370,mdr_rate_cleaned!$B$2:$B$10,"&lt;"&amp;C3370,mdr_rate_cleaned!$F$2:$F$10,"&gt;="&amp;C3370)</f>
        <v>1</v>
      </c>
      <c r="G3370">
        <v>1.6E-2</v>
      </c>
      <c r="H3370">
        <v>55.98</v>
      </c>
      <c r="I3370" t="s">
        <v>15</v>
      </c>
      <c r="J3370" t="s">
        <v>15</v>
      </c>
      <c r="K3370">
        <v>10.08</v>
      </c>
      <c r="L3370">
        <v>0</v>
      </c>
    </row>
    <row r="3371" spans="1:12" x14ac:dyDescent="0.3">
      <c r="A3371" t="s">
        <v>3387</v>
      </c>
      <c r="B3371" t="s">
        <v>17</v>
      </c>
      <c r="C3371">
        <v>5498</v>
      </c>
      <c r="D3371">
        <v>87.97</v>
      </c>
      <c r="E3371">
        <v>15.83</v>
      </c>
      <c r="F3371">
        <f>COUNTIFS(mdr_rate_cleaned!$A$2:$A$10,B3371,mdr_rate_cleaned!$B$2:$B$10,"&lt;"&amp;C3371,mdr_rate_cleaned!$F$2:$F$10,"&gt;="&amp;C3371)</f>
        <v>1</v>
      </c>
      <c r="G3371">
        <v>1.6E-2</v>
      </c>
      <c r="H3371">
        <v>87.97</v>
      </c>
      <c r="I3371" t="s">
        <v>15</v>
      </c>
      <c r="J3371" t="s">
        <v>15</v>
      </c>
      <c r="K3371">
        <v>15.83</v>
      </c>
      <c r="L3371">
        <v>0</v>
      </c>
    </row>
    <row r="3372" spans="1:12" x14ac:dyDescent="0.3">
      <c r="A3372" t="s">
        <v>3388</v>
      </c>
      <c r="B3372" t="s">
        <v>21</v>
      </c>
      <c r="C3372">
        <v>7097</v>
      </c>
      <c r="D3372">
        <v>21.29</v>
      </c>
      <c r="E3372">
        <v>3.83</v>
      </c>
      <c r="F3372">
        <f>COUNTIFS(mdr_rate_cleaned!$A$2:$A$10,B3372,mdr_rate_cleaned!$B$2:$B$10,"&lt;"&amp;C3372,mdr_rate_cleaned!$F$2:$F$10,"&gt;="&amp;C3372)</f>
        <v>1</v>
      </c>
      <c r="G3372">
        <v>3.0000000000000001E-3</v>
      </c>
      <c r="H3372">
        <v>21.29</v>
      </c>
      <c r="I3372" t="s">
        <v>15</v>
      </c>
      <c r="J3372" t="s">
        <v>15</v>
      </c>
      <c r="K3372">
        <v>3.83</v>
      </c>
      <c r="L3372">
        <v>0</v>
      </c>
    </row>
    <row r="3373" spans="1:12" x14ac:dyDescent="0.3">
      <c r="A3373" t="s">
        <v>3389</v>
      </c>
      <c r="B3373" t="s">
        <v>39</v>
      </c>
      <c r="C3373">
        <v>299</v>
      </c>
      <c r="D3373">
        <v>4.49</v>
      </c>
      <c r="E3373">
        <v>0.81</v>
      </c>
      <c r="F3373">
        <f>COUNTIFS(mdr_rate_cleaned!$A$2:$A$10,B3373,mdr_rate_cleaned!$B$2:$B$10,"&lt;"&amp;C3373,mdr_rate_cleaned!$F$2:$F$10,"&gt;="&amp;C3373)</f>
        <v>1</v>
      </c>
      <c r="G3373">
        <v>1.4999999999999999E-2</v>
      </c>
      <c r="H3373">
        <v>4.49</v>
      </c>
      <c r="I3373" t="s">
        <v>15</v>
      </c>
      <c r="J3373" t="s">
        <v>15</v>
      </c>
      <c r="K3373">
        <v>0.81</v>
      </c>
      <c r="L3373">
        <v>0</v>
      </c>
    </row>
    <row r="3374" spans="1:12" x14ac:dyDescent="0.3">
      <c r="A3374" t="s">
        <v>3390</v>
      </c>
      <c r="B3374" t="s">
        <v>21</v>
      </c>
      <c r="C3374">
        <v>2298</v>
      </c>
      <c r="D3374">
        <v>6.89</v>
      </c>
      <c r="E3374">
        <v>1.24</v>
      </c>
      <c r="F3374">
        <f>COUNTIFS(mdr_rate_cleaned!$A$2:$A$10,B3374,mdr_rate_cleaned!$B$2:$B$10,"&lt;"&amp;C3374,mdr_rate_cleaned!$F$2:$F$10,"&gt;="&amp;C3374)</f>
        <v>1</v>
      </c>
      <c r="G3374">
        <v>3.0000000000000001E-3</v>
      </c>
      <c r="H3374">
        <v>6.89</v>
      </c>
      <c r="I3374" t="s">
        <v>15</v>
      </c>
      <c r="J3374" t="s">
        <v>15</v>
      </c>
      <c r="K3374">
        <v>1.24</v>
      </c>
      <c r="L3374">
        <v>0</v>
      </c>
    </row>
    <row r="3375" spans="1:12" x14ac:dyDescent="0.3">
      <c r="A3375" t="s">
        <v>3391</v>
      </c>
      <c r="B3375" t="s">
        <v>21</v>
      </c>
      <c r="C3375">
        <v>599</v>
      </c>
      <c r="D3375">
        <v>0</v>
      </c>
      <c r="E3375">
        <v>0</v>
      </c>
      <c r="F3375">
        <f>COUNTIFS(mdr_rate_cleaned!$A$2:$A$10,B3375,mdr_rate_cleaned!$B$2:$B$10,"&lt;"&amp;C3375,mdr_rate_cleaned!$F$2:$F$10,"&gt;="&amp;C3375)</f>
        <v>1</v>
      </c>
      <c r="G3375">
        <v>0</v>
      </c>
      <c r="H3375">
        <v>0</v>
      </c>
      <c r="I3375" t="s">
        <v>15</v>
      </c>
      <c r="J3375" t="s">
        <v>15</v>
      </c>
      <c r="K3375">
        <v>0</v>
      </c>
      <c r="L3375">
        <v>0</v>
      </c>
    </row>
    <row r="3376" spans="1:12" x14ac:dyDescent="0.3">
      <c r="A3376" t="s">
        <v>3392</v>
      </c>
      <c r="B3376" t="s">
        <v>21</v>
      </c>
      <c r="C3376">
        <v>2999</v>
      </c>
      <c r="D3376">
        <v>9</v>
      </c>
      <c r="E3376">
        <v>1.62</v>
      </c>
      <c r="F3376">
        <f>COUNTIFS(mdr_rate_cleaned!$A$2:$A$10,B3376,mdr_rate_cleaned!$B$2:$B$10,"&lt;"&amp;C3376,mdr_rate_cleaned!$F$2:$F$10,"&gt;="&amp;C3376)</f>
        <v>1</v>
      </c>
      <c r="G3376">
        <v>3.0000000000000001E-3</v>
      </c>
      <c r="H3376">
        <v>9</v>
      </c>
      <c r="I3376" t="s">
        <v>15</v>
      </c>
      <c r="J3376" t="s">
        <v>15</v>
      </c>
      <c r="K3376">
        <v>1.62</v>
      </c>
      <c r="L3376">
        <v>0</v>
      </c>
    </row>
    <row r="3377" spans="1:12" x14ac:dyDescent="0.3">
      <c r="A3377" t="s">
        <v>3393</v>
      </c>
      <c r="B3377" t="s">
        <v>21</v>
      </c>
      <c r="C3377">
        <v>12998</v>
      </c>
      <c r="D3377">
        <v>38.99</v>
      </c>
      <c r="E3377">
        <v>7.02</v>
      </c>
      <c r="F3377">
        <f>COUNTIFS(mdr_rate_cleaned!$A$2:$A$10,B3377,mdr_rate_cleaned!$B$2:$B$10,"&lt;"&amp;C3377,mdr_rate_cleaned!$F$2:$F$10,"&gt;="&amp;C3377)</f>
        <v>1</v>
      </c>
      <c r="G3377">
        <v>3.0000000000000001E-3</v>
      </c>
      <c r="H3377">
        <v>38.99</v>
      </c>
      <c r="I3377" t="s">
        <v>15</v>
      </c>
      <c r="J3377" t="s">
        <v>15</v>
      </c>
      <c r="K3377">
        <v>7.02</v>
      </c>
      <c r="L3377">
        <v>0</v>
      </c>
    </row>
    <row r="3378" spans="1:12" x14ac:dyDescent="0.3">
      <c r="A3378" t="s">
        <v>3394</v>
      </c>
      <c r="B3378" t="s">
        <v>21</v>
      </c>
      <c r="C3378">
        <v>1598</v>
      </c>
      <c r="D3378">
        <v>0</v>
      </c>
      <c r="E3378">
        <v>0</v>
      </c>
      <c r="F3378">
        <f>COUNTIFS(mdr_rate_cleaned!$A$2:$A$10,B3378,mdr_rate_cleaned!$B$2:$B$10,"&lt;"&amp;C3378,mdr_rate_cleaned!$F$2:$F$10,"&gt;="&amp;C3378)</f>
        <v>1</v>
      </c>
      <c r="G3378">
        <v>0</v>
      </c>
      <c r="H3378">
        <v>0</v>
      </c>
      <c r="I3378" t="s">
        <v>15</v>
      </c>
      <c r="J3378" t="s">
        <v>15</v>
      </c>
      <c r="K3378">
        <v>0</v>
      </c>
      <c r="L3378">
        <v>0</v>
      </c>
    </row>
    <row r="3379" spans="1:12" x14ac:dyDescent="0.3">
      <c r="A3379" t="s">
        <v>3395</v>
      </c>
      <c r="B3379" t="s">
        <v>21</v>
      </c>
      <c r="C3379">
        <v>1799</v>
      </c>
      <c r="D3379">
        <v>0</v>
      </c>
      <c r="E3379">
        <v>0</v>
      </c>
      <c r="F3379">
        <f>COUNTIFS(mdr_rate_cleaned!$A$2:$A$10,B3379,mdr_rate_cleaned!$B$2:$B$10,"&lt;"&amp;C3379,mdr_rate_cleaned!$F$2:$F$10,"&gt;="&amp;C3379)</f>
        <v>1</v>
      </c>
      <c r="G3379">
        <v>0</v>
      </c>
      <c r="H3379">
        <v>0</v>
      </c>
      <c r="I3379" t="s">
        <v>15</v>
      </c>
      <c r="J3379" t="s">
        <v>15</v>
      </c>
      <c r="K3379">
        <v>0</v>
      </c>
      <c r="L3379">
        <v>0</v>
      </c>
    </row>
    <row r="3380" spans="1:12" x14ac:dyDescent="0.3">
      <c r="A3380" t="s">
        <v>3396</v>
      </c>
      <c r="B3380" t="s">
        <v>17</v>
      </c>
      <c r="C3380">
        <v>3499</v>
      </c>
      <c r="D3380">
        <v>55.98</v>
      </c>
      <c r="E3380">
        <v>10.08</v>
      </c>
      <c r="F3380">
        <f>COUNTIFS(mdr_rate_cleaned!$A$2:$A$10,B3380,mdr_rate_cleaned!$B$2:$B$10,"&lt;"&amp;C3380,mdr_rate_cleaned!$F$2:$F$10,"&gt;="&amp;C3380)</f>
        <v>1</v>
      </c>
      <c r="G3380">
        <v>1.6E-2</v>
      </c>
      <c r="H3380">
        <v>55.98</v>
      </c>
      <c r="I3380" t="s">
        <v>15</v>
      </c>
      <c r="J3380" t="s">
        <v>15</v>
      </c>
      <c r="K3380">
        <v>10.08</v>
      </c>
      <c r="L3380">
        <v>0</v>
      </c>
    </row>
    <row r="3381" spans="1:12" x14ac:dyDescent="0.3">
      <c r="A3381" t="s">
        <v>3397</v>
      </c>
      <c r="B3381" t="s">
        <v>13</v>
      </c>
      <c r="C3381">
        <v>999</v>
      </c>
      <c r="D3381">
        <v>18.98</v>
      </c>
      <c r="E3381">
        <v>3.42</v>
      </c>
      <c r="F3381">
        <f>COUNTIFS(mdr_rate_cleaned!$A$2:$A$10,B3381,mdr_rate_cleaned!$B$2:$B$10,"&lt;"&amp;C3381,mdr_rate_cleaned!$F$2:$F$10,"&gt;="&amp;C3381)</f>
        <v>1</v>
      </c>
      <c r="G3381">
        <v>1.9E-2</v>
      </c>
      <c r="H3381">
        <v>18.98</v>
      </c>
      <c r="I3381" t="s">
        <v>15</v>
      </c>
      <c r="J3381" t="s">
        <v>15</v>
      </c>
      <c r="K3381">
        <v>3.42</v>
      </c>
      <c r="L3381">
        <v>0</v>
      </c>
    </row>
    <row r="3382" spans="1:12" x14ac:dyDescent="0.3">
      <c r="A3382" t="s">
        <v>3398</v>
      </c>
      <c r="B3382" t="s">
        <v>21</v>
      </c>
      <c r="C3382">
        <v>4999</v>
      </c>
      <c r="D3382">
        <v>15</v>
      </c>
      <c r="E3382">
        <v>2.7</v>
      </c>
      <c r="F3382">
        <f>COUNTIFS(mdr_rate_cleaned!$A$2:$A$10,B3382,mdr_rate_cleaned!$B$2:$B$10,"&lt;"&amp;C3382,mdr_rate_cleaned!$F$2:$F$10,"&gt;="&amp;C3382)</f>
        <v>1</v>
      </c>
      <c r="G3382">
        <v>3.0000000000000001E-3</v>
      </c>
      <c r="H3382">
        <v>15</v>
      </c>
      <c r="I3382" t="s">
        <v>15</v>
      </c>
      <c r="J3382" t="s">
        <v>15</v>
      </c>
      <c r="K3382">
        <v>2.7</v>
      </c>
      <c r="L3382">
        <v>0</v>
      </c>
    </row>
    <row r="3383" spans="1:12" x14ac:dyDescent="0.3">
      <c r="A3383" t="s">
        <v>3399</v>
      </c>
      <c r="B3383" t="s">
        <v>21</v>
      </c>
      <c r="C3383">
        <v>3847</v>
      </c>
      <c r="D3383">
        <v>11.54</v>
      </c>
      <c r="E3383">
        <v>2.08</v>
      </c>
      <c r="F3383">
        <f>COUNTIFS(mdr_rate_cleaned!$A$2:$A$10,B3383,mdr_rate_cleaned!$B$2:$B$10,"&lt;"&amp;C3383,mdr_rate_cleaned!$F$2:$F$10,"&gt;="&amp;C3383)</f>
        <v>1</v>
      </c>
      <c r="G3383">
        <v>3.0000000000000001E-3</v>
      </c>
      <c r="H3383">
        <v>11.54</v>
      </c>
      <c r="I3383" t="s">
        <v>15</v>
      </c>
      <c r="J3383" t="s">
        <v>15</v>
      </c>
      <c r="K3383">
        <v>2.08</v>
      </c>
      <c r="L3383">
        <v>0</v>
      </c>
    </row>
    <row r="3384" spans="1:12" x14ac:dyDescent="0.3">
      <c r="A3384" t="s">
        <v>3400</v>
      </c>
      <c r="B3384" t="s">
        <v>17</v>
      </c>
      <c r="C3384">
        <v>1848</v>
      </c>
      <c r="D3384">
        <v>33.26</v>
      </c>
      <c r="E3384">
        <v>5.99</v>
      </c>
      <c r="F3384">
        <f>COUNTIFS(mdr_rate_cleaned!$A$2:$A$10,B3384,mdr_rate_cleaned!$B$2:$B$10,"&lt;"&amp;C3384,mdr_rate_cleaned!$F$2:$F$10,"&gt;="&amp;C3384)</f>
        <v>1</v>
      </c>
      <c r="G3384">
        <v>1.7999999999999999E-2</v>
      </c>
      <c r="H3384">
        <v>33.26</v>
      </c>
      <c r="I3384" t="s">
        <v>15</v>
      </c>
      <c r="J3384" t="s">
        <v>15</v>
      </c>
      <c r="K3384">
        <v>5.99</v>
      </c>
      <c r="L3384">
        <v>0</v>
      </c>
    </row>
    <row r="3385" spans="1:12" x14ac:dyDescent="0.3">
      <c r="A3385" t="s">
        <v>3401</v>
      </c>
      <c r="B3385" t="s">
        <v>13</v>
      </c>
      <c r="C3385">
        <v>999</v>
      </c>
      <c r="D3385">
        <v>18.98</v>
      </c>
      <c r="E3385">
        <v>3.42</v>
      </c>
      <c r="F3385">
        <f>COUNTIFS(mdr_rate_cleaned!$A$2:$A$10,B3385,mdr_rate_cleaned!$B$2:$B$10,"&lt;"&amp;C3385,mdr_rate_cleaned!$F$2:$F$10,"&gt;="&amp;C3385)</f>
        <v>1</v>
      </c>
      <c r="G3385">
        <v>1.9E-2</v>
      </c>
      <c r="H3385">
        <v>18.98</v>
      </c>
      <c r="I3385" t="s">
        <v>15</v>
      </c>
      <c r="J3385" t="s">
        <v>15</v>
      </c>
      <c r="K3385">
        <v>3.42</v>
      </c>
      <c r="L3385">
        <v>0</v>
      </c>
    </row>
    <row r="3386" spans="1:12" x14ac:dyDescent="0.3">
      <c r="A3386" t="s">
        <v>3402</v>
      </c>
      <c r="B3386" t="s">
        <v>21</v>
      </c>
      <c r="C3386">
        <v>599</v>
      </c>
      <c r="D3386">
        <v>0</v>
      </c>
      <c r="E3386">
        <v>0</v>
      </c>
      <c r="F3386">
        <f>COUNTIFS(mdr_rate_cleaned!$A$2:$A$10,B3386,mdr_rate_cleaned!$B$2:$B$10,"&lt;"&amp;C3386,mdr_rate_cleaned!$F$2:$F$10,"&gt;="&amp;C3386)</f>
        <v>1</v>
      </c>
      <c r="G3386">
        <v>0</v>
      </c>
      <c r="H3386">
        <v>0</v>
      </c>
      <c r="I3386" t="s">
        <v>15</v>
      </c>
      <c r="J3386" t="s">
        <v>15</v>
      </c>
      <c r="K3386">
        <v>0</v>
      </c>
      <c r="L3386">
        <v>0</v>
      </c>
    </row>
    <row r="3387" spans="1:12" x14ac:dyDescent="0.3">
      <c r="A3387" t="s">
        <v>3403</v>
      </c>
      <c r="B3387" t="s">
        <v>21</v>
      </c>
      <c r="C3387">
        <v>999</v>
      </c>
      <c r="D3387">
        <v>0</v>
      </c>
      <c r="E3387">
        <v>0</v>
      </c>
      <c r="F3387">
        <f>COUNTIFS(mdr_rate_cleaned!$A$2:$A$10,B3387,mdr_rate_cleaned!$B$2:$B$10,"&lt;"&amp;C3387,mdr_rate_cleaned!$F$2:$F$10,"&gt;="&amp;C3387)</f>
        <v>1</v>
      </c>
      <c r="G3387">
        <v>0</v>
      </c>
      <c r="H3387">
        <v>0</v>
      </c>
      <c r="I3387" t="s">
        <v>15</v>
      </c>
      <c r="J3387" t="s">
        <v>15</v>
      </c>
      <c r="K3387">
        <v>0</v>
      </c>
      <c r="L3387">
        <v>0</v>
      </c>
    </row>
    <row r="3388" spans="1:12" x14ac:dyDescent="0.3">
      <c r="A3388" t="s">
        <v>3404</v>
      </c>
      <c r="B3388" t="s">
        <v>21</v>
      </c>
      <c r="C3388">
        <v>1798</v>
      </c>
      <c r="D3388">
        <v>0</v>
      </c>
      <c r="E3388">
        <v>0</v>
      </c>
      <c r="F3388">
        <f>COUNTIFS(mdr_rate_cleaned!$A$2:$A$10,B3388,mdr_rate_cleaned!$B$2:$B$10,"&lt;"&amp;C3388,mdr_rate_cleaned!$F$2:$F$10,"&gt;="&amp;C3388)</f>
        <v>1</v>
      </c>
      <c r="G3388">
        <v>0</v>
      </c>
      <c r="H3388">
        <v>0</v>
      </c>
      <c r="I3388" t="s">
        <v>15</v>
      </c>
      <c r="J3388" t="s">
        <v>15</v>
      </c>
      <c r="K3388">
        <v>0</v>
      </c>
      <c r="L3388">
        <v>0</v>
      </c>
    </row>
    <row r="3389" spans="1:12" x14ac:dyDescent="0.3">
      <c r="A3389" t="s">
        <v>3405</v>
      </c>
      <c r="B3389" t="s">
        <v>21</v>
      </c>
      <c r="C3389">
        <v>1598</v>
      </c>
      <c r="D3389">
        <v>0</v>
      </c>
      <c r="E3389">
        <v>0</v>
      </c>
      <c r="F3389">
        <f>COUNTIFS(mdr_rate_cleaned!$A$2:$A$10,B3389,mdr_rate_cleaned!$B$2:$B$10,"&lt;"&amp;C3389,mdr_rate_cleaned!$F$2:$F$10,"&gt;="&amp;C3389)</f>
        <v>1</v>
      </c>
      <c r="G3389">
        <v>0</v>
      </c>
      <c r="H3389">
        <v>0</v>
      </c>
      <c r="I3389" t="s">
        <v>15</v>
      </c>
      <c r="J3389" t="s">
        <v>15</v>
      </c>
      <c r="K3389">
        <v>0</v>
      </c>
      <c r="L3389">
        <v>0</v>
      </c>
    </row>
    <row r="3390" spans="1:12" x14ac:dyDescent="0.3">
      <c r="A3390" t="s">
        <v>3406</v>
      </c>
      <c r="B3390" t="s">
        <v>21</v>
      </c>
      <c r="C3390">
        <v>15998</v>
      </c>
      <c r="D3390">
        <v>47.99</v>
      </c>
      <c r="E3390">
        <v>8.64</v>
      </c>
      <c r="F3390">
        <f>COUNTIFS(mdr_rate_cleaned!$A$2:$A$10,B3390,mdr_rate_cleaned!$B$2:$B$10,"&lt;"&amp;C3390,mdr_rate_cleaned!$F$2:$F$10,"&gt;="&amp;C3390)</f>
        <v>1</v>
      </c>
      <c r="G3390">
        <v>3.0000000000000001E-3</v>
      </c>
      <c r="H3390">
        <v>47.99</v>
      </c>
      <c r="I3390" t="s">
        <v>15</v>
      </c>
      <c r="J3390" t="s">
        <v>15</v>
      </c>
      <c r="K3390">
        <v>8.64</v>
      </c>
      <c r="L3390">
        <v>0</v>
      </c>
    </row>
    <row r="3391" spans="1:12" x14ac:dyDescent="0.3">
      <c r="A3391" t="s">
        <v>3407</v>
      </c>
      <c r="B3391" t="s">
        <v>17</v>
      </c>
      <c r="C3391">
        <v>8797</v>
      </c>
      <c r="D3391">
        <v>140.75</v>
      </c>
      <c r="E3391">
        <v>25.34</v>
      </c>
      <c r="F3391">
        <f>COUNTIFS(mdr_rate_cleaned!$A$2:$A$10,B3391,mdr_rate_cleaned!$B$2:$B$10,"&lt;"&amp;C3391,mdr_rate_cleaned!$F$2:$F$10,"&gt;="&amp;C3391)</f>
        <v>1</v>
      </c>
      <c r="G3391">
        <v>1.6E-2</v>
      </c>
      <c r="H3391">
        <v>140.75</v>
      </c>
      <c r="I3391" t="s">
        <v>15</v>
      </c>
      <c r="J3391" t="s">
        <v>15</v>
      </c>
      <c r="K3391">
        <v>25.34</v>
      </c>
      <c r="L3391">
        <v>0</v>
      </c>
    </row>
    <row r="3392" spans="1:12" x14ac:dyDescent="0.3">
      <c r="A3392" t="s">
        <v>3408</v>
      </c>
      <c r="B3392" t="s">
        <v>13</v>
      </c>
      <c r="C3392">
        <v>799</v>
      </c>
      <c r="D3392">
        <v>15.18</v>
      </c>
      <c r="E3392">
        <v>2.73</v>
      </c>
      <c r="F3392">
        <f>COUNTIFS(mdr_rate_cleaned!$A$2:$A$10,B3392,mdr_rate_cleaned!$B$2:$B$10,"&lt;"&amp;C3392,mdr_rate_cleaned!$F$2:$F$10,"&gt;="&amp;C3392)</f>
        <v>1</v>
      </c>
      <c r="G3392">
        <v>1.9E-2</v>
      </c>
      <c r="H3392">
        <v>15.18</v>
      </c>
      <c r="I3392" t="s">
        <v>15</v>
      </c>
      <c r="J3392" t="s">
        <v>15</v>
      </c>
      <c r="K3392">
        <v>2.73</v>
      </c>
      <c r="L3392">
        <v>0</v>
      </c>
    </row>
    <row r="3393" spans="1:12" x14ac:dyDescent="0.3">
      <c r="A3393" t="s">
        <v>3409</v>
      </c>
      <c r="B3393" t="s">
        <v>21</v>
      </c>
      <c r="C3393">
        <v>6298</v>
      </c>
      <c r="D3393">
        <v>18.89</v>
      </c>
      <c r="E3393">
        <v>3.4</v>
      </c>
      <c r="F3393">
        <f>COUNTIFS(mdr_rate_cleaned!$A$2:$A$10,B3393,mdr_rate_cleaned!$B$2:$B$10,"&lt;"&amp;C3393,mdr_rate_cleaned!$F$2:$F$10,"&gt;="&amp;C3393)</f>
        <v>1</v>
      </c>
      <c r="G3393">
        <v>3.0000000000000001E-3</v>
      </c>
      <c r="H3393">
        <v>18.89</v>
      </c>
      <c r="I3393" t="s">
        <v>15</v>
      </c>
      <c r="J3393" t="s">
        <v>15</v>
      </c>
      <c r="K3393">
        <v>3.4</v>
      </c>
      <c r="L3393">
        <v>0</v>
      </c>
    </row>
    <row r="3394" spans="1:12" x14ac:dyDescent="0.3">
      <c r="A3394" t="s">
        <v>3410</v>
      </c>
      <c r="B3394" t="s">
        <v>21</v>
      </c>
      <c r="C3394">
        <v>2697</v>
      </c>
      <c r="D3394">
        <v>8.09</v>
      </c>
      <c r="E3394">
        <v>1.46</v>
      </c>
      <c r="F3394">
        <f>COUNTIFS(mdr_rate_cleaned!$A$2:$A$10,B3394,mdr_rate_cleaned!$B$2:$B$10,"&lt;"&amp;C3394,mdr_rate_cleaned!$F$2:$F$10,"&gt;="&amp;C3394)</f>
        <v>1</v>
      </c>
      <c r="G3394">
        <v>3.0000000000000001E-3</v>
      </c>
      <c r="H3394">
        <v>8.09</v>
      </c>
      <c r="I3394" t="s">
        <v>15</v>
      </c>
      <c r="J3394" t="s">
        <v>15</v>
      </c>
      <c r="K3394">
        <v>1.46</v>
      </c>
      <c r="L3394">
        <v>0</v>
      </c>
    </row>
    <row r="3395" spans="1:12" x14ac:dyDescent="0.3">
      <c r="A3395" t="s">
        <v>3411</v>
      </c>
      <c r="B3395" t="s">
        <v>21</v>
      </c>
      <c r="C3395">
        <v>2098</v>
      </c>
      <c r="D3395">
        <v>6.29</v>
      </c>
      <c r="E3395">
        <v>1.1299999999999999</v>
      </c>
      <c r="F3395">
        <f>COUNTIFS(mdr_rate_cleaned!$A$2:$A$10,B3395,mdr_rate_cleaned!$B$2:$B$10,"&lt;"&amp;C3395,mdr_rate_cleaned!$F$2:$F$10,"&gt;="&amp;C3395)</f>
        <v>1</v>
      </c>
      <c r="G3395">
        <v>3.0000000000000001E-3</v>
      </c>
      <c r="H3395">
        <v>6.29</v>
      </c>
      <c r="I3395" t="s">
        <v>15</v>
      </c>
      <c r="J3395" t="s">
        <v>15</v>
      </c>
      <c r="K3395">
        <v>1.1299999999999999</v>
      </c>
      <c r="L3395">
        <v>0</v>
      </c>
    </row>
    <row r="3396" spans="1:12" x14ac:dyDescent="0.3">
      <c r="A3396" t="s">
        <v>3412</v>
      </c>
      <c r="B3396" t="s">
        <v>17</v>
      </c>
      <c r="C3396">
        <v>7297</v>
      </c>
      <c r="D3396">
        <v>116.75</v>
      </c>
      <c r="E3396">
        <v>21.02</v>
      </c>
      <c r="F3396">
        <f>COUNTIFS(mdr_rate_cleaned!$A$2:$A$10,B3396,mdr_rate_cleaned!$B$2:$B$10,"&lt;"&amp;C3396,mdr_rate_cleaned!$F$2:$F$10,"&gt;="&amp;C3396)</f>
        <v>1</v>
      </c>
      <c r="G3396">
        <v>1.6E-2</v>
      </c>
      <c r="H3396">
        <v>116.75</v>
      </c>
      <c r="I3396" t="s">
        <v>15</v>
      </c>
      <c r="J3396" t="s">
        <v>15</v>
      </c>
      <c r="K3396">
        <v>21.02</v>
      </c>
      <c r="L3396">
        <v>0</v>
      </c>
    </row>
    <row r="3397" spans="1:12" x14ac:dyDescent="0.3">
      <c r="A3397" t="s">
        <v>3413</v>
      </c>
      <c r="B3397" t="s">
        <v>21</v>
      </c>
      <c r="C3397">
        <v>3098</v>
      </c>
      <c r="D3397">
        <v>9.2899999999999991</v>
      </c>
      <c r="E3397">
        <v>1.67</v>
      </c>
      <c r="F3397">
        <f>COUNTIFS(mdr_rate_cleaned!$A$2:$A$10,B3397,mdr_rate_cleaned!$B$2:$B$10,"&lt;"&amp;C3397,mdr_rate_cleaned!$F$2:$F$10,"&gt;="&amp;C3397)</f>
        <v>1</v>
      </c>
      <c r="G3397">
        <v>3.0000000000000001E-3</v>
      </c>
      <c r="H3397">
        <v>9.2899999999999991</v>
      </c>
      <c r="I3397" t="s">
        <v>15</v>
      </c>
      <c r="J3397" t="s">
        <v>15</v>
      </c>
      <c r="K3397">
        <v>1.67</v>
      </c>
      <c r="L3397">
        <v>0</v>
      </c>
    </row>
    <row r="3398" spans="1:12" x14ac:dyDescent="0.3">
      <c r="A3398" t="s">
        <v>3414</v>
      </c>
      <c r="B3398" t="s">
        <v>21</v>
      </c>
      <c r="C3398">
        <v>1298</v>
      </c>
      <c r="D3398">
        <v>0</v>
      </c>
      <c r="E3398">
        <v>0</v>
      </c>
      <c r="F3398">
        <f>COUNTIFS(mdr_rate_cleaned!$A$2:$A$10,B3398,mdr_rate_cleaned!$B$2:$B$10,"&lt;"&amp;C3398,mdr_rate_cleaned!$F$2:$F$10,"&gt;="&amp;C3398)</f>
        <v>1</v>
      </c>
      <c r="G3398">
        <v>0</v>
      </c>
      <c r="H3398">
        <v>0</v>
      </c>
      <c r="I3398" t="s">
        <v>15</v>
      </c>
      <c r="J3398" t="s">
        <v>15</v>
      </c>
      <c r="K3398">
        <v>0</v>
      </c>
      <c r="L3398">
        <v>0</v>
      </c>
    </row>
    <row r="3399" spans="1:12" x14ac:dyDescent="0.3">
      <c r="A3399" t="s">
        <v>3415</v>
      </c>
      <c r="B3399" t="s">
        <v>21</v>
      </c>
      <c r="C3399">
        <v>2999</v>
      </c>
      <c r="D3399">
        <v>9</v>
      </c>
      <c r="E3399">
        <v>1.62</v>
      </c>
      <c r="F3399">
        <f>COUNTIFS(mdr_rate_cleaned!$A$2:$A$10,B3399,mdr_rate_cleaned!$B$2:$B$10,"&lt;"&amp;C3399,mdr_rate_cleaned!$F$2:$F$10,"&gt;="&amp;C3399)</f>
        <v>1</v>
      </c>
      <c r="G3399">
        <v>3.0000000000000001E-3</v>
      </c>
      <c r="H3399">
        <v>9</v>
      </c>
      <c r="I3399" t="s">
        <v>15</v>
      </c>
      <c r="J3399" t="s">
        <v>15</v>
      </c>
      <c r="K3399">
        <v>1.62</v>
      </c>
      <c r="L3399">
        <v>0</v>
      </c>
    </row>
    <row r="3400" spans="1:12" x14ac:dyDescent="0.3">
      <c r="A3400" t="s">
        <v>3416</v>
      </c>
      <c r="B3400" t="s">
        <v>21</v>
      </c>
      <c r="C3400">
        <v>2798</v>
      </c>
      <c r="D3400">
        <v>8.39</v>
      </c>
      <c r="E3400">
        <v>1.51</v>
      </c>
      <c r="F3400">
        <f>COUNTIFS(mdr_rate_cleaned!$A$2:$A$10,B3400,mdr_rate_cleaned!$B$2:$B$10,"&lt;"&amp;C3400,mdr_rate_cleaned!$F$2:$F$10,"&gt;="&amp;C3400)</f>
        <v>1</v>
      </c>
      <c r="G3400">
        <v>3.0000000000000001E-3</v>
      </c>
      <c r="H3400">
        <v>8.39</v>
      </c>
      <c r="I3400" t="s">
        <v>15</v>
      </c>
      <c r="J3400" t="s">
        <v>15</v>
      </c>
      <c r="K3400">
        <v>1.51</v>
      </c>
      <c r="L3400">
        <v>0</v>
      </c>
    </row>
    <row r="3401" spans="1:12" x14ac:dyDescent="0.3">
      <c r="A3401" t="s">
        <v>3417</v>
      </c>
      <c r="B3401" t="s">
        <v>21</v>
      </c>
      <c r="C3401">
        <v>4999</v>
      </c>
      <c r="D3401">
        <v>15</v>
      </c>
      <c r="E3401">
        <v>2.7</v>
      </c>
      <c r="F3401">
        <f>COUNTIFS(mdr_rate_cleaned!$A$2:$A$10,B3401,mdr_rate_cleaned!$B$2:$B$10,"&lt;"&amp;C3401,mdr_rate_cleaned!$F$2:$F$10,"&gt;="&amp;C3401)</f>
        <v>1</v>
      </c>
      <c r="G3401">
        <v>3.0000000000000001E-3</v>
      </c>
      <c r="H3401">
        <v>15</v>
      </c>
      <c r="I3401" t="s">
        <v>15</v>
      </c>
      <c r="J3401" t="s">
        <v>15</v>
      </c>
      <c r="K3401">
        <v>2.7</v>
      </c>
      <c r="L3401">
        <v>0</v>
      </c>
    </row>
    <row r="3402" spans="1:12" x14ac:dyDescent="0.3">
      <c r="A3402" t="s">
        <v>3418</v>
      </c>
      <c r="B3402" t="s">
        <v>21</v>
      </c>
      <c r="C3402">
        <v>7498</v>
      </c>
      <c r="D3402">
        <v>22.49</v>
      </c>
      <c r="E3402">
        <v>4.05</v>
      </c>
      <c r="F3402">
        <f>COUNTIFS(mdr_rate_cleaned!$A$2:$A$10,B3402,mdr_rate_cleaned!$B$2:$B$10,"&lt;"&amp;C3402,mdr_rate_cleaned!$F$2:$F$10,"&gt;="&amp;C3402)</f>
        <v>1</v>
      </c>
      <c r="G3402">
        <v>3.0000000000000001E-3</v>
      </c>
      <c r="H3402">
        <v>22.49</v>
      </c>
      <c r="I3402" t="s">
        <v>15</v>
      </c>
      <c r="J3402" t="s">
        <v>15</v>
      </c>
      <c r="K3402">
        <v>4.05</v>
      </c>
      <c r="L3402">
        <v>0</v>
      </c>
    </row>
    <row r="3403" spans="1:12" x14ac:dyDescent="0.3">
      <c r="A3403" t="s">
        <v>3419</v>
      </c>
      <c r="B3403" t="s">
        <v>13</v>
      </c>
      <c r="C3403">
        <v>499</v>
      </c>
      <c r="D3403">
        <v>9.48</v>
      </c>
      <c r="E3403">
        <v>1.71</v>
      </c>
      <c r="F3403">
        <f>COUNTIFS(mdr_rate_cleaned!$A$2:$A$10,B3403,mdr_rate_cleaned!$B$2:$B$10,"&lt;"&amp;C3403,mdr_rate_cleaned!$F$2:$F$10,"&gt;="&amp;C3403)</f>
        <v>1</v>
      </c>
      <c r="G3403">
        <v>1.9E-2</v>
      </c>
      <c r="H3403">
        <v>9.48</v>
      </c>
      <c r="I3403" t="s">
        <v>15</v>
      </c>
      <c r="J3403" t="s">
        <v>15</v>
      </c>
      <c r="K3403">
        <v>1.71</v>
      </c>
      <c r="L3403">
        <v>0</v>
      </c>
    </row>
    <row r="3404" spans="1:12" x14ac:dyDescent="0.3">
      <c r="A3404" t="s">
        <v>3420</v>
      </c>
      <c r="B3404" t="s">
        <v>21</v>
      </c>
      <c r="C3404">
        <v>6797</v>
      </c>
      <c r="D3404">
        <v>20.39</v>
      </c>
      <c r="E3404">
        <v>3.67</v>
      </c>
      <c r="F3404">
        <f>COUNTIFS(mdr_rate_cleaned!$A$2:$A$10,B3404,mdr_rate_cleaned!$B$2:$B$10,"&lt;"&amp;C3404,mdr_rate_cleaned!$F$2:$F$10,"&gt;="&amp;C3404)</f>
        <v>1</v>
      </c>
      <c r="G3404">
        <v>3.0000000000000001E-3</v>
      </c>
      <c r="H3404">
        <v>20.39</v>
      </c>
      <c r="I3404" t="s">
        <v>15</v>
      </c>
      <c r="J3404" t="s">
        <v>15</v>
      </c>
      <c r="K3404">
        <v>3.67</v>
      </c>
      <c r="L3404">
        <v>0</v>
      </c>
    </row>
    <row r="3405" spans="1:12" x14ac:dyDescent="0.3">
      <c r="A3405" t="s">
        <v>3421</v>
      </c>
      <c r="B3405" t="s">
        <v>21</v>
      </c>
      <c r="C3405">
        <v>799</v>
      </c>
      <c r="D3405">
        <v>0</v>
      </c>
      <c r="E3405">
        <v>0</v>
      </c>
      <c r="F3405">
        <f>COUNTIFS(mdr_rate_cleaned!$A$2:$A$10,B3405,mdr_rate_cleaned!$B$2:$B$10,"&lt;"&amp;C3405,mdr_rate_cleaned!$F$2:$F$10,"&gt;="&amp;C3405)</f>
        <v>1</v>
      </c>
      <c r="G3405">
        <v>0</v>
      </c>
      <c r="H3405">
        <v>0</v>
      </c>
      <c r="I3405" t="s">
        <v>15</v>
      </c>
      <c r="J3405" t="s">
        <v>15</v>
      </c>
      <c r="K3405">
        <v>0</v>
      </c>
      <c r="L3405">
        <v>0</v>
      </c>
    </row>
    <row r="3406" spans="1:12" x14ac:dyDescent="0.3">
      <c r="A3406" t="s">
        <v>3422</v>
      </c>
      <c r="B3406" t="s">
        <v>39</v>
      </c>
      <c r="C3406">
        <v>1499</v>
      </c>
      <c r="D3406">
        <v>22.49</v>
      </c>
      <c r="E3406">
        <v>4.05</v>
      </c>
      <c r="F3406">
        <f>COUNTIFS(mdr_rate_cleaned!$A$2:$A$10,B3406,mdr_rate_cleaned!$B$2:$B$10,"&lt;"&amp;C3406,mdr_rate_cleaned!$F$2:$F$10,"&gt;="&amp;C3406)</f>
        <v>1</v>
      </c>
      <c r="G3406">
        <v>1.4999999999999999E-2</v>
      </c>
      <c r="H3406">
        <v>22.49</v>
      </c>
      <c r="I3406" t="s">
        <v>15</v>
      </c>
      <c r="J3406" t="s">
        <v>15</v>
      </c>
      <c r="K3406">
        <v>4.05</v>
      </c>
      <c r="L3406">
        <v>0</v>
      </c>
    </row>
    <row r="3407" spans="1:12" x14ac:dyDescent="0.3">
      <c r="A3407" t="s">
        <v>3423</v>
      </c>
      <c r="B3407" t="s">
        <v>21</v>
      </c>
      <c r="C3407">
        <v>698</v>
      </c>
      <c r="D3407">
        <v>0</v>
      </c>
      <c r="E3407">
        <v>0</v>
      </c>
      <c r="F3407">
        <f>COUNTIFS(mdr_rate_cleaned!$A$2:$A$10,B3407,mdr_rate_cleaned!$B$2:$B$10,"&lt;"&amp;C3407,mdr_rate_cleaned!$F$2:$F$10,"&gt;="&amp;C3407)</f>
        <v>1</v>
      </c>
      <c r="G3407">
        <v>0</v>
      </c>
      <c r="H3407">
        <v>0</v>
      </c>
      <c r="I3407" t="s">
        <v>15</v>
      </c>
      <c r="J3407" t="s">
        <v>15</v>
      </c>
      <c r="K3407">
        <v>0</v>
      </c>
      <c r="L3407">
        <v>0</v>
      </c>
    </row>
    <row r="3408" spans="1:12" x14ac:dyDescent="0.3">
      <c r="A3408" t="s">
        <v>3424</v>
      </c>
      <c r="B3408" t="s">
        <v>17</v>
      </c>
      <c r="C3408">
        <v>1299</v>
      </c>
      <c r="D3408">
        <v>23.38</v>
      </c>
      <c r="E3408">
        <v>4.21</v>
      </c>
      <c r="F3408">
        <f>COUNTIFS(mdr_rate_cleaned!$A$2:$A$10,B3408,mdr_rate_cleaned!$B$2:$B$10,"&lt;"&amp;C3408,mdr_rate_cleaned!$F$2:$F$10,"&gt;="&amp;C3408)</f>
        <v>1</v>
      </c>
      <c r="G3408">
        <v>1.7999999999999999E-2</v>
      </c>
      <c r="H3408">
        <v>23.38</v>
      </c>
      <c r="I3408" t="s">
        <v>15</v>
      </c>
      <c r="J3408" t="s">
        <v>15</v>
      </c>
      <c r="K3408">
        <v>4.21</v>
      </c>
      <c r="L3408">
        <v>0</v>
      </c>
    </row>
    <row r="3409" spans="1:12" x14ac:dyDescent="0.3">
      <c r="A3409" t="s">
        <v>3425</v>
      </c>
      <c r="B3409" t="s">
        <v>21</v>
      </c>
      <c r="C3409">
        <v>7998</v>
      </c>
      <c r="D3409">
        <v>23.99</v>
      </c>
      <c r="E3409">
        <v>4.32</v>
      </c>
      <c r="F3409">
        <f>COUNTIFS(mdr_rate_cleaned!$A$2:$A$10,B3409,mdr_rate_cleaned!$B$2:$B$10,"&lt;"&amp;C3409,mdr_rate_cleaned!$F$2:$F$10,"&gt;="&amp;C3409)</f>
        <v>1</v>
      </c>
      <c r="G3409">
        <v>3.0000000000000001E-3</v>
      </c>
      <c r="H3409">
        <v>23.99</v>
      </c>
      <c r="I3409" t="s">
        <v>15</v>
      </c>
      <c r="J3409" t="s">
        <v>15</v>
      </c>
      <c r="K3409">
        <v>4.32</v>
      </c>
      <c r="L3409">
        <v>0</v>
      </c>
    </row>
    <row r="3410" spans="1:12" x14ac:dyDescent="0.3">
      <c r="A3410" t="s">
        <v>3426</v>
      </c>
      <c r="B3410" t="s">
        <v>17</v>
      </c>
      <c r="C3410">
        <v>1397</v>
      </c>
      <c r="D3410">
        <v>25.15</v>
      </c>
      <c r="E3410">
        <v>4.53</v>
      </c>
      <c r="F3410">
        <f>COUNTIFS(mdr_rate_cleaned!$A$2:$A$10,B3410,mdr_rate_cleaned!$B$2:$B$10,"&lt;"&amp;C3410,mdr_rate_cleaned!$F$2:$F$10,"&gt;="&amp;C3410)</f>
        <v>1</v>
      </c>
      <c r="G3410">
        <v>1.7999999999999999E-2</v>
      </c>
      <c r="H3410">
        <v>25.15</v>
      </c>
      <c r="I3410" t="s">
        <v>15</v>
      </c>
      <c r="J3410" t="s">
        <v>15</v>
      </c>
      <c r="K3410">
        <v>4.53</v>
      </c>
      <c r="L3410">
        <v>0</v>
      </c>
    </row>
    <row r="3411" spans="1:12" x14ac:dyDescent="0.3">
      <c r="A3411" t="s">
        <v>3427</v>
      </c>
      <c r="B3411" t="s">
        <v>13</v>
      </c>
      <c r="C3411">
        <v>299</v>
      </c>
      <c r="D3411">
        <v>5.68</v>
      </c>
      <c r="E3411">
        <v>1.02</v>
      </c>
      <c r="F3411">
        <f>COUNTIFS(mdr_rate_cleaned!$A$2:$A$10,B3411,mdr_rate_cleaned!$B$2:$B$10,"&lt;"&amp;C3411,mdr_rate_cleaned!$F$2:$F$10,"&gt;="&amp;C3411)</f>
        <v>1</v>
      </c>
      <c r="G3411">
        <v>1.9E-2</v>
      </c>
      <c r="H3411">
        <v>5.68</v>
      </c>
      <c r="I3411" t="s">
        <v>15</v>
      </c>
      <c r="J3411" t="s">
        <v>15</v>
      </c>
      <c r="K3411">
        <v>1.02</v>
      </c>
      <c r="L3411">
        <v>0</v>
      </c>
    </row>
    <row r="3412" spans="1:12" x14ac:dyDescent="0.3">
      <c r="A3412" t="s">
        <v>3428</v>
      </c>
      <c r="B3412" t="s">
        <v>21</v>
      </c>
      <c r="C3412">
        <v>2397</v>
      </c>
      <c r="D3412">
        <v>7.19</v>
      </c>
      <c r="E3412">
        <v>1.29</v>
      </c>
      <c r="F3412">
        <f>COUNTIFS(mdr_rate_cleaned!$A$2:$A$10,B3412,mdr_rate_cleaned!$B$2:$B$10,"&lt;"&amp;C3412,mdr_rate_cleaned!$F$2:$F$10,"&gt;="&amp;C3412)</f>
        <v>1</v>
      </c>
      <c r="G3412">
        <v>3.0000000000000001E-3</v>
      </c>
      <c r="H3412">
        <v>7.19</v>
      </c>
      <c r="I3412" t="s">
        <v>15</v>
      </c>
      <c r="J3412" t="s">
        <v>15</v>
      </c>
      <c r="K3412">
        <v>1.29</v>
      </c>
      <c r="L3412">
        <v>0</v>
      </c>
    </row>
    <row r="3413" spans="1:12" x14ac:dyDescent="0.3">
      <c r="A3413" t="s">
        <v>3429</v>
      </c>
      <c r="B3413" t="s">
        <v>13</v>
      </c>
      <c r="C3413">
        <v>2499</v>
      </c>
      <c r="D3413">
        <v>42.48</v>
      </c>
      <c r="E3413">
        <v>7.65</v>
      </c>
      <c r="F3413">
        <f>COUNTIFS(mdr_rate_cleaned!$A$2:$A$10,B3413,mdr_rate_cleaned!$B$2:$B$10,"&lt;"&amp;C3413,mdr_rate_cleaned!$F$2:$F$10,"&gt;="&amp;C3413)</f>
        <v>1</v>
      </c>
      <c r="G3413">
        <v>1.7000000000000001E-2</v>
      </c>
      <c r="H3413">
        <v>42.48</v>
      </c>
      <c r="I3413" t="s">
        <v>15</v>
      </c>
      <c r="J3413" t="s">
        <v>15</v>
      </c>
      <c r="K3413">
        <v>7.65</v>
      </c>
      <c r="L3413">
        <v>0</v>
      </c>
    </row>
    <row r="3414" spans="1:12" x14ac:dyDescent="0.3">
      <c r="A3414" t="s">
        <v>3430</v>
      </c>
      <c r="B3414" t="s">
        <v>13</v>
      </c>
      <c r="C3414">
        <v>1499</v>
      </c>
      <c r="D3414">
        <v>28.48</v>
      </c>
      <c r="E3414">
        <v>5.13</v>
      </c>
      <c r="F3414">
        <f>COUNTIFS(mdr_rate_cleaned!$A$2:$A$10,B3414,mdr_rate_cleaned!$B$2:$B$10,"&lt;"&amp;C3414,mdr_rate_cleaned!$F$2:$F$10,"&gt;="&amp;C3414)</f>
        <v>1</v>
      </c>
      <c r="G3414">
        <v>1.9E-2</v>
      </c>
      <c r="H3414">
        <v>28.48</v>
      </c>
      <c r="I3414" t="s">
        <v>15</v>
      </c>
      <c r="J3414" t="s">
        <v>15</v>
      </c>
      <c r="K3414">
        <v>5.13</v>
      </c>
      <c r="L3414">
        <v>0</v>
      </c>
    </row>
    <row r="3415" spans="1:12" x14ac:dyDescent="0.3">
      <c r="A3415" t="s">
        <v>3431</v>
      </c>
      <c r="B3415" t="s">
        <v>21</v>
      </c>
      <c r="C3415">
        <v>2998</v>
      </c>
      <c r="D3415">
        <v>8.99</v>
      </c>
      <c r="E3415">
        <v>1.62</v>
      </c>
      <c r="F3415">
        <f>COUNTIFS(mdr_rate_cleaned!$A$2:$A$10,B3415,mdr_rate_cleaned!$B$2:$B$10,"&lt;"&amp;C3415,mdr_rate_cleaned!$F$2:$F$10,"&gt;="&amp;C3415)</f>
        <v>1</v>
      </c>
      <c r="G3415">
        <v>3.0000000000000001E-3</v>
      </c>
      <c r="H3415">
        <v>8.99</v>
      </c>
      <c r="I3415" t="s">
        <v>15</v>
      </c>
      <c r="J3415" t="s">
        <v>15</v>
      </c>
      <c r="K3415">
        <v>1.62</v>
      </c>
      <c r="L3415">
        <v>0</v>
      </c>
    </row>
    <row r="3416" spans="1:12" x14ac:dyDescent="0.3">
      <c r="A3416" t="s">
        <v>3432</v>
      </c>
      <c r="B3416" t="s">
        <v>21</v>
      </c>
      <c r="C3416">
        <v>799</v>
      </c>
      <c r="D3416">
        <v>0</v>
      </c>
      <c r="E3416">
        <v>0</v>
      </c>
      <c r="F3416">
        <f>COUNTIFS(mdr_rate_cleaned!$A$2:$A$10,B3416,mdr_rate_cleaned!$B$2:$B$10,"&lt;"&amp;C3416,mdr_rate_cleaned!$F$2:$F$10,"&gt;="&amp;C3416)</f>
        <v>1</v>
      </c>
      <c r="G3416">
        <v>0</v>
      </c>
      <c r="H3416">
        <v>0</v>
      </c>
      <c r="I3416" t="s">
        <v>15</v>
      </c>
      <c r="J3416" t="s">
        <v>15</v>
      </c>
      <c r="K3416">
        <v>0</v>
      </c>
      <c r="L3416">
        <v>0</v>
      </c>
    </row>
    <row r="3417" spans="1:12" x14ac:dyDescent="0.3">
      <c r="A3417" t="s">
        <v>3433</v>
      </c>
      <c r="B3417" t="s">
        <v>21</v>
      </c>
      <c r="C3417">
        <v>798</v>
      </c>
      <c r="D3417">
        <v>0</v>
      </c>
      <c r="E3417">
        <v>0</v>
      </c>
      <c r="F3417">
        <f>COUNTIFS(mdr_rate_cleaned!$A$2:$A$10,B3417,mdr_rate_cleaned!$B$2:$B$10,"&lt;"&amp;C3417,mdr_rate_cleaned!$F$2:$F$10,"&gt;="&amp;C3417)</f>
        <v>1</v>
      </c>
      <c r="G3417">
        <v>0</v>
      </c>
      <c r="H3417">
        <v>0</v>
      </c>
      <c r="I3417" t="s">
        <v>15</v>
      </c>
      <c r="J3417" t="s">
        <v>15</v>
      </c>
      <c r="K3417">
        <v>0</v>
      </c>
      <c r="L3417">
        <v>0</v>
      </c>
    </row>
    <row r="3418" spans="1:12" x14ac:dyDescent="0.3">
      <c r="A3418" t="s">
        <v>3434</v>
      </c>
      <c r="B3418" t="s">
        <v>21</v>
      </c>
      <c r="C3418">
        <v>799</v>
      </c>
      <c r="D3418">
        <v>0</v>
      </c>
      <c r="E3418">
        <v>0</v>
      </c>
      <c r="F3418">
        <f>COUNTIFS(mdr_rate_cleaned!$A$2:$A$10,B3418,mdr_rate_cleaned!$B$2:$B$10,"&lt;"&amp;C3418,mdr_rate_cleaned!$F$2:$F$10,"&gt;="&amp;C3418)</f>
        <v>1</v>
      </c>
      <c r="G3418">
        <v>0</v>
      </c>
      <c r="H3418">
        <v>0</v>
      </c>
      <c r="I3418" t="s">
        <v>15</v>
      </c>
      <c r="J3418" t="s">
        <v>15</v>
      </c>
      <c r="K3418">
        <v>0</v>
      </c>
      <c r="L3418">
        <v>0</v>
      </c>
    </row>
    <row r="3419" spans="1:12" x14ac:dyDescent="0.3">
      <c r="A3419" t="s">
        <v>3435</v>
      </c>
      <c r="B3419" t="s">
        <v>13</v>
      </c>
      <c r="C3419">
        <v>1299</v>
      </c>
      <c r="D3419">
        <v>24.68</v>
      </c>
      <c r="E3419">
        <v>4.4400000000000004</v>
      </c>
      <c r="F3419">
        <f>COUNTIFS(mdr_rate_cleaned!$A$2:$A$10,B3419,mdr_rate_cleaned!$B$2:$B$10,"&lt;"&amp;C3419,mdr_rate_cleaned!$F$2:$F$10,"&gt;="&amp;C3419)</f>
        <v>1</v>
      </c>
      <c r="G3419">
        <v>1.9E-2</v>
      </c>
      <c r="H3419">
        <v>24.68</v>
      </c>
      <c r="I3419" t="s">
        <v>15</v>
      </c>
      <c r="J3419" t="s">
        <v>15</v>
      </c>
      <c r="K3419">
        <v>4.4400000000000004</v>
      </c>
      <c r="L3419">
        <v>0</v>
      </c>
    </row>
    <row r="3420" spans="1:12" x14ac:dyDescent="0.3">
      <c r="A3420" t="s">
        <v>3436</v>
      </c>
      <c r="B3420" t="s">
        <v>17</v>
      </c>
      <c r="C3420">
        <v>2998</v>
      </c>
      <c r="D3420">
        <v>47.97</v>
      </c>
      <c r="E3420">
        <v>8.6300000000000008</v>
      </c>
      <c r="F3420">
        <f>COUNTIFS(mdr_rate_cleaned!$A$2:$A$10,B3420,mdr_rate_cleaned!$B$2:$B$10,"&lt;"&amp;C3420,mdr_rate_cleaned!$F$2:$F$10,"&gt;="&amp;C3420)</f>
        <v>1</v>
      </c>
      <c r="G3420">
        <v>1.6E-2</v>
      </c>
      <c r="H3420">
        <v>47.97</v>
      </c>
      <c r="I3420" t="s">
        <v>15</v>
      </c>
      <c r="J3420" t="s">
        <v>15</v>
      </c>
      <c r="K3420">
        <v>8.6300000000000008</v>
      </c>
      <c r="L3420">
        <v>0</v>
      </c>
    </row>
    <row r="3421" spans="1:12" x14ac:dyDescent="0.3">
      <c r="A3421" t="s">
        <v>3437</v>
      </c>
      <c r="B3421" t="s">
        <v>17</v>
      </c>
      <c r="C3421">
        <v>349</v>
      </c>
      <c r="D3421">
        <v>6.28</v>
      </c>
      <c r="E3421">
        <v>1.1299999999999999</v>
      </c>
      <c r="F3421">
        <f>COUNTIFS(mdr_rate_cleaned!$A$2:$A$10,B3421,mdr_rate_cleaned!$B$2:$B$10,"&lt;"&amp;C3421,mdr_rate_cleaned!$F$2:$F$10,"&gt;="&amp;C3421)</f>
        <v>1</v>
      </c>
      <c r="G3421">
        <v>1.7999999999999999E-2</v>
      </c>
      <c r="H3421">
        <v>6.28</v>
      </c>
      <c r="I3421" t="s">
        <v>15</v>
      </c>
      <c r="J3421" t="s">
        <v>15</v>
      </c>
      <c r="K3421">
        <v>1.1299999999999999</v>
      </c>
      <c r="L3421">
        <v>0</v>
      </c>
    </row>
    <row r="3422" spans="1:12" x14ac:dyDescent="0.3">
      <c r="A3422" t="s">
        <v>3438</v>
      </c>
      <c r="B3422" t="s">
        <v>21</v>
      </c>
      <c r="C3422">
        <v>1299</v>
      </c>
      <c r="D3422">
        <v>0</v>
      </c>
      <c r="E3422">
        <v>0</v>
      </c>
      <c r="F3422">
        <f>COUNTIFS(mdr_rate_cleaned!$A$2:$A$10,B3422,mdr_rate_cleaned!$B$2:$B$10,"&lt;"&amp;C3422,mdr_rate_cleaned!$F$2:$F$10,"&gt;="&amp;C3422)</f>
        <v>1</v>
      </c>
      <c r="G3422">
        <v>0</v>
      </c>
      <c r="H3422">
        <v>0</v>
      </c>
      <c r="I3422" t="s">
        <v>15</v>
      </c>
      <c r="J3422" t="s">
        <v>15</v>
      </c>
      <c r="K3422">
        <v>0</v>
      </c>
      <c r="L3422">
        <v>0</v>
      </c>
    </row>
    <row r="3423" spans="1:12" x14ac:dyDescent="0.3">
      <c r="A3423" t="s">
        <v>3439</v>
      </c>
      <c r="B3423" t="s">
        <v>13</v>
      </c>
      <c r="C3423">
        <v>3097</v>
      </c>
      <c r="D3423">
        <v>52.65</v>
      </c>
      <c r="E3423">
        <v>9.48</v>
      </c>
      <c r="F3423">
        <f>COUNTIFS(mdr_rate_cleaned!$A$2:$A$10,B3423,mdr_rate_cleaned!$B$2:$B$10,"&lt;"&amp;C3423,mdr_rate_cleaned!$F$2:$F$10,"&gt;="&amp;C3423)</f>
        <v>1</v>
      </c>
      <c r="G3423">
        <v>1.7000000000000001E-2</v>
      </c>
      <c r="H3423">
        <v>52.65</v>
      </c>
      <c r="I3423" t="s">
        <v>15</v>
      </c>
      <c r="J3423" t="s">
        <v>15</v>
      </c>
      <c r="K3423">
        <v>9.48</v>
      </c>
      <c r="L3423">
        <v>0</v>
      </c>
    </row>
    <row r="3424" spans="1:12" x14ac:dyDescent="0.3">
      <c r="A3424" t="s">
        <v>3440</v>
      </c>
      <c r="B3424" t="s">
        <v>21</v>
      </c>
      <c r="C3424">
        <v>1098</v>
      </c>
      <c r="D3424">
        <v>0</v>
      </c>
      <c r="E3424">
        <v>0</v>
      </c>
      <c r="F3424">
        <f>COUNTIFS(mdr_rate_cleaned!$A$2:$A$10,B3424,mdr_rate_cleaned!$B$2:$B$10,"&lt;"&amp;C3424,mdr_rate_cleaned!$F$2:$F$10,"&gt;="&amp;C3424)</f>
        <v>1</v>
      </c>
      <c r="G3424">
        <v>0</v>
      </c>
      <c r="H3424">
        <v>0</v>
      </c>
      <c r="I3424" t="s">
        <v>15</v>
      </c>
      <c r="J3424" t="s">
        <v>15</v>
      </c>
      <c r="K3424">
        <v>0</v>
      </c>
      <c r="L3424">
        <v>0</v>
      </c>
    </row>
    <row r="3425" spans="1:12" x14ac:dyDescent="0.3">
      <c r="A3425" t="s">
        <v>3441</v>
      </c>
      <c r="B3425" t="s">
        <v>13</v>
      </c>
      <c r="C3425">
        <v>1298</v>
      </c>
      <c r="D3425">
        <v>24.66</v>
      </c>
      <c r="E3425">
        <v>4.4400000000000004</v>
      </c>
      <c r="F3425">
        <f>COUNTIFS(mdr_rate_cleaned!$A$2:$A$10,B3425,mdr_rate_cleaned!$B$2:$B$10,"&lt;"&amp;C3425,mdr_rate_cleaned!$F$2:$F$10,"&gt;="&amp;C3425)</f>
        <v>1</v>
      </c>
      <c r="G3425">
        <v>1.9E-2</v>
      </c>
      <c r="H3425">
        <v>24.66</v>
      </c>
      <c r="I3425" t="s">
        <v>15</v>
      </c>
      <c r="J3425" t="s">
        <v>15</v>
      </c>
      <c r="K3425">
        <v>4.4400000000000004</v>
      </c>
      <c r="L3425">
        <v>0</v>
      </c>
    </row>
    <row r="3426" spans="1:12" x14ac:dyDescent="0.3">
      <c r="A3426" t="s">
        <v>3442</v>
      </c>
      <c r="B3426" t="s">
        <v>17</v>
      </c>
      <c r="C3426">
        <v>1798</v>
      </c>
      <c r="D3426">
        <v>32.36</v>
      </c>
      <c r="E3426">
        <v>5.82</v>
      </c>
      <c r="F3426">
        <f>COUNTIFS(mdr_rate_cleaned!$A$2:$A$10,B3426,mdr_rate_cleaned!$B$2:$B$10,"&lt;"&amp;C3426,mdr_rate_cleaned!$F$2:$F$10,"&gt;="&amp;C3426)</f>
        <v>1</v>
      </c>
      <c r="G3426">
        <v>1.7999999999999999E-2</v>
      </c>
      <c r="H3426">
        <v>32.36</v>
      </c>
      <c r="I3426" t="s">
        <v>15</v>
      </c>
      <c r="J3426" t="s">
        <v>15</v>
      </c>
      <c r="K3426">
        <v>5.82</v>
      </c>
      <c r="L3426">
        <v>0</v>
      </c>
    </row>
    <row r="3427" spans="1:12" x14ac:dyDescent="0.3">
      <c r="A3427" t="s">
        <v>3443</v>
      </c>
      <c r="B3427" t="s">
        <v>21</v>
      </c>
      <c r="C3427">
        <v>10997</v>
      </c>
      <c r="D3427">
        <v>32.99</v>
      </c>
      <c r="E3427">
        <v>5.94</v>
      </c>
      <c r="F3427">
        <f>COUNTIFS(mdr_rate_cleaned!$A$2:$A$10,B3427,mdr_rate_cleaned!$B$2:$B$10,"&lt;"&amp;C3427,mdr_rate_cleaned!$F$2:$F$10,"&gt;="&amp;C3427)</f>
        <v>1</v>
      </c>
      <c r="G3427">
        <v>3.0000000000000001E-3</v>
      </c>
      <c r="H3427">
        <v>32.99</v>
      </c>
      <c r="I3427" t="s">
        <v>15</v>
      </c>
      <c r="J3427" t="s">
        <v>15</v>
      </c>
      <c r="K3427">
        <v>5.94</v>
      </c>
      <c r="L3427">
        <v>0</v>
      </c>
    </row>
    <row r="3428" spans="1:12" x14ac:dyDescent="0.3">
      <c r="A3428" t="s">
        <v>3444</v>
      </c>
      <c r="B3428" t="s">
        <v>21</v>
      </c>
      <c r="C3428">
        <v>1799</v>
      </c>
      <c r="D3428">
        <v>0</v>
      </c>
      <c r="E3428">
        <v>0</v>
      </c>
      <c r="F3428">
        <f>COUNTIFS(mdr_rate_cleaned!$A$2:$A$10,B3428,mdr_rate_cleaned!$B$2:$B$10,"&lt;"&amp;C3428,mdr_rate_cleaned!$F$2:$F$10,"&gt;="&amp;C3428)</f>
        <v>1</v>
      </c>
      <c r="G3428">
        <v>0</v>
      </c>
      <c r="H3428">
        <v>0</v>
      </c>
      <c r="I3428" t="s">
        <v>15</v>
      </c>
      <c r="J3428" t="s">
        <v>15</v>
      </c>
      <c r="K3428">
        <v>0</v>
      </c>
      <c r="L3428">
        <v>0</v>
      </c>
    </row>
    <row r="3429" spans="1:12" x14ac:dyDescent="0.3">
      <c r="A3429" t="s">
        <v>3445</v>
      </c>
      <c r="B3429" t="s">
        <v>17</v>
      </c>
      <c r="C3429">
        <v>5597</v>
      </c>
      <c r="D3429">
        <v>89.55</v>
      </c>
      <c r="E3429">
        <v>16.12</v>
      </c>
      <c r="F3429">
        <f>COUNTIFS(mdr_rate_cleaned!$A$2:$A$10,B3429,mdr_rate_cleaned!$B$2:$B$10,"&lt;"&amp;C3429,mdr_rate_cleaned!$F$2:$F$10,"&gt;="&amp;C3429)</f>
        <v>1</v>
      </c>
      <c r="G3429">
        <v>1.6E-2</v>
      </c>
      <c r="H3429">
        <v>89.55</v>
      </c>
      <c r="I3429" t="s">
        <v>15</v>
      </c>
      <c r="J3429" t="s">
        <v>15</v>
      </c>
      <c r="K3429">
        <v>16.12</v>
      </c>
      <c r="L3429">
        <v>0</v>
      </c>
    </row>
    <row r="3430" spans="1:12" x14ac:dyDescent="0.3">
      <c r="A3430" t="s">
        <v>3446</v>
      </c>
      <c r="B3430" t="s">
        <v>21</v>
      </c>
      <c r="C3430">
        <v>5998</v>
      </c>
      <c r="D3430">
        <v>17.989999999999998</v>
      </c>
      <c r="E3430">
        <v>3.24</v>
      </c>
      <c r="F3430">
        <f>COUNTIFS(mdr_rate_cleaned!$A$2:$A$10,B3430,mdr_rate_cleaned!$B$2:$B$10,"&lt;"&amp;C3430,mdr_rate_cleaned!$F$2:$F$10,"&gt;="&amp;C3430)</f>
        <v>1</v>
      </c>
      <c r="G3430">
        <v>3.0000000000000001E-3</v>
      </c>
      <c r="H3430">
        <v>17.989999999999998</v>
      </c>
      <c r="I3430" t="s">
        <v>15</v>
      </c>
      <c r="J3430" t="s">
        <v>15</v>
      </c>
      <c r="K3430">
        <v>3.24</v>
      </c>
      <c r="L3430">
        <v>0</v>
      </c>
    </row>
    <row r="3431" spans="1:12" x14ac:dyDescent="0.3">
      <c r="A3431" t="s">
        <v>3447</v>
      </c>
      <c r="B3431" t="s">
        <v>21</v>
      </c>
      <c r="C3431">
        <v>499</v>
      </c>
      <c r="D3431">
        <v>0</v>
      </c>
      <c r="E3431">
        <v>0</v>
      </c>
      <c r="F3431">
        <f>COUNTIFS(mdr_rate_cleaned!$A$2:$A$10,B3431,mdr_rate_cleaned!$B$2:$B$10,"&lt;"&amp;C3431,mdr_rate_cleaned!$F$2:$F$10,"&gt;="&amp;C3431)</f>
        <v>1</v>
      </c>
      <c r="G3431">
        <v>0</v>
      </c>
      <c r="H3431">
        <v>0</v>
      </c>
      <c r="I3431" t="s">
        <v>15</v>
      </c>
      <c r="J3431" t="s">
        <v>15</v>
      </c>
      <c r="K3431">
        <v>0</v>
      </c>
      <c r="L3431">
        <v>0</v>
      </c>
    </row>
    <row r="3432" spans="1:12" x14ac:dyDescent="0.3">
      <c r="A3432" t="s">
        <v>3448</v>
      </c>
      <c r="B3432" t="s">
        <v>39</v>
      </c>
      <c r="C3432">
        <v>999</v>
      </c>
      <c r="D3432">
        <v>14.99</v>
      </c>
      <c r="E3432">
        <v>2.7</v>
      </c>
      <c r="F3432">
        <f>COUNTIFS(mdr_rate_cleaned!$A$2:$A$10,B3432,mdr_rate_cleaned!$B$2:$B$10,"&lt;"&amp;C3432,mdr_rate_cleaned!$F$2:$F$10,"&gt;="&amp;C3432)</f>
        <v>1</v>
      </c>
      <c r="G3432">
        <v>1.4999999999999999E-2</v>
      </c>
      <c r="H3432">
        <v>14.99</v>
      </c>
      <c r="I3432" t="s">
        <v>15</v>
      </c>
      <c r="J3432" t="s">
        <v>15</v>
      </c>
      <c r="K3432">
        <v>2.7</v>
      </c>
      <c r="L3432">
        <v>0</v>
      </c>
    </row>
    <row r="3433" spans="1:12" x14ac:dyDescent="0.3">
      <c r="A3433" t="s">
        <v>3449</v>
      </c>
      <c r="B3433" t="s">
        <v>21</v>
      </c>
      <c r="C3433">
        <v>9097</v>
      </c>
      <c r="D3433">
        <v>27.29</v>
      </c>
      <c r="E3433">
        <v>4.91</v>
      </c>
      <c r="F3433">
        <f>COUNTIFS(mdr_rate_cleaned!$A$2:$A$10,B3433,mdr_rate_cleaned!$B$2:$B$10,"&lt;"&amp;C3433,mdr_rate_cleaned!$F$2:$F$10,"&gt;="&amp;C3433)</f>
        <v>1</v>
      </c>
      <c r="G3433">
        <v>3.0000000000000001E-3</v>
      </c>
      <c r="H3433">
        <v>27.29</v>
      </c>
      <c r="I3433" t="s">
        <v>15</v>
      </c>
      <c r="J3433" t="s">
        <v>15</v>
      </c>
      <c r="K3433">
        <v>4.91</v>
      </c>
      <c r="L3433">
        <v>0</v>
      </c>
    </row>
    <row r="3434" spans="1:12" x14ac:dyDescent="0.3">
      <c r="A3434" t="s">
        <v>3450</v>
      </c>
      <c r="B3434" t="s">
        <v>21</v>
      </c>
      <c r="C3434">
        <v>11997</v>
      </c>
      <c r="D3434">
        <v>35.99</v>
      </c>
      <c r="E3434">
        <v>6.48</v>
      </c>
      <c r="F3434">
        <f>COUNTIFS(mdr_rate_cleaned!$A$2:$A$10,B3434,mdr_rate_cleaned!$B$2:$B$10,"&lt;"&amp;C3434,mdr_rate_cleaned!$F$2:$F$10,"&gt;="&amp;C3434)</f>
        <v>1</v>
      </c>
      <c r="G3434">
        <v>3.0000000000000001E-3</v>
      </c>
      <c r="H3434">
        <v>35.99</v>
      </c>
      <c r="I3434" t="s">
        <v>15</v>
      </c>
      <c r="J3434" t="s">
        <v>15</v>
      </c>
      <c r="K3434">
        <v>6.48</v>
      </c>
      <c r="L3434">
        <v>0</v>
      </c>
    </row>
    <row r="3435" spans="1:12" x14ac:dyDescent="0.3">
      <c r="A3435" t="s">
        <v>3451</v>
      </c>
      <c r="B3435" t="s">
        <v>17</v>
      </c>
      <c r="C3435">
        <v>3147</v>
      </c>
      <c r="D3435">
        <v>50.35</v>
      </c>
      <c r="E3435">
        <v>9.06</v>
      </c>
      <c r="F3435">
        <f>COUNTIFS(mdr_rate_cleaned!$A$2:$A$10,B3435,mdr_rate_cleaned!$B$2:$B$10,"&lt;"&amp;C3435,mdr_rate_cleaned!$F$2:$F$10,"&gt;="&amp;C3435)</f>
        <v>1</v>
      </c>
      <c r="G3435">
        <v>1.6E-2</v>
      </c>
      <c r="H3435">
        <v>50.35</v>
      </c>
      <c r="I3435" t="s">
        <v>15</v>
      </c>
      <c r="J3435" t="s">
        <v>15</v>
      </c>
      <c r="K3435">
        <v>9.06</v>
      </c>
      <c r="L3435">
        <v>0</v>
      </c>
    </row>
    <row r="3436" spans="1:12" x14ac:dyDescent="0.3">
      <c r="A3436" t="s">
        <v>3452</v>
      </c>
      <c r="B3436" t="s">
        <v>21</v>
      </c>
      <c r="C3436">
        <v>349</v>
      </c>
      <c r="D3436">
        <v>0</v>
      </c>
      <c r="E3436">
        <v>0</v>
      </c>
      <c r="F3436">
        <f>COUNTIFS(mdr_rate_cleaned!$A$2:$A$10,B3436,mdr_rate_cleaned!$B$2:$B$10,"&lt;"&amp;C3436,mdr_rate_cleaned!$F$2:$F$10,"&gt;="&amp;C3436)</f>
        <v>1</v>
      </c>
      <c r="G3436">
        <v>0</v>
      </c>
      <c r="H3436">
        <v>0</v>
      </c>
      <c r="I3436" t="s">
        <v>15</v>
      </c>
      <c r="J3436" t="s">
        <v>15</v>
      </c>
      <c r="K3436">
        <v>0</v>
      </c>
      <c r="L3436">
        <v>0</v>
      </c>
    </row>
    <row r="3437" spans="1:12" x14ac:dyDescent="0.3">
      <c r="A3437" t="s">
        <v>3453</v>
      </c>
      <c r="B3437" t="s">
        <v>39</v>
      </c>
      <c r="C3437">
        <v>7999</v>
      </c>
      <c r="D3437">
        <v>95.99</v>
      </c>
      <c r="E3437">
        <v>17.28</v>
      </c>
      <c r="F3437">
        <f>COUNTIFS(mdr_rate_cleaned!$A$2:$A$10,B3437,mdr_rate_cleaned!$B$2:$B$10,"&lt;"&amp;C3437,mdr_rate_cleaned!$F$2:$F$10,"&gt;="&amp;C3437)</f>
        <v>1</v>
      </c>
      <c r="G3437">
        <v>1.2E-2</v>
      </c>
      <c r="H3437">
        <v>95.99</v>
      </c>
      <c r="I3437" t="s">
        <v>15</v>
      </c>
      <c r="J3437" t="s">
        <v>15</v>
      </c>
      <c r="K3437">
        <v>17.28</v>
      </c>
      <c r="L3437">
        <v>0</v>
      </c>
    </row>
    <row r="3438" spans="1:12" x14ac:dyDescent="0.3">
      <c r="A3438" t="s">
        <v>3454</v>
      </c>
      <c r="B3438" t="s">
        <v>21</v>
      </c>
      <c r="C3438">
        <v>4298</v>
      </c>
      <c r="D3438">
        <v>12.89</v>
      </c>
      <c r="E3438">
        <v>2.3199999999999998</v>
      </c>
      <c r="F3438">
        <f>COUNTIFS(mdr_rate_cleaned!$A$2:$A$10,B3438,mdr_rate_cleaned!$B$2:$B$10,"&lt;"&amp;C3438,mdr_rate_cleaned!$F$2:$F$10,"&gt;="&amp;C3438)</f>
        <v>1</v>
      </c>
      <c r="G3438">
        <v>3.0000000000000001E-3</v>
      </c>
      <c r="H3438">
        <v>12.89</v>
      </c>
      <c r="I3438" t="s">
        <v>15</v>
      </c>
      <c r="J3438" t="s">
        <v>15</v>
      </c>
      <c r="K3438">
        <v>2.3199999999999998</v>
      </c>
      <c r="L3438">
        <v>0</v>
      </c>
    </row>
    <row r="3439" spans="1:12" x14ac:dyDescent="0.3">
      <c r="A3439" t="s">
        <v>3455</v>
      </c>
      <c r="B3439" t="s">
        <v>17</v>
      </c>
      <c r="C3439">
        <v>1798</v>
      </c>
      <c r="D3439">
        <v>32.36</v>
      </c>
      <c r="E3439">
        <v>5.82</v>
      </c>
      <c r="F3439">
        <f>COUNTIFS(mdr_rate_cleaned!$A$2:$A$10,B3439,mdr_rate_cleaned!$B$2:$B$10,"&lt;"&amp;C3439,mdr_rate_cleaned!$F$2:$F$10,"&gt;="&amp;C3439)</f>
        <v>1</v>
      </c>
      <c r="G3439">
        <v>1.7999999999999999E-2</v>
      </c>
      <c r="H3439">
        <v>32.36</v>
      </c>
      <c r="I3439" t="s">
        <v>15</v>
      </c>
      <c r="J3439" t="s">
        <v>15</v>
      </c>
      <c r="K3439">
        <v>5.82</v>
      </c>
      <c r="L3439">
        <v>0</v>
      </c>
    </row>
    <row r="3440" spans="1:12" x14ac:dyDescent="0.3">
      <c r="A3440" t="s">
        <v>3456</v>
      </c>
      <c r="B3440" t="s">
        <v>21</v>
      </c>
      <c r="C3440">
        <v>999</v>
      </c>
      <c r="D3440">
        <v>0</v>
      </c>
      <c r="E3440">
        <v>0</v>
      </c>
      <c r="F3440">
        <f>COUNTIFS(mdr_rate_cleaned!$A$2:$A$10,B3440,mdr_rate_cleaned!$B$2:$B$10,"&lt;"&amp;C3440,mdr_rate_cleaned!$F$2:$F$10,"&gt;="&amp;C3440)</f>
        <v>1</v>
      </c>
      <c r="G3440">
        <v>0</v>
      </c>
      <c r="H3440">
        <v>0</v>
      </c>
      <c r="I3440" t="s">
        <v>15</v>
      </c>
      <c r="J3440" t="s">
        <v>15</v>
      </c>
      <c r="K3440">
        <v>0</v>
      </c>
      <c r="L3440">
        <v>0</v>
      </c>
    </row>
    <row r="3441" spans="1:12" x14ac:dyDescent="0.3">
      <c r="A3441" t="s">
        <v>3457</v>
      </c>
      <c r="B3441" t="s">
        <v>39</v>
      </c>
      <c r="C3441">
        <v>499</v>
      </c>
      <c r="D3441">
        <v>7.49</v>
      </c>
      <c r="E3441">
        <v>1.35</v>
      </c>
      <c r="F3441">
        <f>COUNTIFS(mdr_rate_cleaned!$A$2:$A$10,B3441,mdr_rate_cleaned!$B$2:$B$10,"&lt;"&amp;C3441,mdr_rate_cleaned!$F$2:$F$10,"&gt;="&amp;C3441)</f>
        <v>1</v>
      </c>
      <c r="G3441">
        <v>1.4999999999999999E-2</v>
      </c>
      <c r="H3441">
        <v>7.49</v>
      </c>
      <c r="I3441" t="s">
        <v>15</v>
      </c>
      <c r="J3441" t="s">
        <v>15</v>
      </c>
      <c r="K3441">
        <v>1.35</v>
      </c>
      <c r="L3441">
        <v>0</v>
      </c>
    </row>
    <row r="3442" spans="1:12" x14ac:dyDescent="0.3">
      <c r="A3442" t="s">
        <v>3458</v>
      </c>
      <c r="B3442" t="s">
        <v>13</v>
      </c>
      <c r="C3442">
        <v>4798</v>
      </c>
      <c r="D3442">
        <v>81.569999999999993</v>
      </c>
      <c r="E3442">
        <v>14.68</v>
      </c>
      <c r="F3442">
        <f>COUNTIFS(mdr_rate_cleaned!$A$2:$A$10,B3442,mdr_rate_cleaned!$B$2:$B$10,"&lt;"&amp;C3442,mdr_rate_cleaned!$F$2:$F$10,"&gt;="&amp;C3442)</f>
        <v>1</v>
      </c>
      <c r="G3442">
        <v>1.7000000000000001E-2</v>
      </c>
      <c r="H3442">
        <v>81.569999999999993</v>
      </c>
      <c r="I3442" t="s">
        <v>15</v>
      </c>
      <c r="J3442" t="s">
        <v>15</v>
      </c>
      <c r="K3442">
        <v>14.68</v>
      </c>
      <c r="L3442">
        <v>0</v>
      </c>
    </row>
    <row r="3443" spans="1:12" x14ac:dyDescent="0.3">
      <c r="A3443" t="s">
        <v>3459</v>
      </c>
      <c r="B3443" t="s">
        <v>21</v>
      </c>
      <c r="C3443">
        <v>1598</v>
      </c>
      <c r="D3443">
        <v>0</v>
      </c>
      <c r="E3443">
        <v>0</v>
      </c>
      <c r="F3443">
        <f>COUNTIFS(mdr_rate_cleaned!$A$2:$A$10,B3443,mdr_rate_cleaned!$B$2:$B$10,"&lt;"&amp;C3443,mdr_rate_cleaned!$F$2:$F$10,"&gt;="&amp;C3443)</f>
        <v>1</v>
      </c>
      <c r="G3443">
        <v>0</v>
      </c>
      <c r="H3443">
        <v>0</v>
      </c>
      <c r="I3443" t="s">
        <v>15</v>
      </c>
      <c r="J3443" t="s">
        <v>15</v>
      </c>
      <c r="K3443">
        <v>0</v>
      </c>
      <c r="L3443">
        <v>0</v>
      </c>
    </row>
    <row r="3444" spans="1:12" x14ac:dyDescent="0.3">
      <c r="A3444" t="s">
        <v>3460</v>
      </c>
      <c r="B3444" t="s">
        <v>13</v>
      </c>
      <c r="C3444">
        <v>799</v>
      </c>
      <c r="D3444">
        <v>15.18</v>
      </c>
      <c r="E3444">
        <v>2.73</v>
      </c>
      <c r="F3444">
        <f>COUNTIFS(mdr_rate_cleaned!$A$2:$A$10,B3444,mdr_rate_cleaned!$B$2:$B$10,"&lt;"&amp;C3444,mdr_rate_cleaned!$F$2:$F$10,"&gt;="&amp;C3444)</f>
        <v>1</v>
      </c>
      <c r="G3444">
        <v>1.9E-2</v>
      </c>
      <c r="H3444">
        <v>15.18</v>
      </c>
      <c r="I3444" t="s">
        <v>15</v>
      </c>
      <c r="J3444" t="s">
        <v>15</v>
      </c>
      <c r="K3444">
        <v>2.73</v>
      </c>
      <c r="L3444">
        <v>0</v>
      </c>
    </row>
    <row r="3445" spans="1:12" x14ac:dyDescent="0.3">
      <c r="A3445" t="s">
        <v>3461</v>
      </c>
      <c r="B3445" t="s">
        <v>13</v>
      </c>
      <c r="C3445">
        <v>999</v>
      </c>
      <c r="D3445">
        <v>18.98</v>
      </c>
      <c r="E3445">
        <v>3.42</v>
      </c>
      <c r="F3445">
        <f>COUNTIFS(mdr_rate_cleaned!$A$2:$A$10,B3445,mdr_rate_cleaned!$B$2:$B$10,"&lt;"&amp;C3445,mdr_rate_cleaned!$F$2:$F$10,"&gt;="&amp;C3445)</f>
        <v>1</v>
      </c>
      <c r="G3445">
        <v>1.9E-2</v>
      </c>
      <c r="H3445">
        <v>18.98</v>
      </c>
      <c r="I3445" t="s">
        <v>15</v>
      </c>
      <c r="J3445" t="s">
        <v>15</v>
      </c>
      <c r="K3445">
        <v>3.42</v>
      </c>
      <c r="L3445">
        <v>0</v>
      </c>
    </row>
    <row r="3446" spans="1:12" x14ac:dyDescent="0.3">
      <c r="A3446" t="s">
        <v>3462</v>
      </c>
      <c r="B3446" t="s">
        <v>13</v>
      </c>
      <c r="C3446">
        <v>5998</v>
      </c>
      <c r="D3446">
        <v>143.94999999999999</v>
      </c>
      <c r="E3446">
        <v>25.91</v>
      </c>
      <c r="F3446">
        <f>COUNTIFS(mdr_rate_cleaned!$A$2:$A$10,B3446,mdr_rate_cleaned!$B$2:$B$10,"&lt;"&amp;C3446,mdr_rate_cleaned!$F$2:$F$10,"&gt;="&amp;C3446)</f>
        <v>1</v>
      </c>
      <c r="G3446">
        <v>1.7000000000000001E-2</v>
      </c>
      <c r="H3446">
        <v>101.97</v>
      </c>
      <c r="I3446" t="s">
        <v>14</v>
      </c>
      <c r="J3446" t="s">
        <v>15</v>
      </c>
      <c r="K3446">
        <v>18.350000000000001</v>
      </c>
      <c r="L3446">
        <v>49.54</v>
      </c>
    </row>
    <row r="3447" spans="1:12" x14ac:dyDescent="0.3">
      <c r="A3447" t="s">
        <v>3463</v>
      </c>
      <c r="B3447" t="s">
        <v>21</v>
      </c>
      <c r="C3447">
        <v>349</v>
      </c>
      <c r="D3447">
        <v>0</v>
      </c>
      <c r="E3447">
        <v>0</v>
      </c>
      <c r="F3447">
        <f>COUNTIFS(mdr_rate_cleaned!$A$2:$A$10,B3447,mdr_rate_cleaned!$B$2:$B$10,"&lt;"&amp;C3447,mdr_rate_cleaned!$F$2:$F$10,"&gt;="&amp;C3447)</f>
        <v>1</v>
      </c>
      <c r="G3447">
        <v>0</v>
      </c>
      <c r="H3447">
        <v>0</v>
      </c>
      <c r="I3447" t="s">
        <v>15</v>
      </c>
      <c r="J3447" t="s">
        <v>15</v>
      </c>
      <c r="K3447">
        <v>0</v>
      </c>
      <c r="L3447">
        <v>0</v>
      </c>
    </row>
    <row r="3448" spans="1:12" x14ac:dyDescent="0.3">
      <c r="A3448" t="s">
        <v>3464</v>
      </c>
      <c r="B3448" t="s">
        <v>21</v>
      </c>
      <c r="C3448">
        <v>599</v>
      </c>
      <c r="D3448">
        <v>0</v>
      </c>
      <c r="E3448">
        <v>0</v>
      </c>
      <c r="F3448">
        <f>COUNTIFS(mdr_rate_cleaned!$A$2:$A$10,B3448,mdr_rate_cleaned!$B$2:$B$10,"&lt;"&amp;C3448,mdr_rate_cleaned!$F$2:$F$10,"&gt;="&amp;C3448)</f>
        <v>1</v>
      </c>
      <c r="G3448">
        <v>0</v>
      </c>
      <c r="H3448">
        <v>0</v>
      </c>
      <c r="I3448" t="s">
        <v>15</v>
      </c>
      <c r="J3448" t="s">
        <v>15</v>
      </c>
      <c r="K3448">
        <v>0</v>
      </c>
      <c r="L3448">
        <v>0</v>
      </c>
    </row>
    <row r="3449" spans="1:12" x14ac:dyDescent="0.3">
      <c r="A3449" t="s">
        <v>3465</v>
      </c>
      <c r="B3449" t="s">
        <v>21</v>
      </c>
      <c r="C3449">
        <v>4999</v>
      </c>
      <c r="D3449">
        <v>15</v>
      </c>
      <c r="E3449">
        <v>2.7</v>
      </c>
      <c r="F3449">
        <f>COUNTIFS(mdr_rate_cleaned!$A$2:$A$10,B3449,mdr_rate_cleaned!$B$2:$B$10,"&lt;"&amp;C3449,mdr_rate_cleaned!$F$2:$F$10,"&gt;="&amp;C3449)</f>
        <v>1</v>
      </c>
      <c r="G3449">
        <v>3.0000000000000001E-3</v>
      </c>
      <c r="H3449">
        <v>15</v>
      </c>
      <c r="I3449" t="s">
        <v>15</v>
      </c>
      <c r="J3449" t="s">
        <v>15</v>
      </c>
      <c r="K3449">
        <v>2.7</v>
      </c>
      <c r="L3449">
        <v>0</v>
      </c>
    </row>
    <row r="3450" spans="1:12" x14ac:dyDescent="0.3">
      <c r="A3450" t="s">
        <v>3466</v>
      </c>
      <c r="B3450" t="s">
        <v>21</v>
      </c>
      <c r="C3450">
        <v>9298</v>
      </c>
      <c r="D3450">
        <v>27.89</v>
      </c>
      <c r="E3450">
        <v>5.0199999999999996</v>
      </c>
      <c r="F3450">
        <f>COUNTIFS(mdr_rate_cleaned!$A$2:$A$10,B3450,mdr_rate_cleaned!$B$2:$B$10,"&lt;"&amp;C3450,mdr_rate_cleaned!$F$2:$F$10,"&gt;="&amp;C3450)</f>
        <v>1</v>
      </c>
      <c r="G3450">
        <v>3.0000000000000001E-3</v>
      </c>
      <c r="H3450">
        <v>27.89</v>
      </c>
      <c r="I3450" t="s">
        <v>15</v>
      </c>
      <c r="J3450" t="s">
        <v>15</v>
      </c>
      <c r="K3450">
        <v>5.0199999999999996</v>
      </c>
      <c r="L3450">
        <v>0</v>
      </c>
    </row>
    <row r="3451" spans="1:12" x14ac:dyDescent="0.3">
      <c r="A3451" t="s">
        <v>3467</v>
      </c>
      <c r="B3451" t="s">
        <v>13</v>
      </c>
      <c r="C3451">
        <v>3499</v>
      </c>
      <c r="D3451">
        <v>59.48</v>
      </c>
      <c r="E3451">
        <v>10.71</v>
      </c>
      <c r="F3451">
        <f>COUNTIFS(mdr_rate_cleaned!$A$2:$A$10,B3451,mdr_rate_cleaned!$B$2:$B$10,"&lt;"&amp;C3451,mdr_rate_cleaned!$F$2:$F$10,"&gt;="&amp;C3451)</f>
        <v>1</v>
      </c>
      <c r="G3451">
        <v>1.7000000000000001E-2</v>
      </c>
      <c r="H3451">
        <v>59.48</v>
      </c>
      <c r="I3451" t="s">
        <v>15</v>
      </c>
      <c r="J3451" t="s">
        <v>15</v>
      </c>
      <c r="K3451">
        <v>10.71</v>
      </c>
      <c r="L3451">
        <v>0</v>
      </c>
    </row>
    <row r="3452" spans="1:12" x14ac:dyDescent="0.3">
      <c r="A3452" t="s">
        <v>3468</v>
      </c>
      <c r="B3452" t="s">
        <v>21</v>
      </c>
      <c r="C3452">
        <v>13597</v>
      </c>
      <c r="D3452">
        <v>40.79</v>
      </c>
      <c r="E3452">
        <v>7.34</v>
      </c>
      <c r="F3452">
        <f>COUNTIFS(mdr_rate_cleaned!$A$2:$A$10,B3452,mdr_rate_cleaned!$B$2:$B$10,"&lt;"&amp;C3452,mdr_rate_cleaned!$F$2:$F$10,"&gt;="&amp;C3452)</f>
        <v>1</v>
      </c>
      <c r="G3452">
        <v>3.0000000000000001E-3</v>
      </c>
      <c r="H3452">
        <v>40.79</v>
      </c>
      <c r="I3452" t="s">
        <v>15</v>
      </c>
      <c r="J3452" t="s">
        <v>15</v>
      </c>
      <c r="K3452">
        <v>7.34</v>
      </c>
      <c r="L3452">
        <v>0</v>
      </c>
    </row>
    <row r="3453" spans="1:12" x14ac:dyDescent="0.3">
      <c r="A3453" t="s">
        <v>3469</v>
      </c>
      <c r="B3453" t="s">
        <v>13</v>
      </c>
      <c r="C3453">
        <v>898</v>
      </c>
      <c r="D3453">
        <v>17.059999999999999</v>
      </c>
      <c r="E3453">
        <v>3.07</v>
      </c>
      <c r="F3453">
        <f>COUNTIFS(mdr_rate_cleaned!$A$2:$A$10,B3453,mdr_rate_cleaned!$B$2:$B$10,"&lt;"&amp;C3453,mdr_rate_cleaned!$F$2:$F$10,"&gt;="&amp;C3453)</f>
        <v>1</v>
      </c>
      <c r="G3453">
        <v>1.9E-2</v>
      </c>
      <c r="H3453">
        <v>17.059999999999999</v>
      </c>
      <c r="I3453" t="s">
        <v>15</v>
      </c>
      <c r="J3453" t="s">
        <v>15</v>
      </c>
      <c r="K3453">
        <v>3.07</v>
      </c>
      <c r="L3453">
        <v>0</v>
      </c>
    </row>
    <row r="3454" spans="1:12" x14ac:dyDescent="0.3">
      <c r="A3454" t="s">
        <v>3470</v>
      </c>
      <c r="B3454" t="s">
        <v>17</v>
      </c>
      <c r="C3454">
        <v>4999</v>
      </c>
      <c r="D3454">
        <v>79.98</v>
      </c>
      <c r="E3454">
        <v>14.4</v>
      </c>
      <c r="F3454">
        <f>COUNTIFS(mdr_rate_cleaned!$A$2:$A$10,B3454,mdr_rate_cleaned!$B$2:$B$10,"&lt;"&amp;C3454,mdr_rate_cleaned!$F$2:$F$10,"&gt;="&amp;C3454)</f>
        <v>1</v>
      </c>
      <c r="G3454">
        <v>1.6E-2</v>
      </c>
      <c r="H3454">
        <v>79.98</v>
      </c>
      <c r="I3454" t="s">
        <v>15</v>
      </c>
      <c r="J3454" t="s">
        <v>15</v>
      </c>
      <c r="K3454">
        <v>14.4</v>
      </c>
      <c r="L3454">
        <v>0</v>
      </c>
    </row>
    <row r="3455" spans="1:12" x14ac:dyDescent="0.3">
      <c r="A3455" t="s">
        <v>3471</v>
      </c>
      <c r="B3455" t="s">
        <v>21</v>
      </c>
      <c r="C3455">
        <v>1299</v>
      </c>
      <c r="D3455">
        <v>0</v>
      </c>
      <c r="E3455">
        <v>0</v>
      </c>
      <c r="F3455">
        <f>COUNTIFS(mdr_rate_cleaned!$A$2:$A$10,B3455,mdr_rate_cleaned!$B$2:$B$10,"&lt;"&amp;C3455,mdr_rate_cleaned!$F$2:$F$10,"&gt;="&amp;C3455)</f>
        <v>1</v>
      </c>
      <c r="G3455">
        <v>0</v>
      </c>
      <c r="H3455">
        <v>0</v>
      </c>
      <c r="I3455" t="s">
        <v>15</v>
      </c>
      <c r="J3455" t="s">
        <v>15</v>
      </c>
      <c r="K3455">
        <v>0</v>
      </c>
      <c r="L3455">
        <v>0</v>
      </c>
    </row>
    <row r="3456" spans="1:12" x14ac:dyDescent="0.3">
      <c r="A3456" t="s">
        <v>3472</v>
      </c>
      <c r="B3456" t="s">
        <v>21</v>
      </c>
      <c r="C3456">
        <v>1299</v>
      </c>
      <c r="D3456">
        <v>3.9</v>
      </c>
      <c r="E3456">
        <v>0.7</v>
      </c>
      <c r="F3456">
        <f>COUNTIFS(mdr_rate_cleaned!$A$2:$A$10,B3456,mdr_rate_cleaned!$B$2:$B$10,"&lt;"&amp;C3456,mdr_rate_cleaned!$F$2:$F$10,"&gt;="&amp;C3456)</f>
        <v>1</v>
      </c>
      <c r="G3456">
        <v>0</v>
      </c>
      <c r="H3456">
        <v>0</v>
      </c>
      <c r="I3456" t="s">
        <v>14</v>
      </c>
      <c r="J3456" t="s">
        <v>15</v>
      </c>
      <c r="K3456">
        <v>0</v>
      </c>
      <c r="L3456">
        <v>4.5999999999999996</v>
      </c>
    </row>
    <row r="3457" spans="1:12" x14ac:dyDescent="0.3">
      <c r="A3457" t="s">
        <v>3473</v>
      </c>
      <c r="B3457" t="s">
        <v>39</v>
      </c>
      <c r="C3457">
        <v>5298</v>
      </c>
      <c r="D3457">
        <v>63.58</v>
      </c>
      <c r="E3457">
        <v>11.44</v>
      </c>
      <c r="F3457">
        <f>COUNTIFS(mdr_rate_cleaned!$A$2:$A$10,B3457,mdr_rate_cleaned!$B$2:$B$10,"&lt;"&amp;C3457,mdr_rate_cleaned!$F$2:$F$10,"&gt;="&amp;C3457)</f>
        <v>1</v>
      </c>
      <c r="G3457">
        <v>1.2E-2</v>
      </c>
      <c r="H3457">
        <v>63.58</v>
      </c>
      <c r="I3457" t="s">
        <v>15</v>
      </c>
      <c r="J3457" t="s">
        <v>15</v>
      </c>
      <c r="K3457">
        <v>11.44</v>
      </c>
      <c r="L3457">
        <v>0</v>
      </c>
    </row>
    <row r="3458" spans="1:12" x14ac:dyDescent="0.3">
      <c r="A3458" t="s">
        <v>3474</v>
      </c>
      <c r="B3458" t="s">
        <v>17</v>
      </c>
      <c r="C3458">
        <v>1098</v>
      </c>
      <c r="D3458">
        <v>19.760000000000002</v>
      </c>
      <c r="E3458">
        <v>3.56</v>
      </c>
      <c r="F3458">
        <f>COUNTIFS(mdr_rate_cleaned!$A$2:$A$10,B3458,mdr_rate_cleaned!$B$2:$B$10,"&lt;"&amp;C3458,mdr_rate_cleaned!$F$2:$F$10,"&gt;="&amp;C3458)</f>
        <v>1</v>
      </c>
      <c r="G3458">
        <v>1.7999999999999999E-2</v>
      </c>
      <c r="H3458">
        <v>19.760000000000002</v>
      </c>
      <c r="I3458" t="s">
        <v>15</v>
      </c>
      <c r="J3458" t="s">
        <v>15</v>
      </c>
      <c r="K3458">
        <v>3.56</v>
      </c>
      <c r="L3458">
        <v>0</v>
      </c>
    </row>
    <row r="3459" spans="1:12" x14ac:dyDescent="0.3">
      <c r="A3459" t="s">
        <v>3475</v>
      </c>
      <c r="B3459" t="s">
        <v>21</v>
      </c>
      <c r="C3459">
        <v>499</v>
      </c>
      <c r="D3459">
        <v>0</v>
      </c>
      <c r="E3459">
        <v>0</v>
      </c>
      <c r="F3459">
        <f>COUNTIFS(mdr_rate_cleaned!$A$2:$A$10,B3459,mdr_rate_cleaned!$B$2:$B$10,"&lt;"&amp;C3459,mdr_rate_cleaned!$F$2:$F$10,"&gt;="&amp;C3459)</f>
        <v>1</v>
      </c>
      <c r="G3459">
        <v>0</v>
      </c>
      <c r="H3459">
        <v>0</v>
      </c>
      <c r="I3459" t="s">
        <v>15</v>
      </c>
      <c r="J3459" t="s">
        <v>15</v>
      </c>
      <c r="K3459">
        <v>0</v>
      </c>
      <c r="L3459">
        <v>0</v>
      </c>
    </row>
    <row r="3460" spans="1:12" x14ac:dyDescent="0.3">
      <c r="A3460" t="s">
        <v>3476</v>
      </c>
      <c r="B3460" t="s">
        <v>21</v>
      </c>
      <c r="C3460">
        <v>6997</v>
      </c>
      <c r="D3460">
        <v>20.99</v>
      </c>
      <c r="E3460">
        <v>3.78</v>
      </c>
      <c r="F3460">
        <f>COUNTIFS(mdr_rate_cleaned!$A$2:$A$10,B3460,mdr_rate_cleaned!$B$2:$B$10,"&lt;"&amp;C3460,mdr_rate_cleaned!$F$2:$F$10,"&gt;="&amp;C3460)</f>
        <v>1</v>
      </c>
      <c r="G3460">
        <v>3.0000000000000001E-3</v>
      </c>
      <c r="H3460">
        <v>20.99</v>
      </c>
      <c r="I3460" t="s">
        <v>15</v>
      </c>
      <c r="J3460" t="s">
        <v>15</v>
      </c>
      <c r="K3460">
        <v>3.78</v>
      </c>
      <c r="L3460">
        <v>0</v>
      </c>
    </row>
    <row r="3461" spans="1:12" x14ac:dyDescent="0.3">
      <c r="A3461" t="s">
        <v>3477</v>
      </c>
      <c r="B3461" t="s">
        <v>21</v>
      </c>
      <c r="C3461">
        <v>4498</v>
      </c>
      <c r="D3461">
        <v>13.49</v>
      </c>
      <c r="E3461">
        <v>2.4300000000000002</v>
      </c>
      <c r="F3461">
        <f>COUNTIFS(mdr_rate_cleaned!$A$2:$A$10,B3461,mdr_rate_cleaned!$B$2:$B$10,"&lt;"&amp;C3461,mdr_rate_cleaned!$F$2:$F$10,"&gt;="&amp;C3461)</f>
        <v>1</v>
      </c>
      <c r="G3461">
        <v>3.0000000000000001E-3</v>
      </c>
      <c r="H3461">
        <v>13.49</v>
      </c>
      <c r="I3461" t="s">
        <v>15</v>
      </c>
      <c r="J3461" t="s">
        <v>15</v>
      </c>
      <c r="K3461">
        <v>2.4300000000000002</v>
      </c>
      <c r="L3461">
        <v>0</v>
      </c>
    </row>
    <row r="3462" spans="1:12" x14ac:dyDescent="0.3">
      <c r="A3462" t="s">
        <v>3478</v>
      </c>
      <c r="B3462" t="s">
        <v>17</v>
      </c>
      <c r="C3462">
        <v>8348</v>
      </c>
      <c r="D3462">
        <v>133.57</v>
      </c>
      <c r="E3462">
        <v>24.04</v>
      </c>
      <c r="F3462">
        <f>COUNTIFS(mdr_rate_cleaned!$A$2:$A$10,B3462,mdr_rate_cleaned!$B$2:$B$10,"&lt;"&amp;C3462,mdr_rate_cleaned!$F$2:$F$10,"&gt;="&amp;C3462)</f>
        <v>1</v>
      </c>
      <c r="G3462">
        <v>1.6E-2</v>
      </c>
      <c r="H3462">
        <v>133.57</v>
      </c>
      <c r="I3462" t="s">
        <v>15</v>
      </c>
      <c r="J3462" t="s">
        <v>15</v>
      </c>
      <c r="K3462">
        <v>24.04</v>
      </c>
      <c r="L3462">
        <v>0</v>
      </c>
    </row>
    <row r="3463" spans="1:12" x14ac:dyDescent="0.3">
      <c r="A3463" t="s">
        <v>3479</v>
      </c>
      <c r="B3463" t="s">
        <v>21</v>
      </c>
      <c r="C3463">
        <v>2798</v>
      </c>
      <c r="D3463">
        <v>8.39</v>
      </c>
      <c r="E3463">
        <v>1.51</v>
      </c>
      <c r="F3463">
        <f>COUNTIFS(mdr_rate_cleaned!$A$2:$A$10,B3463,mdr_rate_cleaned!$B$2:$B$10,"&lt;"&amp;C3463,mdr_rate_cleaned!$F$2:$F$10,"&gt;="&amp;C3463)</f>
        <v>1</v>
      </c>
      <c r="G3463">
        <v>3.0000000000000001E-3</v>
      </c>
      <c r="H3463">
        <v>8.39</v>
      </c>
      <c r="I3463" t="s">
        <v>15</v>
      </c>
      <c r="J3463" t="s">
        <v>15</v>
      </c>
      <c r="K3463">
        <v>1.51</v>
      </c>
      <c r="L3463">
        <v>0</v>
      </c>
    </row>
    <row r="3464" spans="1:12" x14ac:dyDescent="0.3">
      <c r="A3464" t="s">
        <v>3480</v>
      </c>
      <c r="B3464" t="s">
        <v>21</v>
      </c>
      <c r="C3464">
        <v>1499</v>
      </c>
      <c r="D3464">
        <v>0</v>
      </c>
      <c r="E3464">
        <v>0</v>
      </c>
      <c r="F3464">
        <f>COUNTIFS(mdr_rate_cleaned!$A$2:$A$10,B3464,mdr_rate_cleaned!$B$2:$B$10,"&lt;"&amp;C3464,mdr_rate_cleaned!$F$2:$F$10,"&gt;="&amp;C3464)</f>
        <v>1</v>
      </c>
      <c r="G3464">
        <v>0</v>
      </c>
      <c r="H3464">
        <v>0</v>
      </c>
      <c r="I3464" t="s">
        <v>15</v>
      </c>
      <c r="J3464" t="s">
        <v>15</v>
      </c>
      <c r="K3464">
        <v>0</v>
      </c>
      <c r="L3464">
        <v>0</v>
      </c>
    </row>
    <row r="3465" spans="1:12" x14ac:dyDescent="0.3">
      <c r="A3465" t="s">
        <v>3481</v>
      </c>
      <c r="B3465" t="s">
        <v>13</v>
      </c>
      <c r="C3465">
        <v>6798</v>
      </c>
      <c r="D3465">
        <v>115.57</v>
      </c>
      <c r="E3465">
        <v>20.8</v>
      </c>
      <c r="F3465">
        <f>COUNTIFS(mdr_rate_cleaned!$A$2:$A$10,B3465,mdr_rate_cleaned!$B$2:$B$10,"&lt;"&amp;C3465,mdr_rate_cleaned!$F$2:$F$10,"&gt;="&amp;C3465)</f>
        <v>1</v>
      </c>
      <c r="G3465">
        <v>1.7000000000000001E-2</v>
      </c>
      <c r="H3465">
        <v>115.57</v>
      </c>
      <c r="I3465" t="s">
        <v>15</v>
      </c>
      <c r="J3465" t="s">
        <v>15</v>
      </c>
      <c r="K3465">
        <v>20.8</v>
      </c>
      <c r="L3465">
        <v>0</v>
      </c>
    </row>
    <row r="3466" spans="1:12" x14ac:dyDescent="0.3">
      <c r="A3466" t="s">
        <v>3482</v>
      </c>
      <c r="B3466" t="s">
        <v>21</v>
      </c>
      <c r="C3466">
        <v>499</v>
      </c>
      <c r="D3466">
        <v>0</v>
      </c>
      <c r="E3466">
        <v>0</v>
      </c>
      <c r="F3466">
        <f>COUNTIFS(mdr_rate_cleaned!$A$2:$A$10,B3466,mdr_rate_cleaned!$B$2:$B$10,"&lt;"&amp;C3466,mdr_rate_cleaned!$F$2:$F$10,"&gt;="&amp;C3466)</f>
        <v>1</v>
      </c>
      <c r="G3466">
        <v>0</v>
      </c>
      <c r="H3466">
        <v>0</v>
      </c>
      <c r="I3466" t="s">
        <v>15</v>
      </c>
      <c r="J3466" t="s">
        <v>15</v>
      </c>
      <c r="K3466">
        <v>0</v>
      </c>
      <c r="L3466">
        <v>0</v>
      </c>
    </row>
    <row r="3467" spans="1:12" x14ac:dyDescent="0.3">
      <c r="A3467" t="s">
        <v>3483</v>
      </c>
      <c r="B3467" t="s">
        <v>17</v>
      </c>
      <c r="C3467">
        <v>6998</v>
      </c>
      <c r="D3467">
        <v>111.97</v>
      </c>
      <c r="E3467">
        <v>20.149999999999999</v>
      </c>
      <c r="F3467">
        <f>COUNTIFS(mdr_rate_cleaned!$A$2:$A$10,B3467,mdr_rate_cleaned!$B$2:$B$10,"&lt;"&amp;C3467,mdr_rate_cleaned!$F$2:$F$10,"&gt;="&amp;C3467)</f>
        <v>1</v>
      </c>
      <c r="G3467">
        <v>1.6E-2</v>
      </c>
      <c r="H3467">
        <v>111.97</v>
      </c>
      <c r="I3467" t="s">
        <v>15</v>
      </c>
      <c r="J3467" t="s">
        <v>15</v>
      </c>
      <c r="K3467">
        <v>20.149999999999999</v>
      </c>
      <c r="L3467">
        <v>0</v>
      </c>
    </row>
    <row r="3468" spans="1:12" x14ac:dyDescent="0.3">
      <c r="A3468" t="s">
        <v>3484</v>
      </c>
      <c r="B3468" t="s">
        <v>21</v>
      </c>
      <c r="C3468">
        <v>599</v>
      </c>
      <c r="D3468">
        <v>0</v>
      </c>
      <c r="E3468">
        <v>0</v>
      </c>
      <c r="F3468">
        <f>COUNTIFS(mdr_rate_cleaned!$A$2:$A$10,B3468,mdr_rate_cleaned!$B$2:$B$10,"&lt;"&amp;C3468,mdr_rate_cleaned!$F$2:$F$10,"&gt;="&amp;C3468)</f>
        <v>1</v>
      </c>
      <c r="G3468">
        <v>0</v>
      </c>
      <c r="H3468">
        <v>0</v>
      </c>
      <c r="I3468" t="s">
        <v>15</v>
      </c>
      <c r="J3468" t="s">
        <v>15</v>
      </c>
      <c r="K3468">
        <v>0</v>
      </c>
      <c r="L3468">
        <v>0</v>
      </c>
    </row>
    <row r="3469" spans="1:12" x14ac:dyDescent="0.3">
      <c r="A3469" t="s">
        <v>3485</v>
      </c>
      <c r="B3469" t="s">
        <v>17</v>
      </c>
      <c r="C3469">
        <v>3598</v>
      </c>
      <c r="D3469">
        <v>57.57</v>
      </c>
      <c r="E3469">
        <v>10.36</v>
      </c>
      <c r="F3469">
        <f>COUNTIFS(mdr_rate_cleaned!$A$2:$A$10,B3469,mdr_rate_cleaned!$B$2:$B$10,"&lt;"&amp;C3469,mdr_rate_cleaned!$F$2:$F$10,"&gt;="&amp;C3469)</f>
        <v>1</v>
      </c>
      <c r="G3469">
        <v>1.6E-2</v>
      </c>
      <c r="H3469">
        <v>57.57</v>
      </c>
      <c r="I3469" t="s">
        <v>15</v>
      </c>
      <c r="J3469" t="s">
        <v>15</v>
      </c>
      <c r="K3469">
        <v>10.36</v>
      </c>
      <c r="L3469">
        <v>0</v>
      </c>
    </row>
    <row r="3470" spans="1:12" x14ac:dyDescent="0.3">
      <c r="A3470" t="s">
        <v>3486</v>
      </c>
      <c r="B3470" t="s">
        <v>21</v>
      </c>
      <c r="C3470">
        <v>2098</v>
      </c>
      <c r="D3470">
        <v>6.29</v>
      </c>
      <c r="E3470">
        <v>1.1299999999999999</v>
      </c>
      <c r="F3470">
        <f>COUNTIFS(mdr_rate_cleaned!$A$2:$A$10,B3470,mdr_rate_cleaned!$B$2:$B$10,"&lt;"&amp;C3470,mdr_rate_cleaned!$F$2:$F$10,"&gt;="&amp;C3470)</f>
        <v>1</v>
      </c>
      <c r="G3470">
        <v>3.0000000000000001E-3</v>
      </c>
      <c r="H3470">
        <v>6.29</v>
      </c>
      <c r="I3470" t="s">
        <v>15</v>
      </c>
      <c r="J3470" t="s">
        <v>15</v>
      </c>
      <c r="K3470">
        <v>1.1299999999999999</v>
      </c>
      <c r="L3470">
        <v>0</v>
      </c>
    </row>
    <row r="3471" spans="1:12" x14ac:dyDescent="0.3">
      <c r="A3471" t="s">
        <v>3487</v>
      </c>
      <c r="B3471" t="s">
        <v>21</v>
      </c>
      <c r="C3471">
        <v>3498</v>
      </c>
      <c r="D3471">
        <v>10.49</v>
      </c>
      <c r="E3471">
        <v>1.89</v>
      </c>
      <c r="F3471">
        <f>COUNTIFS(mdr_rate_cleaned!$A$2:$A$10,B3471,mdr_rate_cleaned!$B$2:$B$10,"&lt;"&amp;C3471,mdr_rate_cleaned!$F$2:$F$10,"&gt;="&amp;C3471)</f>
        <v>1</v>
      </c>
      <c r="G3471">
        <v>3.0000000000000001E-3</v>
      </c>
      <c r="H3471">
        <v>10.49</v>
      </c>
      <c r="I3471" t="s">
        <v>15</v>
      </c>
      <c r="J3471" t="s">
        <v>15</v>
      </c>
      <c r="K3471">
        <v>1.89</v>
      </c>
      <c r="L3471">
        <v>0</v>
      </c>
    </row>
    <row r="3472" spans="1:12" x14ac:dyDescent="0.3">
      <c r="A3472" t="s">
        <v>3488</v>
      </c>
      <c r="B3472" t="s">
        <v>39</v>
      </c>
      <c r="C3472">
        <v>7999</v>
      </c>
      <c r="D3472">
        <v>95.99</v>
      </c>
      <c r="E3472">
        <v>17.28</v>
      </c>
      <c r="F3472">
        <f>COUNTIFS(mdr_rate_cleaned!$A$2:$A$10,B3472,mdr_rate_cleaned!$B$2:$B$10,"&lt;"&amp;C3472,mdr_rate_cleaned!$F$2:$F$10,"&gt;="&amp;C3472)</f>
        <v>1</v>
      </c>
      <c r="G3472">
        <v>1.2E-2</v>
      </c>
      <c r="H3472">
        <v>95.99</v>
      </c>
      <c r="I3472" t="s">
        <v>15</v>
      </c>
      <c r="J3472" t="s">
        <v>15</v>
      </c>
      <c r="K3472">
        <v>17.28</v>
      </c>
      <c r="L3472">
        <v>0</v>
      </c>
    </row>
    <row r="3473" spans="1:12" x14ac:dyDescent="0.3">
      <c r="A3473" t="s">
        <v>3489</v>
      </c>
      <c r="B3473" t="s">
        <v>21</v>
      </c>
      <c r="C3473">
        <v>349</v>
      </c>
      <c r="D3473">
        <v>0</v>
      </c>
      <c r="E3473">
        <v>0</v>
      </c>
      <c r="F3473">
        <f>COUNTIFS(mdr_rate_cleaned!$A$2:$A$10,B3473,mdr_rate_cleaned!$B$2:$B$10,"&lt;"&amp;C3473,mdr_rate_cleaned!$F$2:$F$10,"&gt;="&amp;C3473)</f>
        <v>1</v>
      </c>
      <c r="G3473">
        <v>0</v>
      </c>
      <c r="H3473">
        <v>0</v>
      </c>
      <c r="I3473" t="s">
        <v>15</v>
      </c>
      <c r="J3473" t="s">
        <v>15</v>
      </c>
      <c r="K3473">
        <v>0</v>
      </c>
      <c r="L3473">
        <v>0</v>
      </c>
    </row>
    <row r="3474" spans="1:12" x14ac:dyDescent="0.3">
      <c r="A3474" t="s">
        <v>3490</v>
      </c>
      <c r="B3474" t="s">
        <v>21</v>
      </c>
      <c r="C3474">
        <v>1499</v>
      </c>
      <c r="D3474">
        <v>0</v>
      </c>
      <c r="E3474">
        <v>0</v>
      </c>
      <c r="F3474">
        <f>COUNTIFS(mdr_rate_cleaned!$A$2:$A$10,B3474,mdr_rate_cleaned!$B$2:$B$10,"&lt;"&amp;C3474,mdr_rate_cleaned!$F$2:$F$10,"&gt;="&amp;C3474)</f>
        <v>1</v>
      </c>
      <c r="G3474">
        <v>0</v>
      </c>
      <c r="H3474">
        <v>0</v>
      </c>
      <c r="I3474" t="s">
        <v>15</v>
      </c>
      <c r="J3474" t="s">
        <v>15</v>
      </c>
      <c r="K3474">
        <v>0</v>
      </c>
      <c r="L3474">
        <v>0</v>
      </c>
    </row>
    <row r="3475" spans="1:12" x14ac:dyDescent="0.3">
      <c r="A3475" t="s">
        <v>3491</v>
      </c>
      <c r="B3475" t="s">
        <v>17</v>
      </c>
      <c r="C3475">
        <v>4498</v>
      </c>
      <c r="D3475">
        <v>71.97</v>
      </c>
      <c r="E3475">
        <v>12.95</v>
      </c>
      <c r="F3475">
        <f>COUNTIFS(mdr_rate_cleaned!$A$2:$A$10,B3475,mdr_rate_cleaned!$B$2:$B$10,"&lt;"&amp;C3475,mdr_rate_cleaned!$F$2:$F$10,"&gt;="&amp;C3475)</f>
        <v>1</v>
      </c>
      <c r="G3475">
        <v>1.6E-2</v>
      </c>
      <c r="H3475">
        <v>71.97</v>
      </c>
      <c r="I3475" t="s">
        <v>15</v>
      </c>
      <c r="J3475" t="s">
        <v>15</v>
      </c>
      <c r="K3475">
        <v>12.95</v>
      </c>
      <c r="L3475">
        <v>0</v>
      </c>
    </row>
    <row r="3476" spans="1:12" x14ac:dyDescent="0.3">
      <c r="A3476" t="s">
        <v>3492</v>
      </c>
      <c r="B3476" t="s">
        <v>39</v>
      </c>
      <c r="C3476">
        <v>4998</v>
      </c>
      <c r="D3476">
        <v>59.98</v>
      </c>
      <c r="E3476">
        <v>10.8</v>
      </c>
      <c r="F3476">
        <f>COUNTIFS(mdr_rate_cleaned!$A$2:$A$10,B3476,mdr_rate_cleaned!$B$2:$B$10,"&lt;"&amp;C3476,mdr_rate_cleaned!$F$2:$F$10,"&gt;="&amp;C3476)</f>
        <v>1</v>
      </c>
      <c r="G3476">
        <v>1.2E-2</v>
      </c>
      <c r="H3476">
        <v>59.98</v>
      </c>
      <c r="I3476" t="s">
        <v>15</v>
      </c>
      <c r="J3476" t="s">
        <v>15</v>
      </c>
      <c r="K3476">
        <v>10.8</v>
      </c>
      <c r="L3476">
        <v>0</v>
      </c>
    </row>
    <row r="3477" spans="1:12" x14ac:dyDescent="0.3">
      <c r="A3477" t="s">
        <v>3493</v>
      </c>
      <c r="B3477" t="s">
        <v>17</v>
      </c>
      <c r="C3477">
        <v>3098</v>
      </c>
      <c r="D3477">
        <v>49.57</v>
      </c>
      <c r="E3477">
        <v>8.92</v>
      </c>
      <c r="F3477">
        <f>COUNTIFS(mdr_rate_cleaned!$A$2:$A$10,B3477,mdr_rate_cleaned!$B$2:$B$10,"&lt;"&amp;C3477,mdr_rate_cleaned!$F$2:$F$10,"&gt;="&amp;C3477)</f>
        <v>1</v>
      </c>
      <c r="G3477">
        <v>1.6E-2</v>
      </c>
      <c r="H3477">
        <v>49.57</v>
      </c>
      <c r="I3477" t="s">
        <v>15</v>
      </c>
      <c r="J3477" t="s">
        <v>15</v>
      </c>
      <c r="K3477">
        <v>8.92</v>
      </c>
      <c r="L3477">
        <v>0</v>
      </c>
    </row>
    <row r="3478" spans="1:12" x14ac:dyDescent="0.3">
      <c r="A3478" t="s">
        <v>3494</v>
      </c>
      <c r="B3478" t="s">
        <v>21</v>
      </c>
      <c r="C3478">
        <v>7097</v>
      </c>
      <c r="D3478">
        <v>21.29</v>
      </c>
      <c r="E3478">
        <v>3.83</v>
      </c>
      <c r="F3478">
        <f>COUNTIFS(mdr_rate_cleaned!$A$2:$A$10,B3478,mdr_rate_cleaned!$B$2:$B$10,"&lt;"&amp;C3478,mdr_rate_cleaned!$F$2:$F$10,"&gt;="&amp;C3478)</f>
        <v>1</v>
      </c>
      <c r="G3478">
        <v>3.0000000000000001E-3</v>
      </c>
      <c r="H3478">
        <v>21.29</v>
      </c>
      <c r="I3478" t="s">
        <v>15</v>
      </c>
      <c r="J3478" t="s">
        <v>15</v>
      </c>
      <c r="K3478">
        <v>3.83</v>
      </c>
      <c r="L3478">
        <v>0</v>
      </c>
    </row>
    <row r="3479" spans="1:12" x14ac:dyDescent="0.3">
      <c r="A3479" t="s">
        <v>3495</v>
      </c>
      <c r="B3479" t="s">
        <v>21</v>
      </c>
      <c r="C3479">
        <v>7999</v>
      </c>
      <c r="D3479">
        <v>24</v>
      </c>
      <c r="E3479">
        <v>4.32</v>
      </c>
      <c r="F3479">
        <f>COUNTIFS(mdr_rate_cleaned!$A$2:$A$10,B3479,mdr_rate_cleaned!$B$2:$B$10,"&lt;"&amp;C3479,mdr_rate_cleaned!$F$2:$F$10,"&gt;="&amp;C3479)</f>
        <v>1</v>
      </c>
      <c r="G3479">
        <v>3.0000000000000001E-3</v>
      </c>
      <c r="H3479">
        <v>24</v>
      </c>
      <c r="I3479" t="s">
        <v>15</v>
      </c>
      <c r="J3479" t="s">
        <v>15</v>
      </c>
      <c r="K3479">
        <v>4.32</v>
      </c>
      <c r="L3479">
        <v>0</v>
      </c>
    </row>
    <row r="3480" spans="1:12" x14ac:dyDescent="0.3">
      <c r="A3480" t="s">
        <v>3496</v>
      </c>
      <c r="B3480" t="s">
        <v>21</v>
      </c>
      <c r="C3480">
        <v>2298</v>
      </c>
      <c r="D3480">
        <v>6.89</v>
      </c>
      <c r="E3480">
        <v>1.24</v>
      </c>
      <c r="F3480">
        <f>COUNTIFS(mdr_rate_cleaned!$A$2:$A$10,B3480,mdr_rate_cleaned!$B$2:$B$10,"&lt;"&amp;C3480,mdr_rate_cleaned!$F$2:$F$10,"&gt;="&amp;C3480)</f>
        <v>1</v>
      </c>
      <c r="G3480">
        <v>3.0000000000000001E-3</v>
      </c>
      <c r="H3480">
        <v>6.89</v>
      </c>
      <c r="I3480" t="s">
        <v>15</v>
      </c>
      <c r="J3480" t="s">
        <v>15</v>
      </c>
      <c r="K3480">
        <v>1.24</v>
      </c>
      <c r="L3480">
        <v>0</v>
      </c>
    </row>
    <row r="3481" spans="1:12" x14ac:dyDescent="0.3">
      <c r="A3481" t="s">
        <v>3497</v>
      </c>
      <c r="B3481" t="s">
        <v>21</v>
      </c>
      <c r="C3481">
        <v>2999</v>
      </c>
      <c r="D3481">
        <v>9</v>
      </c>
      <c r="E3481">
        <v>1.62</v>
      </c>
      <c r="F3481">
        <f>COUNTIFS(mdr_rate_cleaned!$A$2:$A$10,B3481,mdr_rate_cleaned!$B$2:$B$10,"&lt;"&amp;C3481,mdr_rate_cleaned!$F$2:$F$10,"&gt;="&amp;C3481)</f>
        <v>1</v>
      </c>
      <c r="G3481">
        <v>3.0000000000000001E-3</v>
      </c>
      <c r="H3481">
        <v>9</v>
      </c>
      <c r="I3481" t="s">
        <v>15</v>
      </c>
      <c r="J3481" t="s">
        <v>15</v>
      </c>
      <c r="K3481">
        <v>1.62</v>
      </c>
      <c r="L3481">
        <v>0</v>
      </c>
    </row>
    <row r="3482" spans="1:12" x14ac:dyDescent="0.3">
      <c r="A3482" t="s">
        <v>3498</v>
      </c>
      <c r="B3482" t="s">
        <v>21</v>
      </c>
      <c r="C3482">
        <v>599</v>
      </c>
      <c r="D3482">
        <v>0</v>
      </c>
      <c r="E3482">
        <v>0</v>
      </c>
      <c r="F3482">
        <f>COUNTIFS(mdr_rate_cleaned!$A$2:$A$10,B3482,mdr_rate_cleaned!$B$2:$B$10,"&lt;"&amp;C3482,mdr_rate_cleaned!$F$2:$F$10,"&gt;="&amp;C3482)</f>
        <v>1</v>
      </c>
      <c r="G3482">
        <v>0</v>
      </c>
      <c r="H3482">
        <v>0</v>
      </c>
      <c r="I3482" t="s">
        <v>15</v>
      </c>
      <c r="J3482" t="s">
        <v>15</v>
      </c>
      <c r="K3482">
        <v>0</v>
      </c>
      <c r="L3482">
        <v>0</v>
      </c>
    </row>
    <row r="3483" spans="1:12" x14ac:dyDescent="0.3">
      <c r="A3483" t="s">
        <v>3499</v>
      </c>
      <c r="B3483" t="s">
        <v>39</v>
      </c>
      <c r="C3483">
        <v>349</v>
      </c>
      <c r="D3483">
        <v>5.24</v>
      </c>
      <c r="E3483">
        <v>0.94</v>
      </c>
      <c r="F3483">
        <f>COUNTIFS(mdr_rate_cleaned!$A$2:$A$10,B3483,mdr_rate_cleaned!$B$2:$B$10,"&lt;"&amp;C3483,mdr_rate_cleaned!$F$2:$F$10,"&gt;="&amp;C3483)</f>
        <v>1</v>
      </c>
      <c r="G3483">
        <v>1.4999999999999999E-2</v>
      </c>
      <c r="H3483">
        <v>5.24</v>
      </c>
      <c r="I3483" t="s">
        <v>15</v>
      </c>
      <c r="J3483" t="s">
        <v>15</v>
      </c>
      <c r="K3483">
        <v>0.94</v>
      </c>
      <c r="L3483">
        <v>0</v>
      </c>
    </row>
    <row r="3484" spans="1:12" x14ac:dyDescent="0.3">
      <c r="A3484" t="s">
        <v>3500</v>
      </c>
      <c r="B3484" t="s">
        <v>21</v>
      </c>
      <c r="C3484">
        <v>9297</v>
      </c>
      <c r="D3484">
        <v>27.89</v>
      </c>
      <c r="E3484">
        <v>5.0199999999999996</v>
      </c>
      <c r="F3484">
        <f>COUNTIFS(mdr_rate_cleaned!$A$2:$A$10,B3484,mdr_rate_cleaned!$B$2:$B$10,"&lt;"&amp;C3484,mdr_rate_cleaned!$F$2:$F$10,"&gt;="&amp;C3484)</f>
        <v>1</v>
      </c>
      <c r="G3484">
        <v>3.0000000000000001E-3</v>
      </c>
      <c r="H3484">
        <v>27.89</v>
      </c>
      <c r="I3484" t="s">
        <v>15</v>
      </c>
      <c r="J3484" t="s">
        <v>15</v>
      </c>
      <c r="K3484">
        <v>5.0199999999999996</v>
      </c>
      <c r="L3484">
        <v>0</v>
      </c>
    </row>
    <row r="3485" spans="1:12" x14ac:dyDescent="0.3">
      <c r="A3485" t="s">
        <v>3501</v>
      </c>
      <c r="B3485" t="s">
        <v>21</v>
      </c>
      <c r="C3485">
        <v>5797</v>
      </c>
      <c r="D3485">
        <v>17.39</v>
      </c>
      <c r="E3485">
        <v>3.13</v>
      </c>
      <c r="F3485">
        <f>COUNTIFS(mdr_rate_cleaned!$A$2:$A$10,B3485,mdr_rate_cleaned!$B$2:$B$10,"&lt;"&amp;C3485,mdr_rate_cleaned!$F$2:$F$10,"&gt;="&amp;C3485)</f>
        <v>1</v>
      </c>
      <c r="G3485">
        <v>3.0000000000000001E-3</v>
      </c>
      <c r="H3485">
        <v>17.39</v>
      </c>
      <c r="I3485" t="s">
        <v>15</v>
      </c>
      <c r="J3485" t="s">
        <v>15</v>
      </c>
      <c r="K3485">
        <v>3.13</v>
      </c>
      <c r="L3485">
        <v>0</v>
      </c>
    </row>
    <row r="3486" spans="1:12" x14ac:dyDescent="0.3">
      <c r="A3486" t="s">
        <v>3502</v>
      </c>
      <c r="B3486" t="s">
        <v>21</v>
      </c>
      <c r="C3486">
        <v>2098</v>
      </c>
      <c r="D3486">
        <v>6.29</v>
      </c>
      <c r="E3486">
        <v>1.1299999999999999</v>
      </c>
      <c r="F3486">
        <f>COUNTIFS(mdr_rate_cleaned!$A$2:$A$10,B3486,mdr_rate_cleaned!$B$2:$B$10,"&lt;"&amp;C3486,mdr_rate_cleaned!$F$2:$F$10,"&gt;="&amp;C3486)</f>
        <v>1</v>
      </c>
      <c r="G3486">
        <v>3.0000000000000001E-3</v>
      </c>
      <c r="H3486">
        <v>6.29</v>
      </c>
      <c r="I3486" t="s">
        <v>15</v>
      </c>
      <c r="J3486" t="s">
        <v>15</v>
      </c>
      <c r="K3486">
        <v>1.1299999999999999</v>
      </c>
      <c r="L3486">
        <v>0</v>
      </c>
    </row>
    <row r="3487" spans="1:12" x14ac:dyDescent="0.3">
      <c r="A3487" t="s">
        <v>3503</v>
      </c>
      <c r="B3487" t="s">
        <v>39</v>
      </c>
      <c r="C3487">
        <v>6498</v>
      </c>
      <c r="D3487">
        <v>77.98</v>
      </c>
      <c r="E3487">
        <v>14.04</v>
      </c>
      <c r="F3487">
        <f>COUNTIFS(mdr_rate_cleaned!$A$2:$A$10,B3487,mdr_rate_cleaned!$B$2:$B$10,"&lt;"&amp;C3487,mdr_rate_cleaned!$F$2:$F$10,"&gt;="&amp;C3487)</f>
        <v>1</v>
      </c>
      <c r="G3487">
        <v>1.2E-2</v>
      </c>
      <c r="H3487">
        <v>77.98</v>
      </c>
      <c r="I3487" t="s">
        <v>15</v>
      </c>
      <c r="J3487" t="s">
        <v>15</v>
      </c>
      <c r="K3487">
        <v>14.04</v>
      </c>
      <c r="L3487">
        <v>0</v>
      </c>
    </row>
    <row r="3488" spans="1:12" x14ac:dyDescent="0.3">
      <c r="A3488" t="s">
        <v>3504</v>
      </c>
      <c r="B3488" t="s">
        <v>13</v>
      </c>
      <c r="C3488">
        <v>3499</v>
      </c>
      <c r="D3488">
        <v>59.48</v>
      </c>
      <c r="E3488">
        <v>10.71</v>
      </c>
      <c r="F3488">
        <f>COUNTIFS(mdr_rate_cleaned!$A$2:$A$10,B3488,mdr_rate_cleaned!$B$2:$B$10,"&lt;"&amp;C3488,mdr_rate_cleaned!$F$2:$F$10,"&gt;="&amp;C3488)</f>
        <v>1</v>
      </c>
      <c r="G3488">
        <v>1.7000000000000001E-2</v>
      </c>
      <c r="H3488">
        <v>59.48</v>
      </c>
      <c r="I3488" t="s">
        <v>15</v>
      </c>
      <c r="J3488" t="s">
        <v>15</v>
      </c>
      <c r="K3488">
        <v>10.71</v>
      </c>
      <c r="L3488">
        <v>0</v>
      </c>
    </row>
    <row r="3489" spans="1:12" x14ac:dyDescent="0.3">
      <c r="A3489" t="s">
        <v>3505</v>
      </c>
      <c r="B3489" t="s">
        <v>17</v>
      </c>
      <c r="C3489">
        <v>299</v>
      </c>
      <c r="D3489">
        <v>5.38</v>
      </c>
      <c r="E3489">
        <v>0.97</v>
      </c>
      <c r="F3489">
        <f>COUNTIFS(mdr_rate_cleaned!$A$2:$A$10,B3489,mdr_rate_cleaned!$B$2:$B$10,"&lt;"&amp;C3489,mdr_rate_cleaned!$F$2:$F$10,"&gt;="&amp;C3489)</f>
        <v>1</v>
      </c>
      <c r="G3489">
        <v>1.7999999999999999E-2</v>
      </c>
      <c r="H3489">
        <v>5.38</v>
      </c>
      <c r="I3489" t="s">
        <v>15</v>
      </c>
      <c r="J3489" t="s">
        <v>15</v>
      </c>
      <c r="K3489">
        <v>0.97</v>
      </c>
      <c r="L3489">
        <v>0</v>
      </c>
    </row>
    <row r="3490" spans="1:12" x14ac:dyDescent="0.3">
      <c r="A3490" t="s">
        <v>3506</v>
      </c>
      <c r="B3490" t="s">
        <v>21</v>
      </c>
      <c r="C3490">
        <v>999</v>
      </c>
      <c r="D3490">
        <v>0</v>
      </c>
      <c r="E3490">
        <v>0</v>
      </c>
      <c r="F3490">
        <f>COUNTIFS(mdr_rate_cleaned!$A$2:$A$10,B3490,mdr_rate_cleaned!$B$2:$B$10,"&lt;"&amp;C3490,mdr_rate_cleaned!$F$2:$F$10,"&gt;="&amp;C3490)</f>
        <v>1</v>
      </c>
      <c r="G3490">
        <v>0</v>
      </c>
      <c r="H3490">
        <v>0</v>
      </c>
      <c r="I3490" t="s">
        <v>15</v>
      </c>
      <c r="J3490" t="s">
        <v>15</v>
      </c>
      <c r="K3490">
        <v>0</v>
      </c>
      <c r="L3490">
        <v>0</v>
      </c>
    </row>
    <row r="3491" spans="1:12" x14ac:dyDescent="0.3">
      <c r="A3491" t="s">
        <v>3507</v>
      </c>
      <c r="B3491" t="s">
        <v>21</v>
      </c>
      <c r="C3491">
        <v>349</v>
      </c>
      <c r="D3491">
        <v>0</v>
      </c>
      <c r="E3491">
        <v>0</v>
      </c>
      <c r="F3491">
        <f>COUNTIFS(mdr_rate_cleaned!$A$2:$A$10,B3491,mdr_rate_cleaned!$B$2:$B$10,"&lt;"&amp;C3491,mdr_rate_cleaned!$F$2:$F$10,"&gt;="&amp;C3491)</f>
        <v>1</v>
      </c>
      <c r="G3491">
        <v>0</v>
      </c>
      <c r="H3491">
        <v>0</v>
      </c>
      <c r="I3491" t="s">
        <v>15</v>
      </c>
      <c r="J3491" t="s">
        <v>15</v>
      </c>
      <c r="K3491">
        <v>0</v>
      </c>
      <c r="L3491">
        <v>0</v>
      </c>
    </row>
    <row r="3492" spans="1:12" x14ac:dyDescent="0.3">
      <c r="A3492" t="s">
        <v>3508</v>
      </c>
      <c r="B3492" t="s">
        <v>21</v>
      </c>
      <c r="C3492">
        <v>2999</v>
      </c>
      <c r="D3492">
        <v>9</v>
      </c>
      <c r="E3492">
        <v>1.62</v>
      </c>
      <c r="F3492">
        <f>COUNTIFS(mdr_rate_cleaned!$A$2:$A$10,B3492,mdr_rate_cleaned!$B$2:$B$10,"&lt;"&amp;C3492,mdr_rate_cleaned!$F$2:$F$10,"&gt;="&amp;C3492)</f>
        <v>1</v>
      </c>
      <c r="G3492">
        <v>3.0000000000000001E-3</v>
      </c>
      <c r="H3492">
        <v>9</v>
      </c>
      <c r="I3492" t="s">
        <v>15</v>
      </c>
      <c r="J3492" t="s">
        <v>15</v>
      </c>
      <c r="K3492">
        <v>1.62</v>
      </c>
      <c r="L3492">
        <v>0</v>
      </c>
    </row>
    <row r="3493" spans="1:12" x14ac:dyDescent="0.3">
      <c r="A3493" t="s">
        <v>3509</v>
      </c>
      <c r="B3493" t="s">
        <v>21</v>
      </c>
      <c r="C3493">
        <v>1198</v>
      </c>
      <c r="D3493">
        <v>0</v>
      </c>
      <c r="E3493">
        <v>0</v>
      </c>
      <c r="F3493">
        <f>COUNTIFS(mdr_rate_cleaned!$A$2:$A$10,B3493,mdr_rate_cleaned!$B$2:$B$10,"&lt;"&amp;C3493,mdr_rate_cleaned!$F$2:$F$10,"&gt;="&amp;C3493)</f>
        <v>1</v>
      </c>
      <c r="G3493">
        <v>0</v>
      </c>
      <c r="H3493">
        <v>0</v>
      </c>
      <c r="I3493" t="s">
        <v>15</v>
      </c>
      <c r="J3493" t="s">
        <v>15</v>
      </c>
      <c r="K3493">
        <v>0</v>
      </c>
      <c r="L3493">
        <v>0</v>
      </c>
    </row>
    <row r="3494" spans="1:12" x14ac:dyDescent="0.3">
      <c r="A3494" t="s">
        <v>3510</v>
      </c>
      <c r="B3494" t="s">
        <v>21</v>
      </c>
      <c r="C3494">
        <v>3798</v>
      </c>
      <c r="D3494">
        <v>11.39</v>
      </c>
      <c r="E3494">
        <v>2.0499999999999998</v>
      </c>
      <c r="F3494">
        <f>COUNTIFS(mdr_rate_cleaned!$A$2:$A$10,B3494,mdr_rate_cleaned!$B$2:$B$10,"&lt;"&amp;C3494,mdr_rate_cleaned!$F$2:$F$10,"&gt;="&amp;C3494)</f>
        <v>1</v>
      </c>
      <c r="G3494">
        <v>3.0000000000000001E-3</v>
      </c>
      <c r="H3494">
        <v>11.39</v>
      </c>
      <c r="I3494" t="s">
        <v>15</v>
      </c>
      <c r="J3494" t="s">
        <v>15</v>
      </c>
      <c r="K3494">
        <v>2.0499999999999998</v>
      </c>
      <c r="L3494">
        <v>0</v>
      </c>
    </row>
    <row r="3495" spans="1:12" x14ac:dyDescent="0.3">
      <c r="A3495" t="s">
        <v>3511</v>
      </c>
      <c r="B3495" t="s">
        <v>21</v>
      </c>
      <c r="C3495">
        <v>7999</v>
      </c>
      <c r="D3495">
        <v>24</v>
      </c>
      <c r="E3495">
        <v>4.32</v>
      </c>
      <c r="F3495">
        <f>COUNTIFS(mdr_rate_cleaned!$A$2:$A$10,B3495,mdr_rate_cleaned!$B$2:$B$10,"&lt;"&amp;C3495,mdr_rate_cleaned!$F$2:$F$10,"&gt;="&amp;C3495)</f>
        <v>1</v>
      </c>
      <c r="G3495">
        <v>3.0000000000000001E-3</v>
      </c>
      <c r="H3495">
        <v>24</v>
      </c>
      <c r="I3495" t="s">
        <v>15</v>
      </c>
      <c r="J3495" t="s">
        <v>15</v>
      </c>
      <c r="K3495">
        <v>4.32</v>
      </c>
      <c r="L3495">
        <v>0</v>
      </c>
    </row>
    <row r="3496" spans="1:12" x14ac:dyDescent="0.3">
      <c r="A3496" t="s">
        <v>3512</v>
      </c>
      <c r="B3496" t="s">
        <v>21</v>
      </c>
      <c r="C3496">
        <v>2098</v>
      </c>
      <c r="D3496">
        <v>6.29</v>
      </c>
      <c r="E3496">
        <v>1.1299999999999999</v>
      </c>
      <c r="F3496">
        <f>COUNTIFS(mdr_rate_cleaned!$A$2:$A$10,B3496,mdr_rate_cleaned!$B$2:$B$10,"&lt;"&amp;C3496,mdr_rate_cleaned!$F$2:$F$10,"&gt;="&amp;C3496)</f>
        <v>1</v>
      </c>
      <c r="G3496">
        <v>3.0000000000000001E-3</v>
      </c>
      <c r="H3496">
        <v>6.29</v>
      </c>
      <c r="I3496" t="s">
        <v>15</v>
      </c>
      <c r="J3496" t="s">
        <v>15</v>
      </c>
      <c r="K3496">
        <v>1.1299999999999999</v>
      </c>
      <c r="L3496">
        <v>0</v>
      </c>
    </row>
    <row r="3497" spans="1:12" x14ac:dyDescent="0.3">
      <c r="A3497" t="s">
        <v>3513</v>
      </c>
      <c r="B3497" t="s">
        <v>21</v>
      </c>
      <c r="C3497">
        <v>3498</v>
      </c>
      <c r="D3497">
        <v>10.49</v>
      </c>
      <c r="E3497">
        <v>1.89</v>
      </c>
      <c r="F3497">
        <f>COUNTIFS(mdr_rate_cleaned!$A$2:$A$10,B3497,mdr_rate_cleaned!$B$2:$B$10,"&lt;"&amp;C3497,mdr_rate_cleaned!$F$2:$F$10,"&gt;="&amp;C3497)</f>
        <v>1</v>
      </c>
      <c r="G3497">
        <v>3.0000000000000001E-3</v>
      </c>
      <c r="H3497">
        <v>10.49</v>
      </c>
      <c r="I3497" t="s">
        <v>15</v>
      </c>
      <c r="J3497" t="s">
        <v>15</v>
      </c>
      <c r="K3497">
        <v>1.89</v>
      </c>
      <c r="L3497">
        <v>0</v>
      </c>
    </row>
    <row r="3498" spans="1:12" x14ac:dyDescent="0.3">
      <c r="A3498" t="s">
        <v>3514</v>
      </c>
      <c r="B3498" t="s">
        <v>21</v>
      </c>
      <c r="C3498">
        <v>7297</v>
      </c>
      <c r="D3498">
        <v>21.89</v>
      </c>
      <c r="E3498">
        <v>3.94</v>
      </c>
      <c r="F3498">
        <f>COUNTIFS(mdr_rate_cleaned!$A$2:$A$10,B3498,mdr_rate_cleaned!$B$2:$B$10,"&lt;"&amp;C3498,mdr_rate_cleaned!$F$2:$F$10,"&gt;="&amp;C3498)</f>
        <v>1</v>
      </c>
      <c r="G3498">
        <v>3.0000000000000001E-3</v>
      </c>
      <c r="H3498">
        <v>21.89</v>
      </c>
      <c r="I3498" t="s">
        <v>15</v>
      </c>
      <c r="J3498" t="s">
        <v>15</v>
      </c>
      <c r="K3498">
        <v>3.94</v>
      </c>
      <c r="L3498">
        <v>0</v>
      </c>
    </row>
    <row r="3499" spans="1:12" x14ac:dyDescent="0.3">
      <c r="A3499" t="s">
        <v>3515</v>
      </c>
      <c r="B3499" t="s">
        <v>21</v>
      </c>
      <c r="C3499">
        <v>4999</v>
      </c>
      <c r="D3499">
        <v>15</v>
      </c>
      <c r="E3499">
        <v>2.7</v>
      </c>
      <c r="F3499">
        <f>COUNTIFS(mdr_rate_cleaned!$A$2:$A$10,B3499,mdr_rate_cleaned!$B$2:$B$10,"&lt;"&amp;C3499,mdr_rate_cleaned!$F$2:$F$10,"&gt;="&amp;C3499)</f>
        <v>1</v>
      </c>
      <c r="G3499">
        <v>3.0000000000000001E-3</v>
      </c>
      <c r="H3499">
        <v>15</v>
      </c>
      <c r="I3499" t="s">
        <v>15</v>
      </c>
      <c r="J3499" t="s">
        <v>15</v>
      </c>
      <c r="K3499">
        <v>2.7</v>
      </c>
      <c r="L3499">
        <v>0</v>
      </c>
    </row>
    <row r="3500" spans="1:12" x14ac:dyDescent="0.3">
      <c r="A3500" t="s">
        <v>3516</v>
      </c>
      <c r="B3500" t="s">
        <v>17</v>
      </c>
      <c r="C3500">
        <v>4397</v>
      </c>
      <c r="D3500">
        <v>70.349999999999994</v>
      </c>
      <c r="E3500">
        <v>12.66</v>
      </c>
      <c r="F3500">
        <f>COUNTIFS(mdr_rate_cleaned!$A$2:$A$10,B3500,mdr_rate_cleaned!$B$2:$B$10,"&lt;"&amp;C3500,mdr_rate_cleaned!$F$2:$F$10,"&gt;="&amp;C3500)</f>
        <v>1</v>
      </c>
      <c r="G3500">
        <v>1.6E-2</v>
      </c>
      <c r="H3500">
        <v>70.349999999999994</v>
      </c>
      <c r="I3500" t="s">
        <v>15</v>
      </c>
      <c r="J3500" t="s">
        <v>15</v>
      </c>
      <c r="K3500">
        <v>12.66</v>
      </c>
      <c r="L3500">
        <v>0</v>
      </c>
    </row>
    <row r="3501" spans="1:12" x14ac:dyDescent="0.3">
      <c r="A3501" t="s">
        <v>3517</v>
      </c>
      <c r="B3501" t="s">
        <v>21</v>
      </c>
      <c r="C3501">
        <v>6498</v>
      </c>
      <c r="D3501">
        <v>19.489999999999998</v>
      </c>
      <c r="E3501">
        <v>3.51</v>
      </c>
      <c r="F3501">
        <f>COUNTIFS(mdr_rate_cleaned!$A$2:$A$10,B3501,mdr_rate_cleaned!$B$2:$B$10,"&lt;"&amp;C3501,mdr_rate_cleaned!$F$2:$F$10,"&gt;="&amp;C3501)</f>
        <v>1</v>
      </c>
      <c r="G3501">
        <v>3.0000000000000001E-3</v>
      </c>
      <c r="H3501">
        <v>19.489999999999998</v>
      </c>
      <c r="I3501" t="s">
        <v>15</v>
      </c>
      <c r="J3501" t="s">
        <v>15</v>
      </c>
      <c r="K3501">
        <v>3.51</v>
      </c>
      <c r="L3501">
        <v>0</v>
      </c>
    </row>
    <row r="3502" spans="1:12" x14ac:dyDescent="0.3">
      <c r="A3502" t="s">
        <v>3518</v>
      </c>
      <c r="B3502" t="s">
        <v>21</v>
      </c>
      <c r="C3502">
        <v>799</v>
      </c>
      <c r="D3502">
        <v>0</v>
      </c>
      <c r="E3502">
        <v>0</v>
      </c>
      <c r="F3502">
        <f>COUNTIFS(mdr_rate_cleaned!$A$2:$A$10,B3502,mdr_rate_cleaned!$B$2:$B$10,"&lt;"&amp;C3502,mdr_rate_cleaned!$F$2:$F$10,"&gt;="&amp;C3502)</f>
        <v>1</v>
      </c>
      <c r="G3502">
        <v>0</v>
      </c>
      <c r="H3502">
        <v>0</v>
      </c>
      <c r="I3502" t="s">
        <v>15</v>
      </c>
      <c r="J3502" t="s">
        <v>15</v>
      </c>
      <c r="K3502">
        <v>0</v>
      </c>
      <c r="L3502">
        <v>0</v>
      </c>
    </row>
    <row r="3503" spans="1:12" x14ac:dyDescent="0.3">
      <c r="A3503" t="s">
        <v>3519</v>
      </c>
      <c r="B3503" t="s">
        <v>21</v>
      </c>
      <c r="C3503">
        <v>599</v>
      </c>
      <c r="D3503">
        <v>0</v>
      </c>
      <c r="E3503">
        <v>0</v>
      </c>
      <c r="F3503">
        <f>COUNTIFS(mdr_rate_cleaned!$A$2:$A$10,B3503,mdr_rate_cleaned!$B$2:$B$10,"&lt;"&amp;C3503,mdr_rate_cleaned!$F$2:$F$10,"&gt;="&amp;C3503)</f>
        <v>1</v>
      </c>
      <c r="G3503">
        <v>0</v>
      </c>
      <c r="H3503">
        <v>0</v>
      </c>
      <c r="I3503" t="s">
        <v>15</v>
      </c>
      <c r="J3503" t="s">
        <v>15</v>
      </c>
      <c r="K3503">
        <v>0</v>
      </c>
      <c r="L3503">
        <v>0</v>
      </c>
    </row>
    <row r="3504" spans="1:12" x14ac:dyDescent="0.3">
      <c r="A3504" t="s">
        <v>3520</v>
      </c>
      <c r="B3504" t="s">
        <v>17</v>
      </c>
      <c r="C3504">
        <v>2098</v>
      </c>
      <c r="D3504">
        <v>33.57</v>
      </c>
      <c r="E3504">
        <v>6.04</v>
      </c>
      <c r="F3504">
        <f>COUNTIFS(mdr_rate_cleaned!$A$2:$A$10,B3504,mdr_rate_cleaned!$B$2:$B$10,"&lt;"&amp;C3504,mdr_rate_cleaned!$F$2:$F$10,"&gt;="&amp;C3504)</f>
        <v>1</v>
      </c>
      <c r="G3504">
        <v>1.6E-2</v>
      </c>
      <c r="H3504">
        <v>33.57</v>
      </c>
      <c r="I3504" t="s">
        <v>15</v>
      </c>
      <c r="J3504" t="s">
        <v>15</v>
      </c>
      <c r="K3504">
        <v>6.04</v>
      </c>
      <c r="L3504">
        <v>0</v>
      </c>
    </row>
    <row r="3505" spans="1:12" x14ac:dyDescent="0.3">
      <c r="A3505" t="s">
        <v>3521</v>
      </c>
      <c r="B3505" t="s">
        <v>17</v>
      </c>
      <c r="C3505">
        <v>4999</v>
      </c>
      <c r="D3505">
        <v>79.98</v>
      </c>
      <c r="E3505">
        <v>14.4</v>
      </c>
      <c r="F3505">
        <f>COUNTIFS(mdr_rate_cleaned!$A$2:$A$10,B3505,mdr_rate_cleaned!$B$2:$B$10,"&lt;"&amp;C3505,mdr_rate_cleaned!$F$2:$F$10,"&gt;="&amp;C3505)</f>
        <v>1</v>
      </c>
      <c r="G3505">
        <v>1.6E-2</v>
      </c>
      <c r="H3505">
        <v>79.98</v>
      </c>
      <c r="I3505" t="s">
        <v>15</v>
      </c>
      <c r="J3505" t="s">
        <v>15</v>
      </c>
      <c r="K3505">
        <v>14.4</v>
      </c>
      <c r="L3505">
        <v>0</v>
      </c>
    </row>
    <row r="3506" spans="1:12" x14ac:dyDescent="0.3">
      <c r="A3506" t="s">
        <v>3522</v>
      </c>
      <c r="B3506" t="s">
        <v>21</v>
      </c>
      <c r="C3506">
        <v>4999</v>
      </c>
      <c r="D3506">
        <v>15</v>
      </c>
      <c r="E3506">
        <v>2.7</v>
      </c>
      <c r="F3506">
        <f>COUNTIFS(mdr_rate_cleaned!$A$2:$A$10,B3506,mdr_rate_cleaned!$B$2:$B$10,"&lt;"&amp;C3506,mdr_rate_cleaned!$F$2:$F$10,"&gt;="&amp;C3506)</f>
        <v>1</v>
      </c>
      <c r="G3506">
        <v>3.0000000000000001E-3</v>
      </c>
      <c r="H3506">
        <v>15</v>
      </c>
      <c r="I3506" t="s">
        <v>15</v>
      </c>
      <c r="J3506" t="s">
        <v>15</v>
      </c>
      <c r="K3506">
        <v>2.7</v>
      </c>
      <c r="L3506">
        <v>0</v>
      </c>
    </row>
    <row r="3507" spans="1:12" x14ac:dyDescent="0.3">
      <c r="A3507" t="s">
        <v>3523</v>
      </c>
      <c r="B3507" t="s">
        <v>17</v>
      </c>
      <c r="C3507">
        <v>3597</v>
      </c>
      <c r="D3507">
        <v>57.55</v>
      </c>
      <c r="E3507">
        <v>10.36</v>
      </c>
      <c r="F3507">
        <f>COUNTIFS(mdr_rate_cleaned!$A$2:$A$10,B3507,mdr_rate_cleaned!$B$2:$B$10,"&lt;"&amp;C3507,mdr_rate_cleaned!$F$2:$F$10,"&gt;="&amp;C3507)</f>
        <v>1</v>
      </c>
      <c r="G3507">
        <v>1.6E-2</v>
      </c>
      <c r="H3507">
        <v>57.55</v>
      </c>
      <c r="I3507" t="s">
        <v>15</v>
      </c>
      <c r="J3507" t="s">
        <v>15</v>
      </c>
      <c r="K3507">
        <v>10.36</v>
      </c>
      <c r="L3507">
        <v>0</v>
      </c>
    </row>
    <row r="3508" spans="1:12" x14ac:dyDescent="0.3">
      <c r="A3508" t="s">
        <v>3524</v>
      </c>
      <c r="B3508" t="s">
        <v>13</v>
      </c>
      <c r="C3508">
        <v>2998</v>
      </c>
      <c r="D3508">
        <v>50.97</v>
      </c>
      <c r="E3508">
        <v>9.17</v>
      </c>
      <c r="F3508">
        <f>COUNTIFS(mdr_rate_cleaned!$A$2:$A$10,B3508,mdr_rate_cleaned!$B$2:$B$10,"&lt;"&amp;C3508,mdr_rate_cleaned!$F$2:$F$10,"&gt;="&amp;C3508)</f>
        <v>1</v>
      </c>
      <c r="G3508">
        <v>1.7000000000000001E-2</v>
      </c>
      <c r="H3508">
        <v>50.97</v>
      </c>
      <c r="I3508" t="s">
        <v>15</v>
      </c>
      <c r="J3508" t="s">
        <v>15</v>
      </c>
      <c r="K3508">
        <v>9.17</v>
      </c>
      <c r="L3508">
        <v>0</v>
      </c>
    </row>
    <row r="3509" spans="1:12" x14ac:dyDescent="0.3">
      <c r="A3509" t="s">
        <v>3525</v>
      </c>
      <c r="B3509" t="s">
        <v>21</v>
      </c>
      <c r="C3509">
        <v>3499</v>
      </c>
      <c r="D3509">
        <v>10.5</v>
      </c>
      <c r="E3509">
        <v>1.89</v>
      </c>
      <c r="F3509">
        <f>COUNTIFS(mdr_rate_cleaned!$A$2:$A$10,B3509,mdr_rate_cleaned!$B$2:$B$10,"&lt;"&amp;C3509,mdr_rate_cleaned!$F$2:$F$10,"&gt;="&amp;C3509)</f>
        <v>1</v>
      </c>
      <c r="G3509">
        <v>3.0000000000000001E-3</v>
      </c>
      <c r="H3509">
        <v>10.5</v>
      </c>
      <c r="I3509" t="s">
        <v>15</v>
      </c>
      <c r="J3509" t="s">
        <v>15</v>
      </c>
      <c r="K3509">
        <v>1.89</v>
      </c>
      <c r="L3509">
        <v>0</v>
      </c>
    </row>
    <row r="3510" spans="1:12" x14ac:dyDescent="0.3">
      <c r="A3510" t="s">
        <v>3526</v>
      </c>
      <c r="B3510" t="s">
        <v>17</v>
      </c>
      <c r="C3510">
        <v>4297</v>
      </c>
      <c r="D3510">
        <v>68.75</v>
      </c>
      <c r="E3510">
        <v>12.38</v>
      </c>
      <c r="F3510">
        <f>COUNTIFS(mdr_rate_cleaned!$A$2:$A$10,B3510,mdr_rate_cleaned!$B$2:$B$10,"&lt;"&amp;C3510,mdr_rate_cleaned!$F$2:$F$10,"&gt;="&amp;C3510)</f>
        <v>1</v>
      </c>
      <c r="G3510">
        <v>1.6E-2</v>
      </c>
      <c r="H3510">
        <v>68.75</v>
      </c>
      <c r="I3510" t="s">
        <v>15</v>
      </c>
      <c r="J3510" t="s">
        <v>15</v>
      </c>
      <c r="K3510">
        <v>12.38</v>
      </c>
      <c r="L3510">
        <v>0</v>
      </c>
    </row>
    <row r="3511" spans="1:12" x14ac:dyDescent="0.3">
      <c r="A3511" t="s">
        <v>3527</v>
      </c>
      <c r="B3511" t="s">
        <v>13</v>
      </c>
      <c r="C3511">
        <v>799</v>
      </c>
      <c r="D3511">
        <v>15.18</v>
      </c>
      <c r="E3511">
        <v>2.73</v>
      </c>
      <c r="F3511">
        <f>COUNTIFS(mdr_rate_cleaned!$A$2:$A$10,B3511,mdr_rate_cleaned!$B$2:$B$10,"&lt;"&amp;C3511,mdr_rate_cleaned!$F$2:$F$10,"&gt;="&amp;C3511)</f>
        <v>1</v>
      </c>
      <c r="G3511">
        <v>1.9E-2</v>
      </c>
      <c r="H3511">
        <v>15.18</v>
      </c>
      <c r="I3511" t="s">
        <v>15</v>
      </c>
      <c r="J3511" t="s">
        <v>15</v>
      </c>
      <c r="K3511">
        <v>2.73</v>
      </c>
      <c r="L3511">
        <v>0</v>
      </c>
    </row>
    <row r="3512" spans="1:12" x14ac:dyDescent="0.3">
      <c r="A3512" t="s">
        <v>3528</v>
      </c>
      <c r="B3512" t="s">
        <v>39</v>
      </c>
      <c r="C3512">
        <v>2298</v>
      </c>
      <c r="D3512">
        <v>27.58</v>
      </c>
      <c r="E3512">
        <v>4.96</v>
      </c>
      <c r="F3512">
        <f>COUNTIFS(mdr_rate_cleaned!$A$2:$A$10,B3512,mdr_rate_cleaned!$B$2:$B$10,"&lt;"&amp;C3512,mdr_rate_cleaned!$F$2:$F$10,"&gt;="&amp;C3512)</f>
        <v>1</v>
      </c>
      <c r="G3512">
        <v>1.2E-2</v>
      </c>
      <c r="H3512">
        <v>27.58</v>
      </c>
      <c r="I3512" t="s">
        <v>15</v>
      </c>
      <c r="J3512" t="s">
        <v>15</v>
      </c>
      <c r="K3512">
        <v>4.96</v>
      </c>
      <c r="L3512">
        <v>0</v>
      </c>
    </row>
    <row r="3513" spans="1:12" x14ac:dyDescent="0.3">
      <c r="A3513" t="s">
        <v>3529</v>
      </c>
      <c r="B3513" t="s">
        <v>21</v>
      </c>
      <c r="C3513">
        <v>5347</v>
      </c>
      <c r="D3513">
        <v>16.04</v>
      </c>
      <c r="E3513">
        <v>2.89</v>
      </c>
      <c r="F3513">
        <f>COUNTIFS(mdr_rate_cleaned!$A$2:$A$10,B3513,mdr_rate_cleaned!$B$2:$B$10,"&lt;"&amp;C3513,mdr_rate_cleaned!$F$2:$F$10,"&gt;="&amp;C3513)</f>
        <v>1</v>
      </c>
      <c r="G3513">
        <v>3.0000000000000001E-3</v>
      </c>
      <c r="H3513">
        <v>16.04</v>
      </c>
      <c r="I3513" t="s">
        <v>15</v>
      </c>
      <c r="J3513" t="s">
        <v>15</v>
      </c>
      <c r="K3513">
        <v>2.89</v>
      </c>
      <c r="L3513">
        <v>0</v>
      </c>
    </row>
    <row r="3514" spans="1:12" x14ac:dyDescent="0.3">
      <c r="A3514" t="s">
        <v>3530</v>
      </c>
      <c r="B3514" t="s">
        <v>17</v>
      </c>
      <c r="C3514">
        <v>3297</v>
      </c>
      <c r="D3514">
        <v>52.75</v>
      </c>
      <c r="E3514">
        <v>9.5</v>
      </c>
      <c r="F3514">
        <f>COUNTIFS(mdr_rate_cleaned!$A$2:$A$10,B3514,mdr_rate_cleaned!$B$2:$B$10,"&lt;"&amp;C3514,mdr_rate_cleaned!$F$2:$F$10,"&gt;="&amp;C3514)</f>
        <v>1</v>
      </c>
      <c r="G3514">
        <v>1.6E-2</v>
      </c>
      <c r="H3514">
        <v>52.75</v>
      </c>
      <c r="I3514" t="s">
        <v>15</v>
      </c>
      <c r="J3514" t="s">
        <v>15</v>
      </c>
      <c r="K3514">
        <v>9.5</v>
      </c>
      <c r="L3514">
        <v>0</v>
      </c>
    </row>
    <row r="3515" spans="1:12" x14ac:dyDescent="0.3">
      <c r="A3515" t="s">
        <v>3531</v>
      </c>
      <c r="B3515" t="s">
        <v>21</v>
      </c>
      <c r="C3515">
        <v>499</v>
      </c>
      <c r="D3515">
        <v>1.5</v>
      </c>
      <c r="E3515">
        <v>0.27</v>
      </c>
      <c r="F3515">
        <f>COUNTIFS(mdr_rate_cleaned!$A$2:$A$10,B3515,mdr_rate_cleaned!$B$2:$B$10,"&lt;"&amp;C3515,mdr_rate_cleaned!$F$2:$F$10,"&gt;="&amp;C3515)</f>
        <v>1</v>
      </c>
      <c r="G3515">
        <v>0</v>
      </c>
      <c r="H3515">
        <v>0</v>
      </c>
      <c r="I3515" t="s">
        <v>14</v>
      </c>
      <c r="J3515" t="s">
        <v>15</v>
      </c>
      <c r="K3515">
        <v>0</v>
      </c>
      <c r="L3515">
        <v>1.77</v>
      </c>
    </row>
    <row r="3516" spans="1:12" x14ac:dyDescent="0.3">
      <c r="A3516" t="s">
        <v>3532</v>
      </c>
      <c r="B3516" t="s">
        <v>21</v>
      </c>
      <c r="C3516">
        <v>6797</v>
      </c>
      <c r="D3516">
        <v>20.39</v>
      </c>
      <c r="E3516">
        <v>3.67</v>
      </c>
      <c r="F3516">
        <f>COUNTIFS(mdr_rate_cleaned!$A$2:$A$10,B3516,mdr_rate_cleaned!$B$2:$B$10,"&lt;"&amp;C3516,mdr_rate_cleaned!$F$2:$F$10,"&gt;="&amp;C3516)</f>
        <v>1</v>
      </c>
      <c r="G3516">
        <v>3.0000000000000001E-3</v>
      </c>
      <c r="H3516">
        <v>20.39</v>
      </c>
      <c r="I3516" t="s">
        <v>15</v>
      </c>
      <c r="J3516" t="s">
        <v>15</v>
      </c>
      <c r="K3516">
        <v>3.67</v>
      </c>
      <c r="L3516">
        <v>0</v>
      </c>
    </row>
    <row r="3517" spans="1:12" x14ac:dyDescent="0.3">
      <c r="A3517" t="s">
        <v>3533</v>
      </c>
      <c r="B3517" t="s">
        <v>13</v>
      </c>
      <c r="C3517">
        <v>7999</v>
      </c>
      <c r="D3517">
        <v>135.97999999999999</v>
      </c>
      <c r="E3517">
        <v>24.48</v>
      </c>
      <c r="F3517">
        <f>COUNTIFS(mdr_rate_cleaned!$A$2:$A$10,B3517,mdr_rate_cleaned!$B$2:$B$10,"&lt;"&amp;C3517,mdr_rate_cleaned!$F$2:$F$10,"&gt;="&amp;C3517)</f>
        <v>1</v>
      </c>
      <c r="G3517">
        <v>1.7000000000000001E-2</v>
      </c>
      <c r="H3517">
        <v>135.97999999999999</v>
      </c>
      <c r="I3517" t="s">
        <v>15</v>
      </c>
      <c r="J3517" t="s">
        <v>15</v>
      </c>
      <c r="K3517">
        <v>24.48</v>
      </c>
      <c r="L3517">
        <v>0</v>
      </c>
    </row>
    <row r="3518" spans="1:12" x14ac:dyDescent="0.3">
      <c r="A3518" t="s">
        <v>3534</v>
      </c>
      <c r="B3518" t="s">
        <v>21</v>
      </c>
      <c r="C3518">
        <v>1299</v>
      </c>
      <c r="D3518">
        <v>0</v>
      </c>
      <c r="E3518">
        <v>0</v>
      </c>
      <c r="F3518">
        <f>COUNTIFS(mdr_rate_cleaned!$A$2:$A$10,B3518,mdr_rate_cleaned!$B$2:$B$10,"&lt;"&amp;C3518,mdr_rate_cleaned!$F$2:$F$10,"&gt;="&amp;C3518)</f>
        <v>1</v>
      </c>
      <c r="G3518">
        <v>0</v>
      </c>
      <c r="H3518">
        <v>0</v>
      </c>
      <c r="I3518" t="s">
        <v>15</v>
      </c>
      <c r="J3518" t="s">
        <v>15</v>
      </c>
      <c r="K3518">
        <v>0</v>
      </c>
      <c r="L3518">
        <v>0</v>
      </c>
    </row>
    <row r="3519" spans="1:12" x14ac:dyDescent="0.3">
      <c r="A3519" t="s">
        <v>3535</v>
      </c>
      <c r="B3519" t="s">
        <v>39</v>
      </c>
      <c r="C3519">
        <v>5998</v>
      </c>
      <c r="D3519">
        <v>71.98</v>
      </c>
      <c r="E3519">
        <v>12.96</v>
      </c>
      <c r="F3519">
        <f>COUNTIFS(mdr_rate_cleaned!$A$2:$A$10,B3519,mdr_rate_cleaned!$B$2:$B$10,"&lt;"&amp;C3519,mdr_rate_cleaned!$F$2:$F$10,"&gt;="&amp;C3519)</f>
        <v>1</v>
      </c>
      <c r="G3519">
        <v>1.2E-2</v>
      </c>
      <c r="H3519">
        <v>71.98</v>
      </c>
      <c r="I3519" t="s">
        <v>15</v>
      </c>
      <c r="J3519" t="s">
        <v>15</v>
      </c>
      <c r="K3519">
        <v>12.96</v>
      </c>
      <c r="L3519">
        <v>0</v>
      </c>
    </row>
    <row r="3520" spans="1:12" x14ac:dyDescent="0.3">
      <c r="A3520" t="s">
        <v>3536</v>
      </c>
      <c r="B3520" t="s">
        <v>21</v>
      </c>
      <c r="C3520">
        <v>598</v>
      </c>
      <c r="D3520">
        <v>0</v>
      </c>
      <c r="E3520">
        <v>0</v>
      </c>
      <c r="F3520">
        <f>COUNTIFS(mdr_rate_cleaned!$A$2:$A$10,B3520,mdr_rate_cleaned!$B$2:$B$10,"&lt;"&amp;C3520,mdr_rate_cleaned!$F$2:$F$10,"&gt;="&amp;C3520)</f>
        <v>1</v>
      </c>
      <c r="G3520">
        <v>0</v>
      </c>
      <c r="H3520">
        <v>0</v>
      </c>
      <c r="I3520" t="s">
        <v>15</v>
      </c>
      <c r="J3520" t="s">
        <v>15</v>
      </c>
      <c r="K3520">
        <v>0</v>
      </c>
      <c r="L3520">
        <v>0</v>
      </c>
    </row>
    <row r="3521" spans="1:12" x14ac:dyDescent="0.3">
      <c r="A3521" t="s">
        <v>3537</v>
      </c>
      <c r="B3521" t="s">
        <v>17</v>
      </c>
      <c r="C3521">
        <v>3298</v>
      </c>
      <c r="D3521">
        <v>52.77</v>
      </c>
      <c r="E3521">
        <v>9.5</v>
      </c>
      <c r="F3521">
        <f>COUNTIFS(mdr_rate_cleaned!$A$2:$A$10,B3521,mdr_rate_cleaned!$B$2:$B$10,"&lt;"&amp;C3521,mdr_rate_cleaned!$F$2:$F$10,"&gt;="&amp;C3521)</f>
        <v>1</v>
      </c>
      <c r="G3521">
        <v>1.6E-2</v>
      </c>
      <c r="H3521">
        <v>52.77</v>
      </c>
      <c r="I3521" t="s">
        <v>15</v>
      </c>
      <c r="J3521" t="s">
        <v>15</v>
      </c>
      <c r="K3521">
        <v>9.5</v>
      </c>
      <c r="L3521">
        <v>0</v>
      </c>
    </row>
    <row r="3522" spans="1:12" x14ac:dyDescent="0.3">
      <c r="A3522" t="s">
        <v>3538</v>
      </c>
      <c r="B3522" t="s">
        <v>39</v>
      </c>
      <c r="C3522">
        <v>949</v>
      </c>
      <c r="D3522">
        <v>14.24</v>
      </c>
      <c r="E3522">
        <v>2.56</v>
      </c>
      <c r="F3522">
        <f>COUNTIFS(mdr_rate_cleaned!$A$2:$A$10,B3522,mdr_rate_cleaned!$B$2:$B$10,"&lt;"&amp;C3522,mdr_rate_cleaned!$F$2:$F$10,"&gt;="&amp;C3522)</f>
        <v>1</v>
      </c>
      <c r="G3522">
        <v>1.4999999999999999E-2</v>
      </c>
      <c r="H3522">
        <v>14.24</v>
      </c>
      <c r="I3522" t="s">
        <v>15</v>
      </c>
      <c r="J3522" t="s">
        <v>15</v>
      </c>
      <c r="K3522">
        <v>2.56</v>
      </c>
      <c r="L3522">
        <v>0</v>
      </c>
    </row>
    <row r="3523" spans="1:12" x14ac:dyDescent="0.3">
      <c r="A3523" t="s">
        <v>3539</v>
      </c>
      <c r="B3523" t="s">
        <v>21</v>
      </c>
      <c r="C3523">
        <v>3499</v>
      </c>
      <c r="D3523">
        <v>10.5</v>
      </c>
      <c r="E3523">
        <v>1.89</v>
      </c>
      <c r="F3523">
        <f>COUNTIFS(mdr_rate_cleaned!$A$2:$A$10,B3523,mdr_rate_cleaned!$B$2:$B$10,"&lt;"&amp;C3523,mdr_rate_cleaned!$F$2:$F$10,"&gt;="&amp;C3523)</f>
        <v>1</v>
      </c>
      <c r="G3523">
        <v>3.0000000000000001E-3</v>
      </c>
      <c r="H3523">
        <v>10.5</v>
      </c>
      <c r="I3523" t="s">
        <v>15</v>
      </c>
      <c r="J3523" t="s">
        <v>15</v>
      </c>
      <c r="K3523">
        <v>1.89</v>
      </c>
      <c r="L3523">
        <v>0</v>
      </c>
    </row>
    <row r="3524" spans="1:12" x14ac:dyDescent="0.3">
      <c r="A3524" t="s">
        <v>3540</v>
      </c>
      <c r="B3524" t="s">
        <v>21</v>
      </c>
      <c r="C3524">
        <v>3498</v>
      </c>
      <c r="D3524">
        <v>10.49</v>
      </c>
      <c r="E3524">
        <v>1.89</v>
      </c>
      <c r="F3524">
        <f>COUNTIFS(mdr_rate_cleaned!$A$2:$A$10,B3524,mdr_rate_cleaned!$B$2:$B$10,"&lt;"&amp;C3524,mdr_rate_cleaned!$F$2:$F$10,"&gt;="&amp;C3524)</f>
        <v>1</v>
      </c>
      <c r="G3524">
        <v>3.0000000000000001E-3</v>
      </c>
      <c r="H3524">
        <v>10.49</v>
      </c>
      <c r="I3524" t="s">
        <v>15</v>
      </c>
      <c r="J3524" t="s">
        <v>15</v>
      </c>
      <c r="K3524">
        <v>1.89</v>
      </c>
      <c r="L3524">
        <v>0</v>
      </c>
    </row>
    <row r="3525" spans="1:12" x14ac:dyDescent="0.3">
      <c r="A3525" t="s">
        <v>3541</v>
      </c>
      <c r="B3525" t="s">
        <v>21</v>
      </c>
      <c r="C3525">
        <v>349</v>
      </c>
      <c r="D3525">
        <v>0</v>
      </c>
      <c r="E3525">
        <v>0</v>
      </c>
      <c r="F3525">
        <f>COUNTIFS(mdr_rate_cleaned!$A$2:$A$10,B3525,mdr_rate_cleaned!$B$2:$B$10,"&lt;"&amp;C3525,mdr_rate_cleaned!$F$2:$F$10,"&gt;="&amp;C3525)</f>
        <v>1</v>
      </c>
      <c r="G3525">
        <v>0</v>
      </c>
      <c r="H3525">
        <v>0</v>
      </c>
      <c r="I3525" t="s">
        <v>15</v>
      </c>
      <c r="J3525" t="s">
        <v>15</v>
      </c>
      <c r="K3525">
        <v>0</v>
      </c>
      <c r="L3525">
        <v>0</v>
      </c>
    </row>
    <row r="3526" spans="1:12" x14ac:dyDescent="0.3">
      <c r="A3526" t="s">
        <v>3542</v>
      </c>
      <c r="B3526" t="s">
        <v>21</v>
      </c>
      <c r="C3526">
        <v>499</v>
      </c>
      <c r="D3526">
        <v>0</v>
      </c>
      <c r="E3526">
        <v>0</v>
      </c>
      <c r="F3526">
        <f>COUNTIFS(mdr_rate_cleaned!$A$2:$A$10,B3526,mdr_rate_cleaned!$B$2:$B$10,"&lt;"&amp;C3526,mdr_rate_cleaned!$F$2:$F$10,"&gt;="&amp;C3526)</f>
        <v>1</v>
      </c>
      <c r="G3526">
        <v>0</v>
      </c>
      <c r="H3526">
        <v>0</v>
      </c>
      <c r="I3526" t="s">
        <v>15</v>
      </c>
      <c r="J3526" t="s">
        <v>15</v>
      </c>
      <c r="K3526">
        <v>0</v>
      </c>
      <c r="L3526">
        <v>0</v>
      </c>
    </row>
    <row r="3527" spans="1:12" x14ac:dyDescent="0.3">
      <c r="A3527" t="s">
        <v>3543</v>
      </c>
      <c r="B3527" t="s">
        <v>21</v>
      </c>
      <c r="C3527">
        <v>1298</v>
      </c>
      <c r="D3527">
        <v>0</v>
      </c>
      <c r="E3527">
        <v>0</v>
      </c>
      <c r="F3527">
        <f>COUNTIFS(mdr_rate_cleaned!$A$2:$A$10,B3527,mdr_rate_cleaned!$B$2:$B$10,"&lt;"&amp;C3527,mdr_rate_cleaned!$F$2:$F$10,"&gt;="&amp;C3527)</f>
        <v>1</v>
      </c>
      <c r="G3527">
        <v>0</v>
      </c>
      <c r="H3527">
        <v>0</v>
      </c>
      <c r="I3527" t="s">
        <v>15</v>
      </c>
      <c r="J3527" t="s">
        <v>15</v>
      </c>
      <c r="K3527">
        <v>0</v>
      </c>
      <c r="L3527">
        <v>0</v>
      </c>
    </row>
    <row r="3528" spans="1:12" x14ac:dyDescent="0.3">
      <c r="A3528" t="s">
        <v>3544</v>
      </c>
      <c r="B3528" t="s">
        <v>39</v>
      </c>
      <c r="C3528">
        <v>8797</v>
      </c>
      <c r="D3528">
        <v>105.56</v>
      </c>
      <c r="E3528">
        <v>19</v>
      </c>
      <c r="F3528">
        <f>COUNTIFS(mdr_rate_cleaned!$A$2:$A$10,B3528,mdr_rate_cleaned!$B$2:$B$10,"&lt;"&amp;C3528,mdr_rate_cleaned!$F$2:$F$10,"&gt;="&amp;C3528)</f>
        <v>1</v>
      </c>
      <c r="G3528">
        <v>1.2E-2</v>
      </c>
      <c r="H3528">
        <v>105.56</v>
      </c>
      <c r="I3528" t="s">
        <v>15</v>
      </c>
      <c r="J3528" t="s">
        <v>15</v>
      </c>
      <c r="K3528">
        <v>19</v>
      </c>
      <c r="L3528">
        <v>0</v>
      </c>
    </row>
    <row r="3529" spans="1:12" x14ac:dyDescent="0.3">
      <c r="A3529" t="s">
        <v>3545</v>
      </c>
      <c r="B3529" t="s">
        <v>39</v>
      </c>
      <c r="C3529">
        <v>999</v>
      </c>
      <c r="D3529">
        <v>14.99</v>
      </c>
      <c r="E3529">
        <v>2.7</v>
      </c>
      <c r="F3529">
        <f>COUNTIFS(mdr_rate_cleaned!$A$2:$A$10,B3529,mdr_rate_cleaned!$B$2:$B$10,"&lt;"&amp;C3529,mdr_rate_cleaned!$F$2:$F$10,"&gt;="&amp;C3529)</f>
        <v>1</v>
      </c>
      <c r="G3529">
        <v>1.4999999999999999E-2</v>
      </c>
      <c r="H3529">
        <v>14.99</v>
      </c>
      <c r="I3529" t="s">
        <v>15</v>
      </c>
      <c r="J3529" t="s">
        <v>15</v>
      </c>
      <c r="K3529">
        <v>2.7</v>
      </c>
      <c r="L3529">
        <v>0</v>
      </c>
    </row>
    <row r="3530" spans="1:12" x14ac:dyDescent="0.3">
      <c r="A3530" t="s">
        <v>3546</v>
      </c>
      <c r="B3530" t="s">
        <v>17</v>
      </c>
      <c r="C3530">
        <v>2098</v>
      </c>
      <c r="D3530">
        <v>33.57</v>
      </c>
      <c r="E3530">
        <v>6.04</v>
      </c>
      <c r="F3530">
        <f>COUNTIFS(mdr_rate_cleaned!$A$2:$A$10,B3530,mdr_rate_cleaned!$B$2:$B$10,"&lt;"&amp;C3530,mdr_rate_cleaned!$F$2:$F$10,"&gt;="&amp;C3530)</f>
        <v>1</v>
      </c>
      <c r="G3530">
        <v>1.6E-2</v>
      </c>
      <c r="H3530">
        <v>33.57</v>
      </c>
      <c r="I3530" t="s">
        <v>15</v>
      </c>
      <c r="J3530" t="s">
        <v>15</v>
      </c>
      <c r="K3530">
        <v>6.04</v>
      </c>
      <c r="L3530">
        <v>0</v>
      </c>
    </row>
    <row r="3531" spans="1:12" x14ac:dyDescent="0.3">
      <c r="A3531" t="s">
        <v>3547</v>
      </c>
      <c r="B3531" t="s">
        <v>21</v>
      </c>
      <c r="C3531">
        <v>1799</v>
      </c>
      <c r="D3531">
        <v>0</v>
      </c>
      <c r="E3531">
        <v>0</v>
      </c>
      <c r="F3531">
        <f>COUNTIFS(mdr_rate_cleaned!$A$2:$A$10,B3531,mdr_rate_cleaned!$B$2:$B$10,"&lt;"&amp;C3531,mdr_rate_cleaned!$F$2:$F$10,"&gt;="&amp;C3531)</f>
        <v>1</v>
      </c>
      <c r="G3531">
        <v>0</v>
      </c>
      <c r="H3531">
        <v>0</v>
      </c>
      <c r="I3531" t="s">
        <v>15</v>
      </c>
      <c r="J3531" t="s">
        <v>15</v>
      </c>
      <c r="K3531">
        <v>0</v>
      </c>
      <c r="L3531">
        <v>0</v>
      </c>
    </row>
    <row r="3532" spans="1:12" x14ac:dyDescent="0.3">
      <c r="A3532" t="s">
        <v>3548</v>
      </c>
      <c r="B3532" t="s">
        <v>21</v>
      </c>
      <c r="C3532">
        <v>1898</v>
      </c>
      <c r="D3532">
        <v>0</v>
      </c>
      <c r="E3532">
        <v>0</v>
      </c>
      <c r="F3532">
        <f>COUNTIFS(mdr_rate_cleaned!$A$2:$A$10,B3532,mdr_rate_cleaned!$B$2:$B$10,"&lt;"&amp;C3532,mdr_rate_cleaned!$F$2:$F$10,"&gt;="&amp;C3532)</f>
        <v>1</v>
      </c>
      <c r="G3532">
        <v>0</v>
      </c>
      <c r="H3532">
        <v>0</v>
      </c>
      <c r="I3532" t="s">
        <v>15</v>
      </c>
      <c r="J3532" t="s">
        <v>15</v>
      </c>
      <c r="K3532">
        <v>0</v>
      </c>
      <c r="L3532">
        <v>0</v>
      </c>
    </row>
    <row r="3533" spans="1:12" x14ac:dyDescent="0.3">
      <c r="A3533" t="s">
        <v>3549</v>
      </c>
      <c r="B3533" t="s">
        <v>17</v>
      </c>
      <c r="C3533">
        <v>1799</v>
      </c>
      <c r="D3533">
        <v>32.380000000000003</v>
      </c>
      <c r="E3533">
        <v>5.83</v>
      </c>
      <c r="F3533">
        <f>COUNTIFS(mdr_rate_cleaned!$A$2:$A$10,B3533,mdr_rate_cleaned!$B$2:$B$10,"&lt;"&amp;C3533,mdr_rate_cleaned!$F$2:$F$10,"&gt;="&amp;C3533)</f>
        <v>1</v>
      </c>
      <c r="G3533">
        <v>1.7999999999999999E-2</v>
      </c>
      <c r="H3533">
        <v>32.380000000000003</v>
      </c>
      <c r="I3533" t="s">
        <v>15</v>
      </c>
      <c r="J3533" t="s">
        <v>15</v>
      </c>
      <c r="K3533">
        <v>5.83</v>
      </c>
      <c r="L3533">
        <v>0</v>
      </c>
    </row>
    <row r="3534" spans="1:12" x14ac:dyDescent="0.3">
      <c r="A3534" t="s">
        <v>3550</v>
      </c>
      <c r="B3534" t="s">
        <v>17</v>
      </c>
      <c r="C3534">
        <v>499</v>
      </c>
      <c r="D3534">
        <v>8.98</v>
      </c>
      <c r="E3534">
        <v>1.62</v>
      </c>
      <c r="F3534">
        <f>COUNTIFS(mdr_rate_cleaned!$A$2:$A$10,B3534,mdr_rate_cleaned!$B$2:$B$10,"&lt;"&amp;C3534,mdr_rate_cleaned!$F$2:$F$10,"&gt;="&amp;C3534)</f>
        <v>1</v>
      </c>
      <c r="G3534">
        <v>1.7999999999999999E-2</v>
      </c>
      <c r="H3534">
        <v>8.98</v>
      </c>
      <c r="I3534" t="s">
        <v>15</v>
      </c>
      <c r="J3534" t="s">
        <v>15</v>
      </c>
      <c r="K3534">
        <v>1.62</v>
      </c>
      <c r="L3534">
        <v>0</v>
      </c>
    </row>
    <row r="3535" spans="1:12" x14ac:dyDescent="0.3">
      <c r="A3535" t="s">
        <v>3551</v>
      </c>
      <c r="B3535" t="s">
        <v>13</v>
      </c>
      <c r="C3535">
        <v>299</v>
      </c>
      <c r="D3535">
        <v>5.68</v>
      </c>
      <c r="E3535">
        <v>1.02</v>
      </c>
      <c r="F3535">
        <f>COUNTIFS(mdr_rate_cleaned!$A$2:$A$10,B3535,mdr_rate_cleaned!$B$2:$B$10,"&lt;"&amp;C3535,mdr_rate_cleaned!$F$2:$F$10,"&gt;="&amp;C3535)</f>
        <v>1</v>
      </c>
      <c r="G3535">
        <v>1.9E-2</v>
      </c>
      <c r="H3535">
        <v>5.68</v>
      </c>
      <c r="I3535" t="s">
        <v>15</v>
      </c>
      <c r="J3535" t="s">
        <v>15</v>
      </c>
      <c r="K3535">
        <v>1.02</v>
      </c>
      <c r="L3535">
        <v>0</v>
      </c>
    </row>
    <row r="3536" spans="1:12" x14ac:dyDescent="0.3">
      <c r="A3536" t="s">
        <v>3552</v>
      </c>
      <c r="B3536" t="s">
        <v>17</v>
      </c>
      <c r="C3536">
        <v>448</v>
      </c>
      <c r="D3536">
        <v>8.06</v>
      </c>
      <c r="E3536">
        <v>1.45</v>
      </c>
      <c r="F3536">
        <f>COUNTIFS(mdr_rate_cleaned!$A$2:$A$10,B3536,mdr_rate_cleaned!$B$2:$B$10,"&lt;"&amp;C3536,mdr_rate_cleaned!$F$2:$F$10,"&gt;="&amp;C3536)</f>
        <v>1</v>
      </c>
      <c r="G3536">
        <v>1.7999999999999999E-2</v>
      </c>
      <c r="H3536">
        <v>8.06</v>
      </c>
      <c r="I3536" t="s">
        <v>15</v>
      </c>
      <c r="J3536" t="s">
        <v>15</v>
      </c>
      <c r="K3536">
        <v>1.45</v>
      </c>
      <c r="L3536">
        <v>0</v>
      </c>
    </row>
    <row r="3537" spans="1:12" x14ac:dyDescent="0.3">
      <c r="A3537" t="s">
        <v>3553</v>
      </c>
      <c r="B3537" t="s">
        <v>17</v>
      </c>
      <c r="C3537">
        <v>8797</v>
      </c>
      <c r="D3537">
        <v>140.75</v>
      </c>
      <c r="E3537">
        <v>25.34</v>
      </c>
      <c r="F3537">
        <f>COUNTIFS(mdr_rate_cleaned!$A$2:$A$10,B3537,mdr_rate_cleaned!$B$2:$B$10,"&lt;"&amp;C3537,mdr_rate_cleaned!$F$2:$F$10,"&gt;="&amp;C3537)</f>
        <v>1</v>
      </c>
      <c r="G3537">
        <v>1.6E-2</v>
      </c>
      <c r="H3537">
        <v>140.75</v>
      </c>
      <c r="I3537" t="s">
        <v>15</v>
      </c>
      <c r="J3537" t="s">
        <v>15</v>
      </c>
      <c r="K3537">
        <v>25.34</v>
      </c>
      <c r="L3537">
        <v>0</v>
      </c>
    </row>
    <row r="3538" spans="1:12" x14ac:dyDescent="0.3">
      <c r="A3538" t="s">
        <v>3554</v>
      </c>
      <c r="B3538" t="s">
        <v>21</v>
      </c>
      <c r="C3538">
        <v>1799</v>
      </c>
      <c r="D3538">
        <v>0</v>
      </c>
      <c r="E3538">
        <v>0</v>
      </c>
      <c r="F3538">
        <f>COUNTIFS(mdr_rate_cleaned!$A$2:$A$10,B3538,mdr_rate_cleaned!$B$2:$B$10,"&lt;"&amp;C3538,mdr_rate_cleaned!$F$2:$F$10,"&gt;="&amp;C3538)</f>
        <v>1</v>
      </c>
      <c r="G3538">
        <v>0</v>
      </c>
      <c r="H3538">
        <v>0</v>
      </c>
      <c r="I3538" t="s">
        <v>15</v>
      </c>
      <c r="J3538" t="s">
        <v>15</v>
      </c>
      <c r="K3538">
        <v>0</v>
      </c>
      <c r="L3538">
        <v>0</v>
      </c>
    </row>
    <row r="3539" spans="1:12" x14ac:dyDescent="0.3">
      <c r="A3539" t="s">
        <v>3555</v>
      </c>
      <c r="B3539" t="s">
        <v>21</v>
      </c>
      <c r="C3539">
        <v>1499</v>
      </c>
      <c r="D3539">
        <v>0</v>
      </c>
      <c r="E3539">
        <v>0</v>
      </c>
      <c r="F3539">
        <f>COUNTIFS(mdr_rate_cleaned!$A$2:$A$10,B3539,mdr_rate_cleaned!$B$2:$B$10,"&lt;"&amp;C3539,mdr_rate_cleaned!$F$2:$F$10,"&gt;="&amp;C3539)</f>
        <v>1</v>
      </c>
      <c r="G3539">
        <v>0</v>
      </c>
      <c r="H3539">
        <v>0</v>
      </c>
      <c r="I3539" t="s">
        <v>15</v>
      </c>
      <c r="J3539" t="s">
        <v>15</v>
      </c>
      <c r="K3539">
        <v>0</v>
      </c>
      <c r="L3539">
        <v>0</v>
      </c>
    </row>
    <row r="3540" spans="1:12" x14ac:dyDescent="0.3">
      <c r="A3540" t="s">
        <v>3556</v>
      </c>
      <c r="B3540" t="s">
        <v>21</v>
      </c>
      <c r="C3540">
        <v>1799</v>
      </c>
      <c r="D3540">
        <v>0</v>
      </c>
      <c r="E3540">
        <v>0</v>
      </c>
      <c r="F3540">
        <f>COUNTIFS(mdr_rate_cleaned!$A$2:$A$10,B3540,mdr_rate_cleaned!$B$2:$B$10,"&lt;"&amp;C3540,mdr_rate_cleaned!$F$2:$F$10,"&gt;="&amp;C3540)</f>
        <v>1</v>
      </c>
      <c r="G3540">
        <v>0</v>
      </c>
      <c r="H3540">
        <v>0</v>
      </c>
      <c r="I3540" t="s">
        <v>15</v>
      </c>
      <c r="J3540" t="s">
        <v>15</v>
      </c>
      <c r="K3540">
        <v>0</v>
      </c>
      <c r="L3540">
        <v>0</v>
      </c>
    </row>
    <row r="3541" spans="1:12" x14ac:dyDescent="0.3">
      <c r="A3541" t="s">
        <v>3557</v>
      </c>
      <c r="B3541" t="s">
        <v>21</v>
      </c>
      <c r="C3541">
        <v>1498</v>
      </c>
      <c r="D3541">
        <v>0</v>
      </c>
      <c r="E3541">
        <v>0</v>
      </c>
      <c r="F3541">
        <f>COUNTIFS(mdr_rate_cleaned!$A$2:$A$10,B3541,mdr_rate_cleaned!$B$2:$B$10,"&lt;"&amp;C3541,mdr_rate_cleaned!$F$2:$F$10,"&gt;="&amp;C3541)</f>
        <v>1</v>
      </c>
      <c r="G3541">
        <v>0</v>
      </c>
      <c r="H3541">
        <v>0</v>
      </c>
      <c r="I3541" t="s">
        <v>15</v>
      </c>
      <c r="J3541" t="s">
        <v>15</v>
      </c>
      <c r="K3541">
        <v>0</v>
      </c>
      <c r="L3541">
        <v>0</v>
      </c>
    </row>
    <row r="3542" spans="1:12" x14ac:dyDescent="0.3">
      <c r="A3542" t="s">
        <v>3558</v>
      </c>
      <c r="B3542" t="s">
        <v>13</v>
      </c>
      <c r="C3542">
        <v>1499</v>
      </c>
      <c r="D3542">
        <v>28.48</v>
      </c>
      <c r="E3542">
        <v>5.13</v>
      </c>
      <c r="F3542">
        <f>COUNTIFS(mdr_rate_cleaned!$A$2:$A$10,B3542,mdr_rate_cleaned!$B$2:$B$10,"&lt;"&amp;C3542,mdr_rate_cleaned!$F$2:$F$10,"&gt;="&amp;C3542)</f>
        <v>1</v>
      </c>
      <c r="G3542">
        <v>1.9E-2</v>
      </c>
      <c r="H3542">
        <v>28.48</v>
      </c>
      <c r="I3542" t="s">
        <v>15</v>
      </c>
      <c r="J3542" t="s">
        <v>15</v>
      </c>
      <c r="K3542">
        <v>5.13</v>
      </c>
      <c r="L3542">
        <v>0</v>
      </c>
    </row>
    <row r="3543" spans="1:12" x14ac:dyDescent="0.3">
      <c r="A3543" t="s">
        <v>3559</v>
      </c>
      <c r="B3543" t="s">
        <v>17</v>
      </c>
      <c r="C3543">
        <v>6298</v>
      </c>
      <c r="D3543">
        <v>100.77</v>
      </c>
      <c r="E3543">
        <v>18.14</v>
      </c>
      <c r="F3543">
        <f>COUNTIFS(mdr_rate_cleaned!$A$2:$A$10,B3543,mdr_rate_cleaned!$B$2:$B$10,"&lt;"&amp;C3543,mdr_rate_cleaned!$F$2:$F$10,"&gt;="&amp;C3543)</f>
        <v>1</v>
      </c>
      <c r="G3543">
        <v>1.6E-2</v>
      </c>
      <c r="H3543">
        <v>100.77</v>
      </c>
      <c r="I3543" t="s">
        <v>15</v>
      </c>
      <c r="J3543" t="s">
        <v>15</v>
      </c>
      <c r="K3543">
        <v>18.14</v>
      </c>
      <c r="L3543">
        <v>0</v>
      </c>
    </row>
    <row r="3544" spans="1:12" x14ac:dyDescent="0.3">
      <c r="A3544" t="s">
        <v>3560</v>
      </c>
      <c r="B3544" t="s">
        <v>17</v>
      </c>
      <c r="C3544">
        <v>2798</v>
      </c>
      <c r="D3544">
        <v>44.77</v>
      </c>
      <c r="E3544">
        <v>8.06</v>
      </c>
      <c r="F3544">
        <f>COUNTIFS(mdr_rate_cleaned!$A$2:$A$10,B3544,mdr_rate_cleaned!$B$2:$B$10,"&lt;"&amp;C3544,mdr_rate_cleaned!$F$2:$F$10,"&gt;="&amp;C3544)</f>
        <v>1</v>
      </c>
      <c r="G3544">
        <v>1.6E-2</v>
      </c>
      <c r="H3544">
        <v>44.77</v>
      </c>
      <c r="I3544" t="s">
        <v>15</v>
      </c>
      <c r="J3544" t="s">
        <v>15</v>
      </c>
      <c r="K3544">
        <v>8.06</v>
      </c>
      <c r="L3544">
        <v>0</v>
      </c>
    </row>
    <row r="3545" spans="1:12" x14ac:dyDescent="0.3">
      <c r="A3545" t="s">
        <v>3561</v>
      </c>
      <c r="B3545" t="s">
        <v>21</v>
      </c>
      <c r="C3545">
        <v>2998</v>
      </c>
      <c r="D3545">
        <v>8.99</v>
      </c>
      <c r="E3545">
        <v>1.62</v>
      </c>
      <c r="F3545">
        <f>COUNTIFS(mdr_rate_cleaned!$A$2:$A$10,B3545,mdr_rate_cleaned!$B$2:$B$10,"&lt;"&amp;C3545,mdr_rate_cleaned!$F$2:$F$10,"&gt;="&amp;C3545)</f>
        <v>1</v>
      </c>
      <c r="G3545">
        <v>3.0000000000000001E-3</v>
      </c>
      <c r="H3545">
        <v>8.99</v>
      </c>
      <c r="I3545" t="s">
        <v>15</v>
      </c>
      <c r="J3545" t="s">
        <v>15</v>
      </c>
      <c r="K3545">
        <v>1.62</v>
      </c>
      <c r="L3545">
        <v>0</v>
      </c>
    </row>
    <row r="3546" spans="1:12" x14ac:dyDescent="0.3">
      <c r="A3546" t="s">
        <v>3562</v>
      </c>
      <c r="B3546" t="s">
        <v>21</v>
      </c>
      <c r="C3546">
        <v>499</v>
      </c>
      <c r="D3546">
        <v>0</v>
      </c>
      <c r="E3546">
        <v>0</v>
      </c>
      <c r="F3546">
        <f>COUNTIFS(mdr_rate_cleaned!$A$2:$A$10,B3546,mdr_rate_cleaned!$B$2:$B$10,"&lt;"&amp;C3546,mdr_rate_cleaned!$F$2:$F$10,"&gt;="&amp;C3546)</f>
        <v>1</v>
      </c>
      <c r="G3546">
        <v>0</v>
      </c>
      <c r="H3546">
        <v>0</v>
      </c>
      <c r="I3546" t="s">
        <v>15</v>
      </c>
      <c r="J3546" t="s">
        <v>15</v>
      </c>
      <c r="K3546">
        <v>0</v>
      </c>
      <c r="L3546">
        <v>0</v>
      </c>
    </row>
    <row r="3547" spans="1:12" x14ac:dyDescent="0.3">
      <c r="A3547" t="s">
        <v>3563</v>
      </c>
      <c r="B3547" t="s">
        <v>21</v>
      </c>
      <c r="C3547">
        <v>9498</v>
      </c>
      <c r="D3547">
        <v>28.49</v>
      </c>
      <c r="E3547">
        <v>5.13</v>
      </c>
      <c r="F3547">
        <f>COUNTIFS(mdr_rate_cleaned!$A$2:$A$10,B3547,mdr_rate_cleaned!$B$2:$B$10,"&lt;"&amp;C3547,mdr_rate_cleaned!$F$2:$F$10,"&gt;="&amp;C3547)</f>
        <v>1</v>
      </c>
      <c r="G3547">
        <v>3.0000000000000001E-3</v>
      </c>
      <c r="H3547">
        <v>28.49</v>
      </c>
      <c r="I3547" t="s">
        <v>15</v>
      </c>
      <c r="J3547" t="s">
        <v>15</v>
      </c>
      <c r="K3547">
        <v>5.13</v>
      </c>
      <c r="L3547">
        <v>0</v>
      </c>
    </row>
    <row r="3548" spans="1:12" x14ac:dyDescent="0.3">
      <c r="A3548" t="s">
        <v>3564</v>
      </c>
      <c r="B3548" t="s">
        <v>13</v>
      </c>
      <c r="C3548">
        <v>2499</v>
      </c>
      <c r="D3548">
        <v>42.48</v>
      </c>
      <c r="E3548">
        <v>7.65</v>
      </c>
      <c r="F3548">
        <f>COUNTIFS(mdr_rate_cleaned!$A$2:$A$10,B3548,mdr_rate_cleaned!$B$2:$B$10,"&lt;"&amp;C3548,mdr_rate_cleaned!$F$2:$F$10,"&gt;="&amp;C3548)</f>
        <v>1</v>
      </c>
      <c r="G3548">
        <v>1.7000000000000001E-2</v>
      </c>
      <c r="H3548">
        <v>42.48</v>
      </c>
      <c r="I3548" t="s">
        <v>15</v>
      </c>
      <c r="J3548" t="s">
        <v>15</v>
      </c>
      <c r="K3548">
        <v>7.65</v>
      </c>
      <c r="L3548">
        <v>0</v>
      </c>
    </row>
    <row r="3549" spans="1:12" x14ac:dyDescent="0.3">
      <c r="A3549" t="s">
        <v>3565</v>
      </c>
      <c r="B3549" t="s">
        <v>21</v>
      </c>
      <c r="C3549">
        <v>499</v>
      </c>
      <c r="D3549">
        <v>0</v>
      </c>
      <c r="E3549">
        <v>0</v>
      </c>
      <c r="F3549">
        <f>COUNTIFS(mdr_rate_cleaned!$A$2:$A$10,B3549,mdr_rate_cleaned!$B$2:$B$10,"&lt;"&amp;C3549,mdr_rate_cleaned!$F$2:$F$10,"&gt;="&amp;C3549)</f>
        <v>1</v>
      </c>
      <c r="G3549">
        <v>0</v>
      </c>
      <c r="H3549">
        <v>0</v>
      </c>
      <c r="I3549" t="s">
        <v>15</v>
      </c>
      <c r="J3549" t="s">
        <v>15</v>
      </c>
      <c r="K3549">
        <v>0</v>
      </c>
      <c r="L3549">
        <v>0</v>
      </c>
    </row>
    <row r="3550" spans="1:12" x14ac:dyDescent="0.3">
      <c r="A3550" t="s">
        <v>3566</v>
      </c>
      <c r="B3550" t="s">
        <v>17</v>
      </c>
      <c r="C3550">
        <v>2797</v>
      </c>
      <c r="D3550">
        <v>44.75</v>
      </c>
      <c r="E3550">
        <v>8.06</v>
      </c>
      <c r="F3550">
        <f>COUNTIFS(mdr_rate_cleaned!$A$2:$A$10,B3550,mdr_rate_cleaned!$B$2:$B$10,"&lt;"&amp;C3550,mdr_rate_cleaned!$F$2:$F$10,"&gt;="&amp;C3550)</f>
        <v>1</v>
      </c>
      <c r="G3550">
        <v>1.6E-2</v>
      </c>
      <c r="H3550">
        <v>44.75</v>
      </c>
      <c r="I3550" t="s">
        <v>15</v>
      </c>
      <c r="J3550" t="s">
        <v>15</v>
      </c>
      <c r="K3550">
        <v>8.06</v>
      </c>
      <c r="L3550">
        <v>0</v>
      </c>
    </row>
    <row r="3551" spans="1:12" x14ac:dyDescent="0.3">
      <c r="A3551" t="s">
        <v>3567</v>
      </c>
      <c r="B3551" t="s">
        <v>17</v>
      </c>
      <c r="C3551">
        <v>1799</v>
      </c>
      <c r="D3551">
        <v>32.380000000000003</v>
      </c>
      <c r="E3551">
        <v>5.83</v>
      </c>
      <c r="F3551">
        <f>COUNTIFS(mdr_rate_cleaned!$A$2:$A$10,B3551,mdr_rate_cleaned!$B$2:$B$10,"&lt;"&amp;C3551,mdr_rate_cleaned!$F$2:$F$10,"&gt;="&amp;C3551)</f>
        <v>1</v>
      </c>
      <c r="G3551">
        <v>1.7999999999999999E-2</v>
      </c>
      <c r="H3551">
        <v>32.380000000000003</v>
      </c>
      <c r="I3551" t="s">
        <v>15</v>
      </c>
      <c r="J3551" t="s">
        <v>15</v>
      </c>
      <c r="K3551">
        <v>5.83</v>
      </c>
      <c r="L3551">
        <v>0</v>
      </c>
    </row>
    <row r="3552" spans="1:12" x14ac:dyDescent="0.3">
      <c r="A3552" t="s">
        <v>3568</v>
      </c>
      <c r="B3552" t="s">
        <v>21</v>
      </c>
      <c r="C3552">
        <v>3499</v>
      </c>
      <c r="D3552">
        <v>10.5</v>
      </c>
      <c r="E3552">
        <v>1.89</v>
      </c>
      <c r="F3552">
        <f>COUNTIFS(mdr_rate_cleaned!$A$2:$A$10,B3552,mdr_rate_cleaned!$B$2:$B$10,"&lt;"&amp;C3552,mdr_rate_cleaned!$F$2:$F$10,"&gt;="&amp;C3552)</f>
        <v>1</v>
      </c>
      <c r="G3552">
        <v>3.0000000000000001E-3</v>
      </c>
      <c r="H3552">
        <v>10.5</v>
      </c>
      <c r="I3552" t="s">
        <v>15</v>
      </c>
      <c r="J3552" t="s">
        <v>15</v>
      </c>
      <c r="K3552">
        <v>1.89</v>
      </c>
      <c r="L3552">
        <v>0</v>
      </c>
    </row>
    <row r="3553" spans="1:12" x14ac:dyDescent="0.3">
      <c r="A3553" t="s">
        <v>3569</v>
      </c>
      <c r="B3553" t="s">
        <v>21</v>
      </c>
      <c r="C3553">
        <v>1299</v>
      </c>
      <c r="D3553">
        <v>0</v>
      </c>
      <c r="E3553">
        <v>0</v>
      </c>
      <c r="F3553">
        <f>COUNTIFS(mdr_rate_cleaned!$A$2:$A$10,B3553,mdr_rate_cleaned!$B$2:$B$10,"&lt;"&amp;C3553,mdr_rate_cleaned!$F$2:$F$10,"&gt;="&amp;C3553)</f>
        <v>1</v>
      </c>
      <c r="G3553">
        <v>0</v>
      </c>
      <c r="H3553">
        <v>0</v>
      </c>
      <c r="I3553" t="s">
        <v>15</v>
      </c>
      <c r="J3553" t="s">
        <v>15</v>
      </c>
      <c r="K3553">
        <v>0</v>
      </c>
      <c r="L3553">
        <v>0</v>
      </c>
    </row>
    <row r="3554" spans="1:12" x14ac:dyDescent="0.3">
      <c r="A3554" t="s">
        <v>3570</v>
      </c>
      <c r="B3554" t="s">
        <v>21</v>
      </c>
      <c r="C3554">
        <v>7997</v>
      </c>
      <c r="D3554">
        <v>23.99</v>
      </c>
      <c r="E3554">
        <v>4.32</v>
      </c>
      <c r="F3554">
        <f>COUNTIFS(mdr_rate_cleaned!$A$2:$A$10,B3554,mdr_rate_cleaned!$B$2:$B$10,"&lt;"&amp;C3554,mdr_rate_cleaned!$F$2:$F$10,"&gt;="&amp;C3554)</f>
        <v>1</v>
      </c>
      <c r="G3554">
        <v>3.0000000000000001E-3</v>
      </c>
      <c r="H3554">
        <v>23.99</v>
      </c>
      <c r="I3554" t="s">
        <v>15</v>
      </c>
      <c r="J3554" t="s">
        <v>15</v>
      </c>
      <c r="K3554">
        <v>4.32</v>
      </c>
      <c r="L3554">
        <v>0</v>
      </c>
    </row>
    <row r="3555" spans="1:12" x14ac:dyDescent="0.3">
      <c r="A3555" t="s">
        <v>3571</v>
      </c>
      <c r="B3555" t="s">
        <v>21</v>
      </c>
      <c r="C3555">
        <v>4797</v>
      </c>
      <c r="D3555">
        <v>14.39</v>
      </c>
      <c r="E3555">
        <v>2.59</v>
      </c>
      <c r="F3555">
        <f>COUNTIFS(mdr_rate_cleaned!$A$2:$A$10,B3555,mdr_rate_cleaned!$B$2:$B$10,"&lt;"&amp;C3555,mdr_rate_cleaned!$F$2:$F$10,"&gt;="&amp;C3555)</f>
        <v>1</v>
      </c>
      <c r="G3555">
        <v>3.0000000000000001E-3</v>
      </c>
      <c r="H3555">
        <v>14.39</v>
      </c>
      <c r="I3555" t="s">
        <v>15</v>
      </c>
      <c r="J3555" t="s">
        <v>15</v>
      </c>
      <c r="K3555">
        <v>2.59</v>
      </c>
      <c r="L3555">
        <v>0</v>
      </c>
    </row>
    <row r="3556" spans="1:12" x14ac:dyDescent="0.3">
      <c r="A3556" t="s">
        <v>3572</v>
      </c>
      <c r="B3556" t="s">
        <v>21</v>
      </c>
      <c r="C3556">
        <v>4797</v>
      </c>
      <c r="D3556">
        <v>14.39</v>
      </c>
      <c r="E3556">
        <v>2.59</v>
      </c>
      <c r="F3556">
        <f>COUNTIFS(mdr_rate_cleaned!$A$2:$A$10,B3556,mdr_rate_cleaned!$B$2:$B$10,"&lt;"&amp;C3556,mdr_rate_cleaned!$F$2:$F$10,"&gt;="&amp;C3556)</f>
        <v>1</v>
      </c>
      <c r="G3556">
        <v>3.0000000000000001E-3</v>
      </c>
      <c r="H3556">
        <v>14.39</v>
      </c>
      <c r="I3556" t="s">
        <v>15</v>
      </c>
      <c r="J3556" t="s">
        <v>15</v>
      </c>
      <c r="K3556">
        <v>2.59</v>
      </c>
      <c r="L3556">
        <v>0</v>
      </c>
    </row>
    <row r="3557" spans="1:12" x14ac:dyDescent="0.3">
      <c r="A3557" t="s">
        <v>3573</v>
      </c>
      <c r="B3557" t="s">
        <v>21</v>
      </c>
      <c r="C3557">
        <v>2098</v>
      </c>
      <c r="D3557">
        <v>6.29</v>
      </c>
      <c r="E3557">
        <v>1.1299999999999999</v>
      </c>
      <c r="F3557">
        <f>COUNTIFS(mdr_rate_cleaned!$A$2:$A$10,B3557,mdr_rate_cleaned!$B$2:$B$10,"&lt;"&amp;C3557,mdr_rate_cleaned!$F$2:$F$10,"&gt;="&amp;C3557)</f>
        <v>1</v>
      </c>
      <c r="G3557">
        <v>3.0000000000000001E-3</v>
      </c>
      <c r="H3557">
        <v>6.29</v>
      </c>
      <c r="I3557" t="s">
        <v>15</v>
      </c>
      <c r="J3557" t="s">
        <v>15</v>
      </c>
      <c r="K3557">
        <v>1.1299999999999999</v>
      </c>
      <c r="L3557">
        <v>0</v>
      </c>
    </row>
    <row r="3558" spans="1:12" x14ac:dyDescent="0.3">
      <c r="A3558" t="s">
        <v>3574</v>
      </c>
      <c r="B3558" t="s">
        <v>21</v>
      </c>
      <c r="C3558">
        <v>4999</v>
      </c>
      <c r="D3558">
        <v>15</v>
      </c>
      <c r="E3558">
        <v>2.7</v>
      </c>
      <c r="F3558">
        <f>COUNTIFS(mdr_rate_cleaned!$A$2:$A$10,B3558,mdr_rate_cleaned!$B$2:$B$10,"&lt;"&amp;C3558,mdr_rate_cleaned!$F$2:$F$10,"&gt;="&amp;C3558)</f>
        <v>1</v>
      </c>
      <c r="G3558">
        <v>3.0000000000000001E-3</v>
      </c>
      <c r="H3558">
        <v>15</v>
      </c>
      <c r="I3558" t="s">
        <v>15</v>
      </c>
      <c r="J3558" t="s">
        <v>15</v>
      </c>
      <c r="K3558">
        <v>2.7</v>
      </c>
      <c r="L3558">
        <v>0</v>
      </c>
    </row>
    <row r="3559" spans="1:12" x14ac:dyDescent="0.3">
      <c r="A3559" t="s">
        <v>3575</v>
      </c>
      <c r="B3559" t="s">
        <v>21</v>
      </c>
      <c r="C3559">
        <v>8348</v>
      </c>
      <c r="D3559">
        <v>25.04</v>
      </c>
      <c r="E3559">
        <v>4.51</v>
      </c>
      <c r="F3559">
        <f>COUNTIFS(mdr_rate_cleaned!$A$2:$A$10,B3559,mdr_rate_cleaned!$B$2:$B$10,"&lt;"&amp;C3559,mdr_rate_cleaned!$F$2:$F$10,"&gt;="&amp;C3559)</f>
        <v>1</v>
      </c>
      <c r="G3559">
        <v>3.0000000000000001E-3</v>
      </c>
      <c r="H3559">
        <v>25.04</v>
      </c>
      <c r="I3559" t="s">
        <v>15</v>
      </c>
      <c r="J3559" t="s">
        <v>15</v>
      </c>
      <c r="K3559">
        <v>4.51</v>
      </c>
      <c r="L3559">
        <v>0</v>
      </c>
    </row>
    <row r="3560" spans="1:12" x14ac:dyDescent="0.3">
      <c r="A3560" t="s">
        <v>3576</v>
      </c>
      <c r="B3560" t="s">
        <v>21</v>
      </c>
      <c r="C3560">
        <v>9897</v>
      </c>
      <c r="D3560">
        <v>29.69</v>
      </c>
      <c r="E3560">
        <v>5.34</v>
      </c>
      <c r="F3560">
        <f>COUNTIFS(mdr_rate_cleaned!$A$2:$A$10,B3560,mdr_rate_cleaned!$B$2:$B$10,"&lt;"&amp;C3560,mdr_rate_cleaned!$F$2:$F$10,"&gt;="&amp;C3560)</f>
        <v>1</v>
      </c>
      <c r="G3560">
        <v>3.0000000000000001E-3</v>
      </c>
      <c r="H3560">
        <v>29.69</v>
      </c>
      <c r="I3560" t="s">
        <v>15</v>
      </c>
      <c r="J3560" t="s">
        <v>15</v>
      </c>
      <c r="K3560">
        <v>5.34</v>
      </c>
      <c r="L3560">
        <v>0</v>
      </c>
    </row>
    <row r="3561" spans="1:12" x14ac:dyDescent="0.3">
      <c r="A3561" t="s">
        <v>3577</v>
      </c>
      <c r="B3561" t="s">
        <v>17</v>
      </c>
      <c r="C3561">
        <v>3298</v>
      </c>
      <c r="D3561">
        <v>52.77</v>
      </c>
      <c r="E3561">
        <v>9.5</v>
      </c>
      <c r="F3561">
        <f>COUNTIFS(mdr_rate_cleaned!$A$2:$A$10,B3561,mdr_rate_cleaned!$B$2:$B$10,"&lt;"&amp;C3561,mdr_rate_cleaned!$F$2:$F$10,"&gt;="&amp;C3561)</f>
        <v>1</v>
      </c>
      <c r="G3561">
        <v>1.6E-2</v>
      </c>
      <c r="H3561">
        <v>52.77</v>
      </c>
      <c r="I3561" t="s">
        <v>15</v>
      </c>
      <c r="J3561" t="s">
        <v>15</v>
      </c>
      <c r="K3561">
        <v>9.5</v>
      </c>
      <c r="L3561">
        <v>0</v>
      </c>
    </row>
    <row r="3562" spans="1:12" x14ac:dyDescent="0.3">
      <c r="A3562" t="s">
        <v>3578</v>
      </c>
      <c r="B3562" t="s">
        <v>17</v>
      </c>
      <c r="C3562">
        <v>3798</v>
      </c>
      <c r="D3562">
        <v>60.77</v>
      </c>
      <c r="E3562">
        <v>10.94</v>
      </c>
      <c r="F3562">
        <f>COUNTIFS(mdr_rate_cleaned!$A$2:$A$10,B3562,mdr_rate_cleaned!$B$2:$B$10,"&lt;"&amp;C3562,mdr_rate_cleaned!$F$2:$F$10,"&gt;="&amp;C3562)</f>
        <v>1</v>
      </c>
      <c r="G3562">
        <v>1.6E-2</v>
      </c>
      <c r="H3562">
        <v>60.77</v>
      </c>
      <c r="I3562" t="s">
        <v>15</v>
      </c>
      <c r="J3562" t="s">
        <v>15</v>
      </c>
      <c r="K3562">
        <v>10.94</v>
      </c>
      <c r="L3562">
        <v>0</v>
      </c>
    </row>
    <row r="3563" spans="1:12" x14ac:dyDescent="0.3">
      <c r="A3563" t="s">
        <v>3579</v>
      </c>
      <c r="B3563" t="s">
        <v>17</v>
      </c>
      <c r="C3563">
        <v>7999</v>
      </c>
      <c r="D3563">
        <v>127.98</v>
      </c>
      <c r="E3563">
        <v>23.04</v>
      </c>
      <c r="F3563">
        <f>COUNTIFS(mdr_rate_cleaned!$A$2:$A$10,B3563,mdr_rate_cleaned!$B$2:$B$10,"&lt;"&amp;C3563,mdr_rate_cleaned!$F$2:$F$10,"&gt;="&amp;C3563)</f>
        <v>1</v>
      </c>
      <c r="G3563">
        <v>1.6E-2</v>
      </c>
      <c r="H3563">
        <v>127.98</v>
      </c>
      <c r="I3563" t="s">
        <v>15</v>
      </c>
      <c r="J3563" t="s">
        <v>15</v>
      </c>
      <c r="K3563">
        <v>23.04</v>
      </c>
      <c r="L3563">
        <v>0</v>
      </c>
    </row>
    <row r="3564" spans="1:12" x14ac:dyDescent="0.3">
      <c r="A3564" t="s">
        <v>3580</v>
      </c>
      <c r="B3564" t="s">
        <v>39</v>
      </c>
      <c r="C3564">
        <v>1299</v>
      </c>
      <c r="D3564">
        <v>19.489999999999998</v>
      </c>
      <c r="E3564">
        <v>3.51</v>
      </c>
      <c r="F3564">
        <f>COUNTIFS(mdr_rate_cleaned!$A$2:$A$10,B3564,mdr_rate_cleaned!$B$2:$B$10,"&lt;"&amp;C3564,mdr_rate_cleaned!$F$2:$F$10,"&gt;="&amp;C3564)</f>
        <v>1</v>
      </c>
      <c r="G3564">
        <v>1.4999999999999999E-2</v>
      </c>
      <c r="H3564">
        <v>19.489999999999998</v>
      </c>
      <c r="I3564" t="s">
        <v>15</v>
      </c>
      <c r="J3564" t="s">
        <v>15</v>
      </c>
      <c r="K3564">
        <v>3.51</v>
      </c>
      <c r="L3564">
        <v>0</v>
      </c>
    </row>
    <row r="3565" spans="1:12" x14ac:dyDescent="0.3">
      <c r="A3565" t="s">
        <v>3581</v>
      </c>
      <c r="B3565" t="s">
        <v>21</v>
      </c>
      <c r="C3565">
        <v>799</v>
      </c>
      <c r="D3565">
        <v>0</v>
      </c>
      <c r="E3565">
        <v>0</v>
      </c>
      <c r="F3565">
        <f>COUNTIFS(mdr_rate_cleaned!$A$2:$A$10,B3565,mdr_rate_cleaned!$B$2:$B$10,"&lt;"&amp;C3565,mdr_rate_cleaned!$F$2:$F$10,"&gt;="&amp;C3565)</f>
        <v>1</v>
      </c>
      <c r="G3565">
        <v>0</v>
      </c>
      <c r="H3565">
        <v>0</v>
      </c>
      <c r="I3565" t="s">
        <v>15</v>
      </c>
      <c r="J3565" t="s">
        <v>15</v>
      </c>
      <c r="K3565">
        <v>0</v>
      </c>
      <c r="L3565">
        <v>0</v>
      </c>
    </row>
    <row r="3566" spans="1:12" x14ac:dyDescent="0.3">
      <c r="A3566" t="s">
        <v>3582</v>
      </c>
      <c r="B3566" t="s">
        <v>21</v>
      </c>
      <c r="C3566">
        <v>5298</v>
      </c>
      <c r="D3566">
        <v>15.89</v>
      </c>
      <c r="E3566">
        <v>2.86</v>
      </c>
      <c r="F3566">
        <f>COUNTIFS(mdr_rate_cleaned!$A$2:$A$10,B3566,mdr_rate_cleaned!$B$2:$B$10,"&lt;"&amp;C3566,mdr_rate_cleaned!$F$2:$F$10,"&gt;="&amp;C3566)</f>
        <v>1</v>
      </c>
      <c r="G3566">
        <v>3.0000000000000001E-3</v>
      </c>
      <c r="H3566">
        <v>15.89</v>
      </c>
      <c r="I3566" t="s">
        <v>15</v>
      </c>
      <c r="J3566" t="s">
        <v>15</v>
      </c>
      <c r="K3566">
        <v>2.86</v>
      </c>
      <c r="L3566">
        <v>0</v>
      </c>
    </row>
    <row r="3567" spans="1:12" x14ac:dyDescent="0.3">
      <c r="A3567" t="s">
        <v>3583</v>
      </c>
      <c r="B3567" t="s">
        <v>17</v>
      </c>
      <c r="C3567">
        <v>1499</v>
      </c>
      <c r="D3567">
        <v>26.98</v>
      </c>
      <c r="E3567">
        <v>4.8600000000000003</v>
      </c>
      <c r="F3567">
        <f>COUNTIFS(mdr_rate_cleaned!$A$2:$A$10,B3567,mdr_rate_cleaned!$B$2:$B$10,"&lt;"&amp;C3567,mdr_rate_cleaned!$F$2:$F$10,"&gt;="&amp;C3567)</f>
        <v>1</v>
      </c>
      <c r="G3567">
        <v>1.7999999999999999E-2</v>
      </c>
      <c r="H3567">
        <v>26.98</v>
      </c>
      <c r="I3567" t="s">
        <v>15</v>
      </c>
      <c r="J3567" t="s">
        <v>15</v>
      </c>
      <c r="K3567">
        <v>4.8600000000000003</v>
      </c>
      <c r="L3567">
        <v>0</v>
      </c>
    </row>
    <row r="3568" spans="1:12" x14ac:dyDescent="0.3">
      <c r="A3568" t="s">
        <v>3584</v>
      </c>
      <c r="B3568" t="s">
        <v>17</v>
      </c>
      <c r="C3568">
        <v>4397</v>
      </c>
      <c r="D3568">
        <v>70.349999999999994</v>
      </c>
      <c r="E3568">
        <v>12.66</v>
      </c>
      <c r="F3568">
        <f>COUNTIFS(mdr_rate_cleaned!$A$2:$A$10,B3568,mdr_rate_cleaned!$B$2:$B$10,"&lt;"&amp;C3568,mdr_rate_cleaned!$F$2:$F$10,"&gt;="&amp;C3568)</f>
        <v>1</v>
      </c>
      <c r="G3568">
        <v>1.6E-2</v>
      </c>
      <c r="H3568">
        <v>70.349999999999994</v>
      </c>
      <c r="I3568" t="s">
        <v>15</v>
      </c>
      <c r="J3568" t="s">
        <v>15</v>
      </c>
      <c r="K3568">
        <v>12.66</v>
      </c>
      <c r="L3568">
        <v>0</v>
      </c>
    </row>
    <row r="3569" spans="1:12" x14ac:dyDescent="0.3">
      <c r="A3569" t="s">
        <v>3585</v>
      </c>
      <c r="B3569" t="s">
        <v>21</v>
      </c>
      <c r="C3569">
        <v>2098</v>
      </c>
      <c r="D3569">
        <v>6.29</v>
      </c>
      <c r="E3569">
        <v>1.1299999999999999</v>
      </c>
      <c r="F3569">
        <f>COUNTIFS(mdr_rate_cleaned!$A$2:$A$10,B3569,mdr_rate_cleaned!$B$2:$B$10,"&lt;"&amp;C3569,mdr_rate_cleaned!$F$2:$F$10,"&gt;="&amp;C3569)</f>
        <v>1</v>
      </c>
      <c r="G3569">
        <v>3.0000000000000001E-3</v>
      </c>
      <c r="H3569">
        <v>6.29</v>
      </c>
      <c r="I3569" t="s">
        <v>15</v>
      </c>
      <c r="J3569" t="s">
        <v>15</v>
      </c>
      <c r="K3569">
        <v>1.1299999999999999</v>
      </c>
      <c r="L3569">
        <v>0</v>
      </c>
    </row>
    <row r="3570" spans="1:12" x14ac:dyDescent="0.3">
      <c r="A3570" t="s">
        <v>3586</v>
      </c>
      <c r="B3570" t="s">
        <v>21</v>
      </c>
      <c r="C3570">
        <v>4999</v>
      </c>
      <c r="D3570">
        <v>15</v>
      </c>
      <c r="E3570">
        <v>2.7</v>
      </c>
      <c r="F3570">
        <f>COUNTIFS(mdr_rate_cleaned!$A$2:$A$10,B3570,mdr_rate_cleaned!$B$2:$B$10,"&lt;"&amp;C3570,mdr_rate_cleaned!$F$2:$F$10,"&gt;="&amp;C3570)</f>
        <v>1</v>
      </c>
      <c r="G3570">
        <v>3.0000000000000001E-3</v>
      </c>
      <c r="H3570">
        <v>15</v>
      </c>
      <c r="I3570" t="s">
        <v>15</v>
      </c>
      <c r="J3570" t="s">
        <v>15</v>
      </c>
      <c r="K3570">
        <v>2.7</v>
      </c>
      <c r="L3570">
        <v>0</v>
      </c>
    </row>
    <row r="3571" spans="1:12" x14ac:dyDescent="0.3">
      <c r="A3571" t="s">
        <v>3587</v>
      </c>
      <c r="B3571" t="s">
        <v>13</v>
      </c>
      <c r="C3571">
        <v>999</v>
      </c>
      <c r="D3571">
        <v>18.98</v>
      </c>
      <c r="E3571">
        <v>3.42</v>
      </c>
      <c r="F3571">
        <f>COUNTIFS(mdr_rate_cleaned!$A$2:$A$10,B3571,mdr_rate_cleaned!$B$2:$B$10,"&lt;"&amp;C3571,mdr_rate_cleaned!$F$2:$F$10,"&gt;="&amp;C3571)</f>
        <v>1</v>
      </c>
      <c r="G3571">
        <v>1.9E-2</v>
      </c>
      <c r="H3571">
        <v>18.98</v>
      </c>
      <c r="I3571" t="s">
        <v>15</v>
      </c>
      <c r="J3571" t="s">
        <v>15</v>
      </c>
      <c r="K3571">
        <v>3.42</v>
      </c>
      <c r="L3571">
        <v>0</v>
      </c>
    </row>
    <row r="3572" spans="1:12" x14ac:dyDescent="0.3">
      <c r="A3572" t="s">
        <v>3588</v>
      </c>
      <c r="B3572" t="s">
        <v>13</v>
      </c>
      <c r="C3572">
        <v>349</v>
      </c>
      <c r="D3572">
        <v>6.63</v>
      </c>
      <c r="E3572">
        <v>1.19</v>
      </c>
      <c r="F3572">
        <f>COUNTIFS(mdr_rate_cleaned!$A$2:$A$10,B3572,mdr_rate_cleaned!$B$2:$B$10,"&lt;"&amp;C3572,mdr_rate_cleaned!$F$2:$F$10,"&gt;="&amp;C3572)</f>
        <v>1</v>
      </c>
      <c r="G3572">
        <v>1.9E-2</v>
      </c>
      <c r="H3572">
        <v>6.63</v>
      </c>
      <c r="I3572" t="s">
        <v>15</v>
      </c>
      <c r="J3572" t="s">
        <v>15</v>
      </c>
      <c r="K3572">
        <v>1.19</v>
      </c>
      <c r="L3572">
        <v>0</v>
      </c>
    </row>
    <row r="3573" spans="1:12" x14ac:dyDescent="0.3">
      <c r="A3573" t="s">
        <v>3589</v>
      </c>
      <c r="B3573" t="s">
        <v>21</v>
      </c>
      <c r="C3573">
        <v>2499</v>
      </c>
      <c r="D3573">
        <v>7.5</v>
      </c>
      <c r="E3573">
        <v>1.35</v>
      </c>
      <c r="F3573">
        <f>COUNTIFS(mdr_rate_cleaned!$A$2:$A$10,B3573,mdr_rate_cleaned!$B$2:$B$10,"&lt;"&amp;C3573,mdr_rate_cleaned!$F$2:$F$10,"&gt;="&amp;C3573)</f>
        <v>1</v>
      </c>
      <c r="G3573">
        <v>3.0000000000000001E-3</v>
      </c>
      <c r="H3573">
        <v>7.5</v>
      </c>
      <c r="I3573" t="s">
        <v>15</v>
      </c>
      <c r="J3573" t="s">
        <v>15</v>
      </c>
      <c r="K3573">
        <v>1.35</v>
      </c>
      <c r="L3573">
        <v>0</v>
      </c>
    </row>
    <row r="3574" spans="1:12" x14ac:dyDescent="0.3">
      <c r="A3574" t="s">
        <v>3590</v>
      </c>
      <c r="B3574" t="s">
        <v>13</v>
      </c>
      <c r="C3574">
        <v>1799</v>
      </c>
      <c r="D3574">
        <v>34.18</v>
      </c>
      <c r="E3574">
        <v>6.15</v>
      </c>
      <c r="F3574">
        <f>COUNTIFS(mdr_rate_cleaned!$A$2:$A$10,B3574,mdr_rate_cleaned!$B$2:$B$10,"&lt;"&amp;C3574,mdr_rate_cleaned!$F$2:$F$10,"&gt;="&amp;C3574)</f>
        <v>1</v>
      </c>
      <c r="G3574">
        <v>1.9E-2</v>
      </c>
      <c r="H3574">
        <v>34.18</v>
      </c>
      <c r="I3574" t="s">
        <v>15</v>
      </c>
      <c r="J3574" t="s">
        <v>15</v>
      </c>
      <c r="K3574">
        <v>6.15</v>
      </c>
      <c r="L3574">
        <v>0</v>
      </c>
    </row>
    <row r="3575" spans="1:12" x14ac:dyDescent="0.3">
      <c r="A3575" t="s">
        <v>3591</v>
      </c>
      <c r="B3575" t="s">
        <v>17</v>
      </c>
      <c r="C3575">
        <v>4998</v>
      </c>
      <c r="D3575">
        <v>79.97</v>
      </c>
      <c r="E3575">
        <v>14.39</v>
      </c>
      <c r="F3575">
        <f>COUNTIFS(mdr_rate_cleaned!$A$2:$A$10,B3575,mdr_rate_cleaned!$B$2:$B$10,"&lt;"&amp;C3575,mdr_rate_cleaned!$F$2:$F$10,"&gt;="&amp;C3575)</f>
        <v>1</v>
      </c>
      <c r="G3575">
        <v>1.6E-2</v>
      </c>
      <c r="H3575">
        <v>79.97</v>
      </c>
      <c r="I3575" t="s">
        <v>15</v>
      </c>
      <c r="J3575" t="s">
        <v>15</v>
      </c>
      <c r="K3575">
        <v>14.39</v>
      </c>
      <c r="L3575">
        <v>0</v>
      </c>
    </row>
    <row r="3576" spans="1:12" x14ac:dyDescent="0.3">
      <c r="A3576" t="s">
        <v>3592</v>
      </c>
      <c r="B3576" t="s">
        <v>21</v>
      </c>
      <c r="C3576">
        <v>7998</v>
      </c>
      <c r="D3576">
        <v>23.99</v>
      </c>
      <c r="E3576">
        <v>4.32</v>
      </c>
      <c r="F3576">
        <f>COUNTIFS(mdr_rate_cleaned!$A$2:$A$10,B3576,mdr_rate_cleaned!$B$2:$B$10,"&lt;"&amp;C3576,mdr_rate_cleaned!$F$2:$F$10,"&gt;="&amp;C3576)</f>
        <v>1</v>
      </c>
      <c r="G3576">
        <v>3.0000000000000001E-3</v>
      </c>
      <c r="H3576">
        <v>23.99</v>
      </c>
      <c r="I3576" t="s">
        <v>15</v>
      </c>
      <c r="J3576" t="s">
        <v>15</v>
      </c>
      <c r="K3576">
        <v>4.32</v>
      </c>
      <c r="L3576">
        <v>0</v>
      </c>
    </row>
    <row r="3577" spans="1:12" x14ac:dyDescent="0.3">
      <c r="A3577" t="s">
        <v>3593</v>
      </c>
      <c r="B3577" t="s">
        <v>21</v>
      </c>
      <c r="C3577">
        <v>299</v>
      </c>
      <c r="D3577">
        <v>0</v>
      </c>
      <c r="E3577">
        <v>0</v>
      </c>
      <c r="F3577">
        <f>COUNTIFS(mdr_rate_cleaned!$A$2:$A$10,B3577,mdr_rate_cleaned!$B$2:$B$10,"&lt;"&amp;C3577,mdr_rate_cleaned!$F$2:$F$10,"&gt;="&amp;C3577)</f>
        <v>1</v>
      </c>
      <c r="G3577">
        <v>0</v>
      </c>
      <c r="H3577">
        <v>0</v>
      </c>
      <c r="I3577" t="s">
        <v>15</v>
      </c>
      <c r="J3577" t="s">
        <v>15</v>
      </c>
      <c r="K3577">
        <v>0</v>
      </c>
      <c r="L3577">
        <v>0</v>
      </c>
    </row>
    <row r="3578" spans="1:12" x14ac:dyDescent="0.3">
      <c r="A3578" t="s">
        <v>3594</v>
      </c>
      <c r="B3578" t="s">
        <v>13</v>
      </c>
      <c r="C3578">
        <v>3499</v>
      </c>
      <c r="D3578">
        <v>59.48</v>
      </c>
      <c r="E3578">
        <v>10.71</v>
      </c>
      <c r="F3578">
        <f>COUNTIFS(mdr_rate_cleaned!$A$2:$A$10,B3578,mdr_rate_cleaned!$B$2:$B$10,"&lt;"&amp;C3578,mdr_rate_cleaned!$F$2:$F$10,"&gt;="&amp;C3578)</f>
        <v>1</v>
      </c>
      <c r="G3578">
        <v>1.7000000000000001E-2</v>
      </c>
      <c r="H3578">
        <v>59.48</v>
      </c>
      <c r="I3578" t="s">
        <v>15</v>
      </c>
      <c r="J3578" t="s">
        <v>15</v>
      </c>
      <c r="K3578">
        <v>10.71</v>
      </c>
      <c r="L3578">
        <v>0</v>
      </c>
    </row>
    <row r="3579" spans="1:12" x14ac:dyDescent="0.3">
      <c r="A3579" t="s">
        <v>3595</v>
      </c>
      <c r="B3579" t="s">
        <v>21</v>
      </c>
      <c r="C3579">
        <v>10097</v>
      </c>
      <c r="D3579">
        <v>30.29</v>
      </c>
      <c r="E3579">
        <v>5.45</v>
      </c>
      <c r="F3579">
        <f>COUNTIFS(mdr_rate_cleaned!$A$2:$A$10,B3579,mdr_rate_cleaned!$B$2:$B$10,"&lt;"&amp;C3579,mdr_rate_cleaned!$F$2:$F$10,"&gt;="&amp;C3579)</f>
        <v>1</v>
      </c>
      <c r="G3579">
        <v>3.0000000000000001E-3</v>
      </c>
      <c r="H3579">
        <v>30.29</v>
      </c>
      <c r="I3579" t="s">
        <v>15</v>
      </c>
      <c r="J3579" t="s">
        <v>15</v>
      </c>
      <c r="K3579">
        <v>5.45</v>
      </c>
      <c r="L3579">
        <v>0</v>
      </c>
    </row>
    <row r="3580" spans="1:12" x14ac:dyDescent="0.3">
      <c r="A3580" t="s">
        <v>3596</v>
      </c>
      <c r="B3580" t="s">
        <v>17</v>
      </c>
      <c r="C3580">
        <v>6497</v>
      </c>
      <c r="D3580">
        <v>103.95</v>
      </c>
      <c r="E3580">
        <v>18.71</v>
      </c>
      <c r="F3580">
        <f>COUNTIFS(mdr_rate_cleaned!$A$2:$A$10,B3580,mdr_rate_cleaned!$B$2:$B$10,"&lt;"&amp;C3580,mdr_rate_cleaned!$F$2:$F$10,"&gt;="&amp;C3580)</f>
        <v>1</v>
      </c>
      <c r="G3580">
        <v>1.6E-2</v>
      </c>
      <c r="H3580">
        <v>103.95</v>
      </c>
      <c r="I3580" t="s">
        <v>15</v>
      </c>
      <c r="J3580" t="s">
        <v>15</v>
      </c>
      <c r="K3580">
        <v>18.71</v>
      </c>
      <c r="L3580">
        <v>0</v>
      </c>
    </row>
    <row r="3581" spans="1:12" x14ac:dyDescent="0.3">
      <c r="A3581" t="s">
        <v>3597</v>
      </c>
      <c r="B3581" t="s">
        <v>21</v>
      </c>
      <c r="C3581">
        <v>3397</v>
      </c>
      <c r="D3581">
        <v>10.19</v>
      </c>
      <c r="E3581">
        <v>1.83</v>
      </c>
      <c r="F3581">
        <f>COUNTIFS(mdr_rate_cleaned!$A$2:$A$10,B3581,mdr_rate_cleaned!$B$2:$B$10,"&lt;"&amp;C3581,mdr_rate_cleaned!$F$2:$F$10,"&gt;="&amp;C3581)</f>
        <v>1</v>
      </c>
      <c r="G3581">
        <v>3.0000000000000001E-3</v>
      </c>
      <c r="H3581">
        <v>10.19</v>
      </c>
      <c r="I3581" t="s">
        <v>15</v>
      </c>
      <c r="J3581" t="s">
        <v>15</v>
      </c>
      <c r="K3581">
        <v>1.83</v>
      </c>
      <c r="L3581">
        <v>0</v>
      </c>
    </row>
    <row r="3582" spans="1:12" x14ac:dyDescent="0.3">
      <c r="A3582" t="s">
        <v>3598</v>
      </c>
      <c r="B3582" t="s">
        <v>39</v>
      </c>
      <c r="C3582">
        <v>1348</v>
      </c>
      <c r="D3582">
        <v>20.22</v>
      </c>
      <c r="E3582">
        <v>3.64</v>
      </c>
      <c r="F3582">
        <f>COUNTIFS(mdr_rate_cleaned!$A$2:$A$10,B3582,mdr_rate_cleaned!$B$2:$B$10,"&lt;"&amp;C3582,mdr_rate_cleaned!$F$2:$F$10,"&gt;="&amp;C3582)</f>
        <v>1</v>
      </c>
      <c r="G3582">
        <v>1.4999999999999999E-2</v>
      </c>
      <c r="H3582">
        <v>20.22</v>
      </c>
      <c r="I3582" t="s">
        <v>15</v>
      </c>
      <c r="J3582" t="s">
        <v>15</v>
      </c>
      <c r="K3582">
        <v>3.64</v>
      </c>
      <c r="L3582">
        <v>0</v>
      </c>
    </row>
    <row r="3583" spans="1:12" x14ac:dyDescent="0.3">
      <c r="A3583" t="s">
        <v>3599</v>
      </c>
      <c r="B3583" t="s">
        <v>21</v>
      </c>
      <c r="C3583">
        <v>1747</v>
      </c>
      <c r="D3583">
        <v>0</v>
      </c>
      <c r="E3583">
        <v>0</v>
      </c>
      <c r="F3583">
        <f>COUNTIFS(mdr_rate_cleaned!$A$2:$A$10,B3583,mdr_rate_cleaned!$B$2:$B$10,"&lt;"&amp;C3583,mdr_rate_cleaned!$F$2:$F$10,"&gt;="&amp;C3583)</f>
        <v>1</v>
      </c>
      <c r="G3583">
        <v>0</v>
      </c>
      <c r="H3583">
        <v>0</v>
      </c>
      <c r="I3583" t="s">
        <v>15</v>
      </c>
      <c r="J3583" t="s">
        <v>15</v>
      </c>
      <c r="K3583">
        <v>0</v>
      </c>
      <c r="L3583">
        <v>0</v>
      </c>
    </row>
    <row r="3584" spans="1:12" x14ac:dyDescent="0.3">
      <c r="A3584" t="s">
        <v>3600</v>
      </c>
      <c r="B3584" t="s">
        <v>39</v>
      </c>
      <c r="C3584">
        <v>349</v>
      </c>
      <c r="D3584">
        <v>5.24</v>
      </c>
      <c r="E3584">
        <v>0.94</v>
      </c>
      <c r="F3584">
        <f>COUNTIFS(mdr_rate_cleaned!$A$2:$A$10,B3584,mdr_rate_cleaned!$B$2:$B$10,"&lt;"&amp;C3584,mdr_rate_cleaned!$F$2:$F$10,"&gt;="&amp;C3584)</f>
        <v>1</v>
      </c>
      <c r="G3584">
        <v>1.4999999999999999E-2</v>
      </c>
      <c r="H3584">
        <v>5.24</v>
      </c>
      <c r="I3584" t="s">
        <v>15</v>
      </c>
      <c r="J3584" t="s">
        <v>15</v>
      </c>
      <c r="K3584">
        <v>0.94</v>
      </c>
      <c r="L3584">
        <v>0</v>
      </c>
    </row>
    <row r="3585" spans="1:12" x14ac:dyDescent="0.3">
      <c r="A3585" t="s">
        <v>3601</v>
      </c>
      <c r="B3585" t="s">
        <v>17</v>
      </c>
      <c r="C3585">
        <v>1499</v>
      </c>
      <c r="D3585">
        <v>26.98</v>
      </c>
      <c r="E3585">
        <v>4.8600000000000003</v>
      </c>
      <c r="F3585">
        <f>COUNTIFS(mdr_rate_cleaned!$A$2:$A$10,B3585,mdr_rate_cleaned!$B$2:$B$10,"&lt;"&amp;C3585,mdr_rate_cleaned!$F$2:$F$10,"&gt;="&amp;C3585)</f>
        <v>1</v>
      </c>
      <c r="G3585">
        <v>1.7999999999999999E-2</v>
      </c>
      <c r="H3585">
        <v>26.98</v>
      </c>
      <c r="I3585" t="s">
        <v>15</v>
      </c>
      <c r="J3585" t="s">
        <v>15</v>
      </c>
      <c r="K3585">
        <v>4.8600000000000003</v>
      </c>
      <c r="L3585">
        <v>0</v>
      </c>
    </row>
    <row r="3586" spans="1:12" x14ac:dyDescent="0.3">
      <c r="A3586" t="s">
        <v>3602</v>
      </c>
      <c r="B3586" t="s">
        <v>21</v>
      </c>
      <c r="C3586">
        <v>7998</v>
      </c>
      <c r="D3586">
        <v>23.99</v>
      </c>
      <c r="E3586">
        <v>4.32</v>
      </c>
      <c r="F3586">
        <f>COUNTIFS(mdr_rate_cleaned!$A$2:$A$10,B3586,mdr_rate_cleaned!$B$2:$B$10,"&lt;"&amp;C3586,mdr_rate_cleaned!$F$2:$F$10,"&gt;="&amp;C3586)</f>
        <v>1</v>
      </c>
      <c r="G3586">
        <v>3.0000000000000001E-3</v>
      </c>
      <c r="H3586">
        <v>23.99</v>
      </c>
      <c r="I3586" t="s">
        <v>15</v>
      </c>
      <c r="J3586" t="s">
        <v>15</v>
      </c>
      <c r="K3586">
        <v>4.32</v>
      </c>
      <c r="L3586">
        <v>0</v>
      </c>
    </row>
    <row r="3587" spans="1:12" x14ac:dyDescent="0.3">
      <c r="A3587" t="s">
        <v>3603</v>
      </c>
      <c r="B3587" t="s">
        <v>17</v>
      </c>
      <c r="C3587">
        <v>4298</v>
      </c>
      <c r="D3587">
        <v>68.77</v>
      </c>
      <c r="E3587">
        <v>12.38</v>
      </c>
      <c r="F3587">
        <f>COUNTIFS(mdr_rate_cleaned!$A$2:$A$10,B3587,mdr_rate_cleaned!$B$2:$B$10,"&lt;"&amp;C3587,mdr_rate_cleaned!$F$2:$F$10,"&gt;="&amp;C3587)</f>
        <v>1</v>
      </c>
      <c r="G3587">
        <v>1.6E-2</v>
      </c>
      <c r="H3587">
        <v>68.77</v>
      </c>
      <c r="I3587" t="s">
        <v>15</v>
      </c>
      <c r="J3587" t="s">
        <v>15</v>
      </c>
      <c r="K3587">
        <v>12.38</v>
      </c>
      <c r="L3587">
        <v>0</v>
      </c>
    </row>
    <row r="3588" spans="1:12" x14ac:dyDescent="0.3">
      <c r="A3588" t="s">
        <v>3604</v>
      </c>
      <c r="B3588" t="s">
        <v>13</v>
      </c>
      <c r="C3588">
        <v>6298</v>
      </c>
      <c r="D3588">
        <v>107.07</v>
      </c>
      <c r="E3588">
        <v>19.27</v>
      </c>
      <c r="F3588">
        <f>COUNTIFS(mdr_rate_cleaned!$A$2:$A$10,B3588,mdr_rate_cleaned!$B$2:$B$10,"&lt;"&amp;C3588,mdr_rate_cleaned!$F$2:$F$10,"&gt;="&amp;C3588)</f>
        <v>1</v>
      </c>
      <c r="G3588">
        <v>1.7000000000000001E-2</v>
      </c>
      <c r="H3588">
        <v>107.07</v>
      </c>
      <c r="I3588" t="s">
        <v>15</v>
      </c>
      <c r="J3588" t="s">
        <v>15</v>
      </c>
      <c r="K3588">
        <v>19.27</v>
      </c>
      <c r="L3588">
        <v>0</v>
      </c>
    </row>
    <row r="3589" spans="1:12" x14ac:dyDescent="0.3">
      <c r="A3589" t="s">
        <v>3605</v>
      </c>
      <c r="B3589" t="s">
        <v>21</v>
      </c>
      <c r="C3589">
        <v>1299</v>
      </c>
      <c r="D3589">
        <v>0</v>
      </c>
      <c r="E3589">
        <v>0</v>
      </c>
      <c r="F3589">
        <f>COUNTIFS(mdr_rate_cleaned!$A$2:$A$10,B3589,mdr_rate_cleaned!$B$2:$B$10,"&lt;"&amp;C3589,mdr_rate_cleaned!$F$2:$F$10,"&gt;="&amp;C3589)</f>
        <v>1</v>
      </c>
      <c r="G3589">
        <v>0</v>
      </c>
      <c r="H3589">
        <v>0</v>
      </c>
      <c r="I3589" t="s">
        <v>15</v>
      </c>
      <c r="J3589" t="s">
        <v>15</v>
      </c>
      <c r="K3589">
        <v>0</v>
      </c>
      <c r="L3589">
        <v>0</v>
      </c>
    </row>
    <row r="3590" spans="1:12" x14ac:dyDescent="0.3">
      <c r="A3590" t="s">
        <v>3606</v>
      </c>
      <c r="B3590" t="s">
        <v>21</v>
      </c>
      <c r="C3590">
        <v>3498</v>
      </c>
      <c r="D3590">
        <v>10.49</v>
      </c>
      <c r="E3590">
        <v>1.89</v>
      </c>
      <c r="F3590">
        <f>COUNTIFS(mdr_rate_cleaned!$A$2:$A$10,B3590,mdr_rate_cleaned!$B$2:$B$10,"&lt;"&amp;C3590,mdr_rate_cleaned!$F$2:$F$10,"&gt;="&amp;C3590)</f>
        <v>1</v>
      </c>
      <c r="G3590">
        <v>3.0000000000000001E-3</v>
      </c>
      <c r="H3590">
        <v>10.49</v>
      </c>
      <c r="I3590" t="s">
        <v>15</v>
      </c>
      <c r="J3590" t="s">
        <v>15</v>
      </c>
      <c r="K3590">
        <v>1.89</v>
      </c>
      <c r="L3590">
        <v>0</v>
      </c>
    </row>
    <row r="3591" spans="1:12" x14ac:dyDescent="0.3">
      <c r="A3591" t="s">
        <v>3607</v>
      </c>
      <c r="B3591" t="s">
        <v>39</v>
      </c>
      <c r="C3591">
        <v>1098</v>
      </c>
      <c r="D3591">
        <v>16.47</v>
      </c>
      <c r="E3591">
        <v>2.96</v>
      </c>
      <c r="F3591">
        <f>COUNTIFS(mdr_rate_cleaned!$A$2:$A$10,B3591,mdr_rate_cleaned!$B$2:$B$10,"&lt;"&amp;C3591,mdr_rate_cleaned!$F$2:$F$10,"&gt;="&amp;C3591)</f>
        <v>1</v>
      </c>
      <c r="G3591">
        <v>1.4999999999999999E-2</v>
      </c>
      <c r="H3591">
        <v>16.47</v>
      </c>
      <c r="I3591" t="s">
        <v>15</v>
      </c>
      <c r="J3591" t="s">
        <v>15</v>
      </c>
      <c r="K3591">
        <v>2.96</v>
      </c>
      <c r="L3591">
        <v>0</v>
      </c>
    </row>
    <row r="3592" spans="1:12" x14ac:dyDescent="0.3">
      <c r="A3592" t="s">
        <v>3608</v>
      </c>
      <c r="B3592" t="s">
        <v>17</v>
      </c>
      <c r="C3592">
        <v>2697</v>
      </c>
      <c r="D3592">
        <v>43.15</v>
      </c>
      <c r="E3592">
        <v>7.77</v>
      </c>
      <c r="F3592">
        <f>COUNTIFS(mdr_rate_cleaned!$A$2:$A$10,B3592,mdr_rate_cleaned!$B$2:$B$10,"&lt;"&amp;C3592,mdr_rate_cleaned!$F$2:$F$10,"&gt;="&amp;C3592)</f>
        <v>1</v>
      </c>
      <c r="G3592">
        <v>1.6E-2</v>
      </c>
      <c r="H3592">
        <v>43.15</v>
      </c>
      <c r="I3592" t="s">
        <v>15</v>
      </c>
      <c r="J3592" t="s">
        <v>15</v>
      </c>
      <c r="K3592">
        <v>7.77</v>
      </c>
      <c r="L3592">
        <v>0</v>
      </c>
    </row>
    <row r="3593" spans="1:12" x14ac:dyDescent="0.3">
      <c r="A3593" t="s">
        <v>3609</v>
      </c>
      <c r="B3593" t="s">
        <v>17</v>
      </c>
      <c r="C3593">
        <v>1299</v>
      </c>
      <c r="D3593">
        <v>23.38</v>
      </c>
      <c r="E3593">
        <v>4.21</v>
      </c>
      <c r="F3593">
        <f>COUNTIFS(mdr_rate_cleaned!$A$2:$A$10,B3593,mdr_rate_cleaned!$B$2:$B$10,"&lt;"&amp;C3593,mdr_rate_cleaned!$F$2:$F$10,"&gt;="&amp;C3593)</f>
        <v>1</v>
      </c>
      <c r="G3593">
        <v>1.7999999999999999E-2</v>
      </c>
      <c r="H3593">
        <v>23.38</v>
      </c>
      <c r="I3593" t="s">
        <v>15</v>
      </c>
      <c r="J3593" t="s">
        <v>15</v>
      </c>
      <c r="K3593">
        <v>4.21</v>
      </c>
      <c r="L3593">
        <v>0</v>
      </c>
    </row>
    <row r="3594" spans="1:12" x14ac:dyDescent="0.3">
      <c r="A3594" t="s">
        <v>3610</v>
      </c>
      <c r="B3594" t="s">
        <v>13</v>
      </c>
      <c r="C3594">
        <v>1798</v>
      </c>
      <c r="D3594">
        <v>34.159999999999997</v>
      </c>
      <c r="E3594">
        <v>6.15</v>
      </c>
      <c r="F3594">
        <f>COUNTIFS(mdr_rate_cleaned!$A$2:$A$10,B3594,mdr_rate_cleaned!$B$2:$B$10,"&lt;"&amp;C3594,mdr_rate_cleaned!$F$2:$F$10,"&gt;="&amp;C3594)</f>
        <v>1</v>
      </c>
      <c r="G3594">
        <v>1.9E-2</v>
      </c>
      <c r="H3594">
        <v>34.159999999999997</v>
      </c>
      <c r="I3594" t="s">
        <v>15</v>
      </c>
      <c r="J3594" t="s">
        <v>15</v>
      </c>
      <c r="K3594">
        <v>6.15</v>
      </c>
      <c r="L3594">
        <v>0</v>
      </c>
    </row>
    <row r="3595" spans="1:12" x14ac:dyDescent="0.3">
      <c r="A3595" t="s">
        <v>3611</v>
      </c>
      <c r="B3595" t="s">
        <v>21</v>
      </c>
      <c r="C3595">
        <v>2498</v>
      </c>
      <c r="D3595">
        <v>7.49</v>
      </c>
      <c r="E3595">
        <v>1.35</v>
      </c>
      <c r="F3595">
        <f>COUNTIFS(mdr_rate_cleaned!$A$2:$A$10,B3595,mdr_rate_cleaned!$B$2:$B$10,"&lt;"&amp;C3595,mdr_rate_cleaned!$F$2:$F$10,"&gt;="&amp;C3595)</f>
        <v>1</v>
      </c>
      <c r="G3595">
        <v>3.0000000000000001E-3</v>
      </c>
      <c r="H3595">
        <v>7.49</v>
      </c>
      <c r="I3595" t="s">
        <v>15</v>
      </c>
      <c r="J3595" t="s">
        <v>15</v>
      </c>
      <c r="K3595">
        <v>1.35</v>
      </c>
      <c r="L3595">
        <v>0</v>
      </c>
    </row>
    <row r="3596" spans="1:12" x14ac:dyDescent="0.3">
      <c r="A3596" t="s">
        <v>3612</v>
      </c>
      <c r="B3596" t="s">
        <v>21</v>
      </c>
      <c r="C3596">
        <v>6298</v>
      </c>
      <c r="D3596">
        <v>18.89</v>
      </c>
      <c r="E3596">
        <v>3.4</v>
      </c>
      <c r="F3596">
        <f>COUNTIFS(mdr_rate_cleaned!$A$2:$A$10,B3596,mdr_rate_cleaned!$B$2:$B$10,"&lt;"&amp;C3596,mdr_rate_cleaned!$F$2:$F$10,"&gt;="&amp;C3596)</f>
        <v>1</v>
      </c>
      <c r="G3596">
        <v>3.0000000000000001E-3</v>
      </c>
      <c r="H3596">
        <v>18.89</v>
      </c>
      <c r="I3596" t="s">
        <v>15</v>
      </c>
      <c r="J3596" t="s">
        <v>15</v>
      </c>
      <c r="K3596">
        <v>3.4</v>
      </c>
      <c r="L3596">
        <v>0</v>
      </c>
    </row>
    <row r="3597" spans="1:12" x14ac:dyDescent="0.3">
      <c r="A3597" t="s">
        <v>3613</v>
      </c>
      <c r="B3597" t="s">
        <v>13</v>
      </c>
      <c r="C3597">
        <v>2848</v>
      </c>
      <c r="D3597">
        <v>48.42</v>
      </c>
      <c r="E3597">
        <v>8.7200000000000006</v>
      </c>
      <c r="F3597">
        <f>COUNTIFS(mdr_rate_cleaned!$A$2:$A$10,B3597,mdr_rate_cleaned!$B$2:$B$10,"&lt;"&amp;C3597,mdr_rate_cleaned!$F$2:$F$10,"&gt;="&amp;C3597)</f>
        <v>1</v>
      </c>
      <c r="G3597">
        <v>1.7000000000000001E-2</v>
      </c>
      <c r="H3597">
        <v>48.42</v>
      </c>
      <c r="I3597" t="s">
        <v>15</v>
      </c>
      <c r="J3597" t="s">
        <v>15</v>
      </c>
      <c r="K3597">
        <v>8.7200000000000006</v>
      </c>
      <c r="L3597">
        <v>0</v>
      </c>
    </row>
    <row r="3598" spans="1:12" x14ac:dyDescent="0.3">
      <c r="A3598" t="s">
        <v>3614</v>
      </c>
      <c r="B3598" t="s">
        <v>21</v>
      </c>
      <c r="C3598">
        <v>599</v>
      </c>
      <c r="D3598">
        <v>0</v>
      </c>
      <c r="E3598">
        <v>0</v>
      </c>
      <c r="F3598">
        <f>COUNTIFS(mdr_rate_cleaned!$A$2:$A$10,B3598,mdr_rate_cleaned!$B$2:$B$10,"&lt;"&amp;C3598,mdr_rate_cleaned!$F$2:$F$10,"&gt;="&amp;C3598)</f>
        <v>1</v>
      </c>
      <c r="G3598">
        <v>0</v>
      </c>
      <c r="H3598">
        <v>0</v>
      </c>
      <c r="I3598" t="s">
        <v>15</v>
      </c>
      <c r="J3598" t="s">
        <v>15</v>
      </c>
      <c r="K3598">
        <v>0</v>
      </c>
      <c r="L3598">
        <v>0</v>
      </c>
    </row>
    <row r="3599" spans="1:12" x14ac:dyDescent="0.3">
      <c r="A3599" t="s">
        <v>3615</v>
      </c>
      <c r="B3599" t="s">
        <v>13</v>
      </c>
      <c r="C3599">
        <v>599</v>
      </c>
      <c r="D3599">
        <v>11.38</v>
      </c>
      <c r="E3599">
        <v>2.0499999999999998</v>
      </c>
      <c r="F3599">
        <f>COUNTIFS(mdr_rate_cleaned!$A$2:$A$10,B3599,mdr_rate_cleaned!$B$2:$B$10,"&lt;"&amp;C3599,mdr_rate_cleaned!$F$2:$F$10,"&gt;="&amp;C3599)</f>
        <v>1</v>
      </c>
      <c r="G3599">
        <v>1.9E-2</v>
      </c>
      <c r="H3599">
        <v>11.38</v>
      </c>
      <c r="I3599" t="s">
        <v>15</v>
      </c>
      <c r="J3599" t="s">
        <v>15</v>
      </c>
      <c r="K3599">
        <v>2.0499999999999998</v>
      </c>
      <c r="L3599">
        <v>0</v>
      </c>
    </row>
    <row r="3600" spans="1:12" x14ac:dyDescent="0.3">
      <c r="A3600" t="s">
        <v>3616</v>
      </c>
      <c r="B3600" t="s">
        <v>21</v>
      </c>
      <c r="C3600">
        <v>4797</v>
      </c>
      <c r="D3600">
        <v>14.39</v>
      </c>
      <c r="E3600">
        <v>2.59</v>
      </c>
      <c r="F3600">
        <f>COUNTIFS(mdr_rate_cleaned!$A$2:$A$10,B3600,mdr_rate_cleaned!$B$2:$B$10,"&lt;"&amp;C3600,mdr_rate_cleaned!$F$2:$F$10,"&gt;="&amp;C3600)</f>
        <v>1</v>
      </c>
      <c r="G3600">
        <v>3.0000000000000001E-3</v>
      </c>
      <c r="H3600">
        <v>14.39</v>
      </c>
      <c r="I3600" t="s">
        <v>15</v>
      </c>
      <c r="J3600" t="s">
        <v>15</v>
      </c>
      <c r="K3600">
        <v>2.59</v>
      </c>
      <c r="L3600">
        <v>0</v>
      </c>
    </row>
    <row r="3601" spans="1:12" x14ac:dyDescent="0.3">
      <c r="A3601" t="s">
        <v>3617</v>
      </c>
      <c r="B3601" t="s">
        <v>21</v>
      </c>
      <c r="C3601">
        <v>4298</v>
      </c>
      <c r="D3601">
        <v>12.89</v>
      </c>
      <c r="E3601">
        <v>2.3199999999999998</v>
      </c>
      <c r="F3601">
        <f>COUNTIFS(mdr_rate_cleaned!$A$2:$A$10,B3601,mdr_rate_cleaned!$B$2:$B$10,"&lt;"&amp;C3601,mdr_rate_cleaned!$F$2:$F$10,"&gt;="&amp;C3601)</f>
        <v>1</v>
      </c>
      <c r="G3601">
        <v>3.0000000000000001E-3</v>
      </c>
      <c r="H3601">
        <v>12.89</v>
      </c>
      <c r="I3601" t="s">
        <v>15</v>
      </c>
      <c r="J3601" t="s">
        <v>15</v>
      </c>
      <c r="K3601">
        <v>2.3199999999999998</v>
      </c>
      <c r="L3601">
        <v>0</v>
      </c>
    </row>
    <row r="3602" spans="1:12" x14ac:dyDescent="0.3">
      <c r="A3602" t="s">
        <v>3618</v>
      </c>
      <c r="B3602" t="s">
        <v>21</v>
      </c>
      <c r="C3602">
        <v>9597</v>
      </c>
      <c r="D3602">
        <v>28.79</v>
      </c>
      <c r="E3602">
        <v>5.18</v>
      </c>
      <c r="F3602">
        <f>COUNTIFS(mdr_rate_cleaned!$A$2:$A$10,B3602,mdr_rate_cleaned!$B$2:$B$10,"&lt;"&amp;C3602,mdr_rate_cleaned!$F$2:$F$10,"&gt;="&amp;C3602)</f>
        <v>1</v>
      </c>
      <c r="G3602">
        <v>3.0000000000000001E-3</v>
      </c>
      <c r="H3602">
        <v>28.79</v>
      </c>
      <c r="I3602" t="s">
        <v>15</v>
      </c>
      <c r="J3602" t="s">
        <v>15</v>
      </c>
      <c r="K3602">
        <v>5.18</v>
      </c>
      <c r="L3602">
        <v>0</v>
      </c>
    </row>
    <row r="3603" spans="1:12" x14ac:dyDescent="0.3">
      <c r="A3603" t="s">
        <v>3619</v>
      </c>
      <c r="B3603" t="s">
        <v>21</v>
      </c>
      <c r="C3603">
        <v>2999</v>
      </c>
      <c r="D3603">
        <v>9</v>
      </c>
      <c r="E3603">
        <v>1.62</v>
      </c>
      <c r="F3603">
        <f>COUNTIFS(mdr_rate_cleaned!$A$2:$A$10,B3603,mdr_rate_cleaned!$B$2:$B$10,"&lt;"&amp;C3603,mdr_rate_cleaned!$F$2:$F$10,"&gt;="&amp;C3603)</f>
        <v>1</v>
      </c>
      <c r="G3603">
        <v>3.0000000000000001E-3</v>
      </c>
      <c r="H3603">
        <v>9</v>
      </c>
      <c r="I3603" t="s">
        <v>15</v>
      </c>
      <c r="J3603" t="s">
        <v>15</v>
      </c>
      <c r="K3603">
        <v>1.62</v>
      </c>
      <c r="L3603">
        <v>0</v>
      </c>
    </row>
    <row r="3604" spans="1:12" x14ac:dyDescent="0.3">
      <c r="A3604" t="s">
        <v>3620</v>
      </c>
      <c r="B3604" t="s">
        <v>17</v>
      </c>
      <c r="C3604">
        <v>299</v>
      </c>
      <c r="D3604">
        <v>5.38</v>
      </c>
      <c r="E3604">
        <v>0.97</v>
      </c>
      <c r="F3604">
        <f>COUNTIFS(mdr_rate_cleaned!$A$2:$A$10,B3604,mdr_rate_cleaned!$B$2:$B$10,"&lt;"&amp;C3604,mdr_rate_cleaned!$F$2:$F$10,"&gt;="&amp;C3604)</f>
        <v>1</v>
      </c>
      <c r="G3604">
        <v>1.7999999999999999E-2</v>
      </c>
      <c r="H3604">
        <v>5.38</v>
      </c>
      <c r="I3604" t="s">
        <v>15</v>
      </c>
      <c r="J3604" t="s">
        <v>15</v>
      </c>
      <c r="K3604">
        <v>0.97</v>
      </c>
      <c r="L3604">
        <v>0</v>
      </c>
    </row>
    <row r="3605" spans="1:12" x14ac:dyDescent="0.3">
      <c r="A3605" t="s">
        <v>3621</v>
      </c>
      <c r="B3605" t="s">
        <v>17</v>
      </c>
      <c r="C3605">
        <v>499</v>
      </c>
      <c r="D3605">
        <v>8.98</v>
      </c>
      <c r="E3605">
        <v>1.62</v>
      </c>
      <c r="F3605">
        <f>COUNTIFS(mdr_rate_cleaned!$A$2:$A$10,B3605,mdr_rate_cleaned!$B$2:$B$10,"&lt;"&amp;C3605,mdr_rate_cleaned!$F$2:$F$10,"&gt;="&amp;C3605)</f>
        <v>1</v>
      </c>
      <c r="G3605">
        <v>1.7999999999999999E-2</v>
      </c>
      <c r="H3605">
        <v>8.98</v>
      </c>
      <c r="I3605" t="s">
        <v>15</v>
      </c>
      <c r="J3605" t="s">
        <v>15</v>
      </c>
      <c r="K3605">
        <v>1.62</v>
      </c>
      <c r="L3605">
        <v>0</v>
      </c>
    </row>
    <row r="3606" spans="1:12" x14ac:dyDescent="0.3">
      <c r="A3606" t="s">
        <v>3622</v>
      </c>
      <c r="B3606" t="s">
        <v>21</v>
      </c>
      <c r="C3606">
        <v>3499</v>
      </c>
      <c r="D3606">
        <v>10.5</v>
      </c>
      <c r="E3606">
        <v>1.89</v>
      </c>
      <c r="F3606">
        <f>COUNTIFS(mdr_rate_cleaned!$A$2:$A$10,B3606,mdr_rate_cleaned!$B$2:$B$10,"&lt;"&amp;C3606,mdr_rate_cleaned!$F$2:$F$10,"&gt;="&amp;C3606)</f>
        <v>1</v>
      </c>
      <c r="G3606">
        <v>3.0000000000000001E-3</v>
      </c>
      <c r="H3606">
        <v>10.5</v>
      </c>
      <c r="I3606" t="s">
        <v>15</v>
      </c>
      <c r="J3606" t="s">
        <v>15</v>
      </c>
      <c r="K3606">
        <v>1.89</v>
      </c>
      <c r="L3606">
        <v>0</v>
      </c>
    </row>
    <row r="3607" spans="1:12" x14ac:dyDescent="0.3">
      <c r="A3607" t="s">
        <v>3623</v>
      </c>
      <c r="B3607" t="s">
        <v>21</v>
      </c>
      <c r="C3607">
        <v>8647</v>
      </c>
      <c r="D3607">
        <v>25.94</v>
      </c>
      <c r="E3607">
        <v>4.67</v>
      </c>
      <c r="F3607">
        <f>COUNTIFS(mdr_rate_cleaned!$A$2:$A$10,B3607,mdr_rate_cleaned!$B$2:$B$10,"&lt;"&amp;C3607,mdr_rate_cleaned!$F$2:$F$10,"&gt;="&amp;C3607)</f>
        <v>1</v>
      </c>
      <c r="G3607">
        <v>3.0000000000000001E-3</v>
      </c>
      <c r="H3607">
        <v>25.94</v>
      </c>
      <c r="I3607" t="s">
        <v>15</v>
      </c>
      <c r="J3607" t="s">
        <v>15</v>
      </c>
      <c r="K3607">
        <v>4.67</v>
      </c>
      <c r="L3607">
        <v>0</v>
      </c>
    </row>
    <row r="3608" spans="1:12" x14ac:dyDescent="0.3">
      <c r="A3608" t="s">
        <v>3624</v>
      </c>
      <c r="B3608" t="s">
        <v>21</v>
      </c>
      <c r="C3608">
        <v>2097</v>
      </c>
      <c r="D3608">
        <v>6.29</v>
      </c>
      <c r="E3608">
        <v>1.1299999999999999</v>
      </c>
      <c r="F3608">
        <f>COUNTIFS(mdr_rate_cleaned!$A$2:$A$10,B3608,mdr_rate_cleaned!$B$2:$B$10,"&lt;"&amp;C3608,mdr_rate_cleaned!$F$2:$F$10,"&gt;="&amp;C3608)</f>
        <v>1</v>
      </c>
      <c r="G3608">
        <v>3.0000000000000001E-3</v>
      </c>
      <c r="H3608">
        <v>6.29</v>
      </c>
      <c r="I3608" t="s">
        <v>15</v>
      </c>
      <c r="J3608" t="s">
        <v>15</v>
      </c>
      <c r="K3608">
        <v>1.1299999999999999</v>
      </c>
      <c r="L3608">
        <v>0</v>
      </c>
    </row>
    <row r="3609" spans="1:12" x14ac:dyDescent="0.3">
      <c r="A3609" t="s">
        <v>3625</v>
      </c>
      <c r="B3609" t="s">
        <v>13</v>
      </c>
      <c r="C3609">
        <v>6297</v>
      </c>
      <c r="D3609">
        <v>151.13</v>
      </c>
      <c r="E3609">
        <v>27.2</v>
      </c>
      <c r="F3609">
        <f>COUNTIFS(mdr_rate_cleaned!$A$2:$A$10,B3609,mdr_rate_cleaned!$B$2:$B$10,"&lt;"&amp;C3609,mdr_rate_cleaned!$F$2:$F$10,"&gt;="&amp;C3609)</f>
        <v>1</v>
      </c>
      <c r="G3609">
        <v>1.7000000000000001E-2</v>
      </c>
      <c r="H3609">
        <v>107.05</v>
      </c>
      <c r="I3609" t="s">
        <v>14</v>
      </c>
      <c r="J3609" t="s">
        <v>15</v>
      </c>
      <c r="K3609">
        <v>19.27</v>
      </c>
      <c r="L3609">
        <v>52.01</v>
      </c>
    </row>
    <row r="3610" spans="1:12" x14ac:dyDescent="0.3">
      <c r="A3610" t="s">
        <v>3626</v>
      </c>
      <c r="B3610" t="s">
        <v>17</v>
      </c>
      <c r="C3610">
        <v>848</v>
      </c>
      <c r="D3610">
        <v>15.26</v>
      </c>
      <c r="E3610">
        <v>2.75</v>
      </c>
      <c r="F3610">
        <f>COUNTIFS(mdr_rate_cleaned!$A$2:$A$10,B3610,mdr_rate_cleaned!$B$2:$B$10,"&lt;"&amp;C3610,mdr_rate_cleaned!$F$2:$F$10,"&gt;="&amp;C3610)</f>
        <v>1</v>
      </c>
      <c r="G3610">
        <v>1.7999999999999999E-2</v>
      </c>
      <c r="H3610">
        <v>15.26</v>
      </c>
      <c r="I3610" t="s">
        <v>15</v>
      </c>
      <c r="J3610" t="s">
        <v>15</v>
      </c>
      <c r="K3610">
        <v>2.75</v>
      </c>
      <c r="L3610">
        <v>0</v>
      </c>
    </row>
    <row r="3611" spans="1:12" x14ac:dyDescent="0.3">
      <c r="A3611" t="s">
        <v>3627</v>
      </c>
      <c r="B3611" t="s">
        <v>21</v>
      </c>
      <c r="C3611">
        <v>3499</v>
      </c>
      <c r="D3611">
        <v>10.5</v>
      </c>
      <c r="E3611">
        <v>1.89</v>
      </c>
      <c r="F3611">
        <f>COUNTIFS(mdr_rate_cleaned!$A$2:$A$10,B3611,mdr_rate_cleaned!$B$2:$B$10,"&lt;"&amp;C3611,mdr_rate_cleaned!$F$2:$F$10,"&gt;="&amp;C3611)</f>
        <v>1</v>
      </c>
      <c r="G3611">
        <v>3.0000000000000001E-3</v>
      </c>
      <c r="H3611">
        <v>10.5</v>
      </c>
      <c r="I3611" t="s">
        <v>15</v>
      </c>
      <c r="J3611" t="s">
        <v>15</v>
      </c>
      <c r="K3611">
        <v>1.89</v>
      </c>
      <c r="L3611">
        <v>0</v>
      </c>
    </row>
    <row r="3612" spans="1:12" x14ac:dyDescent="0.3">
      <c r="A3612" t="s">
        <v>3628</v>
      </c>
      <c r="B3612" t="s">
        <v>13</v>
      </c>
      <c r="C3612">
        <v>3348</v>
      </c>
      <c r="D3612">
        <v>56.92</v>
      </c>
      <c r="E3612">
        <v>10.25</v>
      </c>
      <c r="F3612">
        <f>COUNTIFS(mdr_rate_cleaned!$A$2:$A$10,B3612,mdr_rate_cleaned!$B$2:$B$10,"&lt;"&amp;C3612,mdr_rate_cleaned!$F$2:$F$10,"&gt;="&amp;C3612)</f>
        <v>1</v>
      </c>
      <c r="G3612">
        <v>1.7000000000000001E-2</v>
      </c>
      <c r="H3612">
        <v>56.92</v>
      </c>
      <c r="I3612" t="s">
        <v>15</v>
      </c>
      <c r="J3612" t="s">
        <v>15</v>
      </c>
      <c r="K3612">
        <v>10.25</v>
      </c>
      <c r="L3612">
        <v>0</v>
      </c>
    </row>
    <row r="3613" spans="1:12" x14ac:dyDescent="0.3">
      <c r="A3613" t="s">
        <v>3629</v>
      </c>
      <c r="B3613" t="s">
        <v>21</v>
      </c>
      <c r="C3613">
        <v>1898</v>
      </c>
      <c r="D3613">
        <v>0</v>
      </c>
      <c r="E3613">
        <v>0</v>
      </c>
      <c r="F3613">
        <f>COUNTIFS(mdr_rate_cleaned!$A$2:$A$10,B3613,mdr_rate_cleaned!$B$2:$B$10,"&lt;"&amp;C3613,mdr_rate_cleaned!$F$2:$F$10,"&gt;="&amp;C3613)</f>
        <v>1</v>
      </c>
      <c r="G3613">
        <v>0</v>
      </c>
      <c r="H3613">
        <v>0</v>
      </c>
      <c r="I3613" t="s">
        <v>15</v>
      </c>
      <c r="J3613" t="s">
        <v>15</v>
      </c>
      <c r="K3613">
        <v>0</v>
      </c>
      <c r="L3613">
        <v>0</v>
      </c>
    </row>
    <row r="3614" spans="1:12" x14ac:dyDescent="0.3">
      <c r="A3614" t="s">
        <v>3630</v>
      </c>
      <c r="B3614" t="s">
        <v>21</v>
      </c>
      <c r="C3614">
        <v>1148</v>
      </c>
      <c r="D3614">
        <v>0</v>
      </c>
      <c r="E3614">
        <v>0</v>
      </c>
      <c r="F3614">
        <f>COUNTIFS(mdr_rate_cleaned!$A$2:$A$10,B3614,mdr_rate_cleaned!$B$2:$B$10,"&lt;"&amp;C3614,mdr_rate_cleaned!$F$2:$F$10,"&gt;="&amp;C3614)</f>
        <v>1</v>
      </c>
      <c r="G3614">
        <v>0</v>
      </c>
      <c r="H3614">
        <v>0</v>
      </c>
      <c r="I3614" t="s">
        <v>15</v>
      </c>
      <c r="J3614" t="s">
        <v>15</v>
      </c>
      <c r="K3614">
        <v>0</v>
      </c>
      <c r="L3614">
        <v>0</v>
      </c>
    </row>
    <row r="3615" spans="1:12" x14ac:dyDescent="0.3">
      <c r="A3615" t="s">
        <v>3631</v>
      </c>
      <c r="B3615" t="s">
        <v>21</v>
      </c>
      <c r="C3615">
        <v>2447</v>
      </c>
      <c r="D3615">
        <v>7.34</v>
      </c>
      <c r="E3615">
        <v>1.32</v>
      </c>
      <c r="F3615">
        <f>COUNTIFS(mdr_rate_cleaned!$A$2:$A$10,B3615,mdr_rate_cleaned!$B$2:$B$10,"&lt;"&amp;C3615,mdr_rate_cleaned!$F$2:$F$10,"&gt;="&amp;C3615)</f>
        <v>1</v>
      </c>
      <c r="G3615">
        <v>3.0000000000000001E-3</v>
      </c>
      <c r="H3615">
        <v>7.34</v>
      </c>
      <c r="I3615" t="s">
        <v>15</v>
      </c>
      <c r="J3615" t="s">
        <v>15</v>
      </c>
      <c r="K3615">
        <v>1.32</v>
      </c>
      <c r="L3615">
        <v>0</v>
      </c>
    </row>
    <row r="3616" spans="1:12" x14ac:dyDescent="0.3">
      <c r="A3616" t="s">
        <v>3632</v>
      </c>
      <c r="B3616" t="s">
        <v>17</v>
      </c>
      <c r="C3616">
        <v>7999</v>
      </c>
      <c r="D3616">
        <v>127.98</v>
      </c>
      <c r="E3616">
        <v>23.04</v>
      </c>
      <c r="F3616">
        <f>COUNTIFS(mdr_rate_cleaned!$A$2:$A$10,B3616,mdr_rate_cleaned!$B$2:$B$10,"&lt;"&amp;C3616,mdr_rate_cleaned!$F$2:$F$10,"&gt;="&amp;C3616)</f>
        <v>1</v>
      </c>
      <c r="G3616">
        <v>1.6E-2</v>
      </c>
      <c r="H3616">
        <v>127.98</v>
      </c>
      <c r="I3616" t="s">
        <v>15</v>
      </c>
      <c r="J3616" t="s">
        <v>15</v>
      </c>
      <c r="K3616">
        <v>23.04</v>
      </c>
      <c r="L3616">
        <v>0</v>
      </c>
    </row>
    <row r="3617" spans="1:12" x14ac:dyDescent="0.3">
      <c r="A3617" t="s">
        <v>3633</v>
      </c>
      <c r="B3617" t="s">
        <v>21</v>
      </c>
      <c r="C3617">
        <v>3798</v>
      </c>
      <c r="D3617">
        <v>11.39</v>
      </c>
      <c r="E3617">
        <v>2.0499999999999998</v>
      </c>
      <c r="F3617">
        <f>COUNTIFS(mdr_rate_cleaned!$A$2:$A$10,B3617,mdr_rate_cleaned!$B$2:$B$10,"&lt;"&amp;C3617,mdr_rate_cleaned!$F$2:$F$10,"&gt;="&amp;C3617)</f>
        <v>1</v>
      </c>
      <c r="G3617">
        <v>3.0000000000000001E-3</v>
      </c>
      <c r="H3617">
        <v>11.39</v>
      </c>
      <c r="I3617" t="s">
        <v>15</v>
      </c>
      <c r="J3617" t="s">
        <v>15</v>
      </c>
      <c r="K3617">
        <v>2.0499999999999998</v>
      </c>
      <c r="L3617">
        <v>0</v>
      </c>
    </row>
    <row r="3618" spans="1:12" x14ac:dyDescent="0.3">
      <c r="A3618" t="s">
        <v>3634</v>
      </c>
      <c r="B3618" t="s">
        <v>21</v>
      </c>
      <c r="C3618">
        <v>5097</v>
      </c>
      <c r="D3618">
        <v>15.29</v>
      </c>
      <c r="E3618">
        <v>2.75</v>
      </c>
      <c r="F3618">
        <f>COUNTIFS(mdr_rate_cleaned!$A$2:$A$10,B3618,mdr_rate_cleaned!$B$2:$B$10,"&lt;"&amp;C3618,mdr_rate_cleaned!$F$2:$F$10,"&gt;="&amp;C3618)</f>
        <v>1</v>
      </c>
      <c r="G3618">
        <v>3.0000000000000001E-3</v>
      </c>
      <c r="H3618">
        <v>15.29</v>
      </c>
      <c r="I3618" t="s">
        <v>15</v>
      </c>
      <c r="J3618" t="s">
        <v>15</v>
      </c>
      <c r="K3618">
        <v>2.75</v>
      </c>
      <c r="L3618">
        <v>0</v>
      </c>
    </row>
    <row r="3619" spans="1:12" x14ac:dyDescent="0.3">
      <c r="A3619" t="s">
        <v>3635</v>
      </c>
      <c r="B3619" t="s">
        <v>17</v>
      </c>
      <c r="C3619">
        <v>1848</v>
      </c>
      <c r="D3619">
        <v>33.26</v>
      </c>
      <c r="E3619">
        <v>5.99</v>
      </c>
      <c r="F3619">
        <f>COUNTIFS(mdr_rate_cleaned!$A$2:$A$10,B3619,mdr_rate_cleaned!$B$2:$B$10,"&lt;"&amp;C3619,mdr_rate_cleaned!$F$2:$F$10,"&gt;="&amp;C3619)</f>
        <v>1</v>
      </c>
      <c r="G3619">
        <v>1.7999999999999999E-2</v>
      </c>
      <c r="H3619">
        <v>33.26</v>
      </c>
      <c r="I3619" t="s">
        <v>15</v>
      </c>
      <c r="J3619" t="s">
        <v>15</v>
      </c>
      <c r="K3619">
        <v>5.99</v>
      </c>
      <c r="L3619">
        <v>0</v>
      </c>
    </row>
    <row r="3620" spans="1:12" x14ac:dyDescent="0.3">
      <c r="A3620" t="s">
        <v>3636</v>
      </c>
      <c r="B3620" t="s">
        <v>21</v>
      </c>
      <c r="C3620">
        <v>349</v>
      </c>
      <c r="D3620">
        <v>0</v>
      </c>
      <c r="E3620">
        <v>0</v>
      </c>
      <c r="F3620">
        <f>COUNTIFS(mdr_rate_cleaned!$A$2:$A$10,B3620,mdr_rate_cleaned!$B$2:$B$10,"&lt;"&amp;C3620,mdr_rate_cleaned!$F$2:$F$10,"&gt;="&amp;C3620)</f>
        <v>1</v>
      </c>
      <c r="G3620">
        <v>0</v>
      </c>
      <c r="H3620">
        <v>0</v>
      </c>
      <c r="I3620" t="s">
        <v>15</v>
      </c>
      <c r="J3620" t="s">
        <v>15</v>
      </c>
      <c r="K3620">
        <v>0</v>
      </c>
      <c r="L3620">
        <v>0</v>
      </c>
    </row>
    <row r="3621" spans="1:12" x14ac:dyDescent="0.3">
      <c r="A3621" t="s">
        <v>3637</v>
      </c>
      <c r="B3621" t="s">
        <v>17</v>
      </c>
      <c r="C3621">
        <v>2298</v>
      </c>
      <c r="D3621">
        <v>36.770000000000003</v>
      </c>
      <c r="E3621">
        <v>6.62</v>
      </c>
      <c r="F3621">
        <f>COUNTIFS(mdr_rate_cleaned!$A$2:$A$10,B3621,mdr_rate_cleaned!$B$2:$B$10,"&lt;"&amp;C3621,mdr_rate_cleaned!$F$2:$F$10,"&gt;="&amp;C3621)</f>
        <v>1</v>
      </c>
      <c r="G3621">
        <v>1.6E-2</v>
      </c>
      <c r="H3621">
        <v>36.770000000000003</v>
      </c>
      <c r="I3621" t="s">
        <v>15</v>
      </c>
      <c r="J3621" t="s">
        <v>15</v>
      </c>
      <c r="K3621">
        <v>6.62</v>
      </c>
      <c r="L3621">
        <v>0</v>
      </c>
    </row>
    <row r="3622" spans="1:12" x14ac:dyDescent="0.3">
      <c r="A3622" t="s">
        <v>3638</v>
      </c>
      <c r="B3622" t="s">
        <v>21</v>
      </c>
      <c r="C3622">
        <v>349</v>
      </c>
      <c r="D3622">
        <v>0</v>
      </c>
      <c r="E3622">
        <v>0</v>
      </c>
      <c r="F3622">
        <f>COUNTIFS(mdr_rate_cleaned!$A$2:$A$10,B3622,mdr_rate_cleaned!$B$2:$B$10,"&lt;"&amp;C3622,mdr_rate_cleaned!$F$2:$F$10,"&gt;="&amp;C3622)</f>
        <v>1</v>
      </c>
      <c r="G3622">
        <v>0</v>
      </c>
      <c r="H3622">
        <v>0</v>
      </c>
      <c r="I3622" t="s">
        <v>15</v>
      </c>
      <c r="J3622" t="s">
        <v>15</v>
      </c>
      <c r="K3622">
        <v>0</v>
      </c>
      <c r="L3622">
        <v>0</v>
      </c>
    </row>
    <row r="3623" spans="1:12" x14ac:dyDescent="0.3">
      <c r="A3623" t="s">
        <v>3639</v>
      </c>
      <c r="B3623" t="s">
        <v>13</v>
      </c>
      <c r="C3623">
        <v>6498</v>
      </c>
      <c r="D3623">
        <v>110.47</v>
      </c>
      <c r="E3623">
        <v>19.88</v>
      </c>
      <c r="F3623">
        <f>COUNTIFS(mdr_rate_cleaned!$A$2:$A$10,B3623,mdr_rate_cleaned!$B$2:$B$10,"&lt;"&amp;C3623,mdr_rate_cleaned!$F$2:$F$10,"&gt;="&amp;C3623)</f>
        <v>1</v>
      </c>
      <c r="G3623">
        <v>1.7000000000000001E-2</v>
      </c>
      <c r="H3623">
        <v>110.47</v>
      </c>
      <c r="I3623" t="s">
        <v>15</v>
      </c>
      <c r="J3623" t="s">
        <v>15</v>
      </c>
      <c r="K3623">
        <v>19.88</v>
      </c>
      <c r="L3623">
        <v>0</v>
      </c>
    </row>
    <row r="3624" spans="1:12" x14ac:dyDescent="0.3">
      <c r="A3624" t="s">
        <v>3640</v>
      </c>
      <c r="B3624" t="s">
        <v>21</v>
      </c>
      <c r="C3624">
        <v>1299</v>
      </c>
      <c r="D3624">
        <v>0</v>
      </c>
      <c r="E3624">
        <v>0</v>
      </c>
      <c r="F3624">
        <f>COUNTIFS(mdr_rate_cleaned!$A$2:$A$10,B3624,mdr_rate_cleaned!$B$2:$B$10,"&lt;"&amp;C3624,mdr_rate_cleaned!$F$2:$F$10,"&gt;="&amp;C3624)</f>
        <v>1</v>
      </c>
      <c r="G3624">
        <v>0</v>
      </c>
      <c r="H3624">
        <v>0</v>
      </c>
      <c r="I3624" t="s">
        <v>15</v>
      </c>
      <c r="J3624" t="s">
        <v>15</v>
      </c>
      <c r="K3624">
        <v>0</v>
      </c>
      <c r="L3624">
        <v>0</v>
      </c>
    </row>
    <row r="3625" spans="1:12" x14ac:dyDescent="0.3">
      <c r="A3625" t="s">
        <v>3641</v>
      </c>
      <c r="B3625" t="s">
        <v>21</v>
      </c>
      <c r="C3625">
        <v>4298</v>
      </c>
      <c r="D3625">
        <v>12.89</v>
      </c>
      <c r="E3625">
        <v>2.3199999999999998</v>
      </c>
      <c r="F3625">
        <f>COUNTIFS(mdr_rate_cleaned!$A$2:$A$10,B3625,mdr_rate_cleaned!$B$2:$B$10,"&lt;"&amp;C3625,mdr_rate_cleaned!$F$2:$F$10,"&gt;="&amp;C3625)</f>
        <v>1</v>
      </c>
      <c r="G3625">
        <v>3.0000000000000001E-3</v>
      </c>
      <c r="H3625">
        <v>12.89</v>
      </c>
      <c r="I3625" t="s">
        <v>15</v>
      </c>
      <c r="J3625" t="s">
        <v>15</v>
      </c>
      <c r="K3625">
        <v>2.3199999999999998</v>
      </c>
      <c r="L3625">
        <v>0</v>
      </c>
    </row>
    <row r="3626" spans="1:12" x14ac:dyDescent="0.3">
      <c r="A3626" t="s">
        <v>3642</v>
      </c>
      <c r="B3626" t="s">
        <v>13</v>
      </c>
      <c r="C3626">
        <v>2798</v>
      </c>
      <c r="D3626">
        <v>47.57</v>
      </c>
      <c r="E3626">
        <v>8.56</v>
      </c>
      <c r="F3626">
        <f>COUNTIFS(mdr_rate_cleaned!$A$2:$A$10,B3626,mdr_rate_cleaned!$B$2:$B$10,"&lt;"&amp;C3626,mdr_rate_cleaned!$F$2:$F$10,"&gt;="&amp;C3626)</f>
        <v>1</v>
      </c>
      <c r="G3626">
        <v>1.7000000000000001E-2</v>
      </c>
      <c r="H3626">
        <v>47.57</v>
      </c>
      <c r="I3626" t="s">
        <v>15</v>
      </c>
      <c r="J3626" t="s">
        <v>15</v>
      </c>
      <c r="K3626">
        <v>8.56</v>
      </c>
      <c r="L3626">
        <v>0</v>
      </c>
    </row>
    <row r="3627" spans="1:12" x14ac:dyDescent="0.3">
      <c r="A3627" t="s">
        <v>3643</v>
      </c>
      <c r="B3627" t="s">
        <v>21</v>
      </c>
      <c r="C3627">
        <v>9847</v>
      </c>
      <c r="D3627">
        <v>29.54</v>
      </c>
      <c r="E3627">
        <v>5.32</v>
      </c>
      <c r="F3627">
        <f>COUNTIFS(mdr_rate_cleaned!$A$2:$A$10,B3627,mdr_rate_cleaned!$B$2:$B$10,"&lt;"&amp;C3627,mdr_rate_cleaned!$F$2:$F$10,"&gt;="&amp;C3627)</f>
        <v>1</v>
      </c>
      <c r="G3627">
        <v>3.0000000000000001E-3</v>
      </c>
      <c r="H3627">
        <v>29.54</v>
      </c>
      <c r="I3627" t="s">
        <v>15</v>
      </c>
      <c r="J3627" t="s">
        <v>15</v>
      </c>
      <c r="K3627">
        <v>5.32</v>
      </c>
      <c r="L3627">
        <v>0</v>
      </c>
    </row>
    <row r="3628" spans="1:12" x14ac:dyDescent="0.3">
      <c r="A3628" t="s">
        <v>3644</v>
      </c>
      <c r="B3628" t="s">
        <v>21</v>
      </c>
      <c r="C3628">
        <v>1499</v>
      </c>
      <c r="D3628">
        <v>0</v>
      </c>
      <c r="E3628">
        <v>0</v>
      </c>
      <c r="F3628">
        <f>COUNTIFS(mdr_rate_cleaned!$A$2:$A$10,B3628,mdr_rate_cleaned!$B$2:$B$10,"&lt;"&amp;C3628,mdr_rate_cleaned!$F$2:$F$10,"&gt;="&amp;C3628)</f>
        <v>1</v>
      </c>
      <c r="G3628">
        <v>0</v>
      </c>
      <c r="H3628">
        <v>0</v>
      </c>
      <c r="I3628" t="s">
        <v>15</v>
      </c>
      <c r="J3628" t="s">
        <v>15</v>
      </c>
      <c r="K3628">
        <v>0</v>
      </c>
      <c r="L3628">
        <v>0</v>
      </c>
    </row>
    <row r="3629" spans="1:12" x14ac:dyDescent="0.3">
      <c r="A3629" t="s">
        <v>3645</v>
      </c>
      <c r="B3629" t="s">
        <v>21</v>
      </c>
      <c r="C3629">
        <v>3847</v>
      </c>
      <c r="D3629">
        <v>11.54</v>
      </c>
      <c r="E3629">
        <v>2.08</v>
      </c>
      <c r="F3629">
        <f>COUNTIFS(mdr_rate_cleaned!$A$2:$A$10,B3629,mdr_rate_cleaned!$B$2:$B$10,"&lt;"&amp;C3629,mdr_rate_cleaned!$F$2:$F$10,"&gt;="&amp;C3629)</f>
        <v>1</v>
      </c>
      <c r="G3629">
        <v>3.0000000000000001E-3</v>
      </c>
      <c r="H3629">
        <v>11.54</v>
      </c>
      <c r="I3629" t="s">
        <v>15</v>
      </c>
      <c r="J3629" t="s">
        <v>15</v>
      </c>
      <c r="K3629">
        <v>2.08</v>
      </c>
      <c r="L3629">
        <v>0</v>
      </c>
    </row>
    <row r="3630" spans="1:12" x14ac:dyDescent="0.3">
      <c r="A3630" t="s">
        <v>3646</v>
      </c>
      <c r="B3630" t="s">
        <v>21</v>
      </c>
      <c r="C3630">
        <v>1799</v>
      </c>
      <c r="D3630">
        <v>0</v>
      </c>
      <c r="E3630">
        <v>0</v>
      </c>
      <c r="F3630">
        <f>COUNTIFS(mdr_rate_cleaned!$A$2:$A$10,B3630,mdr_rate_cleaned!$B$2:$B$10,"&lt;"&amp;C3630,mdr_rate_cleaned!$F$2:$F$10,"&gt;="&amp;C3630)</f>
        <v>1</v>
      </c>
      <c r="G3630">
        <v>0</v>
      </c>
      <c r="H3630">
        <v>0</v>
      </c>
      <c r="I3630" t="s">
        <v>15</v>
      </c>
      <c r="J3630" t="s">
        <v>15</v>
      </c>
      <c r="K3630">
        <v>0</v>
      </c>
      <c r="L3630">
        <v>0</v>
      </c>
    </row>
    <row r="3631" spans="1:12" x14ac:dyDescent="0.3">
      <c r="A3631" t="s">
        <v>3647</v>
      </c>
      <c r="B3631" t="s">
        <v>21</v>
      </c>
      <c r="C3631">
        <v>999</v>
      </c>
      <c r="D3631">
        <v>0</v>
      </c>
      <c r="E3631">
        <v>0</v>
      </c>
      <c r="F3631">
        <f>COUNTIFS(mdr_rate_cleaned!$A$2:$A$10,B3631,mdr_rate_cleaned!$B$2:$B$10,"&lt;"&amp;C3631,mdr_rate_cleaned!$F$2:$F$10,"&gt;="&amp;C3631)</f>
        <v>1</v>
      </c>
      <c r="G3631">
        <v>0</v>
      </c>
      <c r="H3631">
        <v>0</v>
      </c>
      <c r="I3631" t="s">
        <v>15</v>
      </c>
      <c r="J3631" t="s">
        <v>15</v>
      </c>
      <c r="K3631">
        <v>0</v>
      </c>
      <c r="L3631">
        <v>0</v>
      </c>
    </row>
    <row r="3632" spans="1:12" x14ac:dyDescent="0.3">
      <c r="A3632" t="s">
        <v>3648</v>
      </c>
      <c r="B3632" t="s">
        <v>21</v>
      </c>
      <c r="C3632">
        <v>1299</v>
      </c>
      <c r="D3632">
        <v>0</v>
      </c>
      <c r="E3632">
        <v>0</v>
      </c>
      <c r="F3632">
        <f>COUNTIFS(mdr_rate_cleaned!$A$2:$A$10,B3632,mdr_rate_cleaned!$B$2:$B$10,"&lt;"&amp;C3632,mdr_rate_cleaned!$F$2:$F$10,"&gt;="&amp;C3632)</f>
        <v>1</v>
      </c>
      <c r="G3632">
        <v>0</v>
      </c>
      <c r="H3632">
        <v>0</v>
      </c>
      <c r="I3632" t="s">
        <v>15</v>
      </c>
      <c r="J3632" t="s">
        <v>15</v>
      </c>
      <c r="K3632">
        <v>0</v>
      </c>
      <c r="L3632">
        <v>0</v>
      </c>
    </row>
    <row r="3633" spans="1:12" x14ac:dyDescent="0.3">
      <c r="A3633" t="s">
        <v>3649</v>
      </c>
      <c r="B3633" t="s">
        <v>21</v>
      </c>
      <c r="C3633">
        <v>3897</v>
      </c>
      <c r="D3633">
        <v>11.69</v>
      </c>
      <c r="E3633">
        <v>2.1</v>
      </c>
      <c r="F3633">
        <f>COUNTIFS(mdr_rate_cleaned!$A$2:$A$10,B3633,mdr_rate_cleaned!$B$2:$B$10,"&lt;"&amp;C3633,mdr_rate_cleaned!$F$2:$F$10,"&gt;="&amp;C3633)</f>
        <v>1</v>
      </c>
      <c r="G3633">
        <v>3.0000000000000001E-3</v>
      </c>
      <c r="H3633">
        <v>11.69</v>
      </c>
      <c r="I3633" t="s">
        <v>15</v>
      </c>
      <c r="J3633" t="s">
        <v>15</v>
      </c>
      <c r="K3633">
        <v>2.1</v>
      </c>
      <c r="L3633">
        <v>0</v>
      </c>
    </row>
    <row r="3634" spans="1:12" x14ac:dyDescent="0.3">
      <c r="A3634" t="s">
        <v>3650</v>
      </c>
      <c r="B3634" t="s">
        <v>13</v>
      </c>
      <c r="C3634">
        <v>1998</v>
      </c>
      <c r="D3634">
        <v>37.96</v>
      </c>
      <c r="E3634">
        <v>6.83</v>
      </c>
      <c r="F3634">
        <f>COUNTIFS(mdr_rate_cleaned!$A$2:$A$10,B3634,mdr_rate_cleaned!$B$2:$B$10,"&lt;"&amp;C3634,mdr_rate_cleaned!$F$2:$F$10,"&gt;="&amp;C3634)</f>
        <v>1</v>
      </c>
      <c r="G3634">
        <v>1.9E-2</v>
      </c>
      <c r="H3634">
        <v>37.96</v>
      </c>
      <c r="I3634" t="s">
        <v>15</v>
      </c>
      <c r="J3634" t="s">
        <v>15</v>
      </c>
      <c r="K3634">
        <v>6.83</v>
      </c>
      <c r="L3634">
        <v>0</v>
      </c>
    </row>
    <row r="3635" spans="1:12" x14ac:dyDescent="0.3">
      <c r="A3635" t="s">
        <v>3651</v>
      </c>
      <c r="B3635" t="s">
        <v>17</v>
      </c>
      <c r="C3635">
        <v>10498</v>
      </c>
      <c r="D3635">
        <v>167.97</v>
      </c>
      <c r="E3635">
        <v>30.23</v>
      </c>
      <c r="F3635">
        <f>COUNTIFS(mdr_rate_cleaned!$A$2:$A$10,B3635,mdr_rate_cleaned!$B$2:$B$10,"&lt;"&amp;C3635,mdr_rate_cleaned!$F$2:$F$10,"&gt;="&amp;C3635)</f>
        <v>1</v>
      </c>
      <c r="G3635">
        <v>1.6E-2</v>
      </c>
      <c r="H3635">
        <v>167.97</v>
      </c>
      <c r="I3635" t="s">
        <v>15</v>
      </c>
      <c r="J3635" t="s">
        <v>15</v>
      </c>
      <c r="K3635">
        <v>30.23</v>
      </c>
      <c r="L3635">
        <v>0</v>
      </c>
    </row>
    <row r="3636" spans="1:12" x14ac:dyDescent="0.3">
      <c r="A3636" t="s">
        <v>3652</v>
      </c>
      <c r="B3636" t="s">
        <v>17</v>
      </c>
      <c r="C3636">
        <v>3498</v>
      </c>
      <c r="D3636">
        <v>55.97</v>
      </c>
      <c r="E3636">
        <v>10.07</v>
      </c>
      <c r="F3636">
        <f>COUNTIFS(mdr_rate_cleaned!$A$2:$A$10,B3636,mdr_rate_cleaned!$B$2:$B$10,"&lt;"&amp;C3636,mdr_rate_cleaned!$F$2:$F$10,"&gt;="&amp;C3636)</f>
        <v>1</v>
      </c>
      <c r="G3636">
        <v>1.6E-2</v>
      </c>
      <c r="H3636">
        <v>55.97</v>
      </c>
      <c r="I3636" t="s">
        <v>15</v>
      </c>
      <c r="J3636" t="s">
        <v>15</v>
      </c>
      <c r="K3636">
        <v>10.07</v>
      </c>
      <c r="L3636">
        <v>0</v>
      </c>
    </row>
    <row r="3637" spans="1:12" x14ac:dyDescent="0.3">
      <c r="A3637" t="s">
        <v>3653</v>
      </c>
      <c r="B3637" t="s">
        <v>17</v>
      </c>
      <c r="C3637">
        <v>6297</v>
      </c>
      <c r="D3637">
        <v>100.75</v>
      </c>
      <c r="E3637">
        <v>18.14</v>
      </c>
      <c r="F3637">
        <f>COUNTIFS(mdr_rate_cleaned!$A$2:$A$10,B3637,mdr_rate_cleaned!$B$2:$B$10,"&lt;"&amp;C3637,mdr_rate_cleaned!$F$2:$F$10,"&gt;="&amp;C3637)</f>
        <v>1</v>
      </c>
      <c r="G3637">
        <v>1.6E-2</v>
      </c>
      <c r="H3637">
        <v>100.75</v>
      </c>
      <c r="I3637" t="s">
        <v>15</v>
      </c>
      <c r="J3637" t="s">
        <v>15</v>
      </c>
      <c r="K3637">
        <v>18.14</v>
      </c>
      <c r="L3637">
        <v>0</v>
      </c>
    </row>
    <row r="3638" spans="1:12" x14ac:dyDescent="0.3">
      <c r="A3638" t="s">
        <v>3654</v>
      </c>
      <c r="B3638" t="s">
        <v>39</v>
      </c>
      <c r="C3638">
        <v>3498</v>
      </c>
      <c r="D3638">
        <v>41.98</v>
      </c>
      <c r="E3638">
        <v>7.56</v>
      </c>
      <c r="F3638">
        <f>COUNTIFS(mdr_rate_cleaned!$A$2:$A$10,B3638,mdr_rate_cleaned!$B$2:$B$10,"&lt;"&amp;C3638,mdr_rate_cleaned!$F$2:$F$10,"&gt;="&amp;C3638)</f>
        <v>1</v>
      </c>
      <c r="G3638">
        <v>1.2E-2</v>
      </c>
      <c r="H3638">
        <v>41.98</v>
      </c>
      <c r="I3638" t="s">
        <v>15</v>
      </c>
      <c r="J3638" t="s">
        <v>15</v>
      </c>
      <c r="K3638">
        <v>7.56</v>
      </c>
      <c r="L3638">
        <v>0</v>
      </c>
    </row>
    <row r="3639" spans="1:12" x14ac:dyDescent="0.3">
      <c r="A3639" t="s">
        <v>3655</v>
      </c>
      <c r="B3639" t="s">
        <v>17</v>
      </c>
      <c r="C3639">
        <v>4798</v>
      </c>
      <c r="D3639">
        <v>76.77</v>
      </c>
      <c r="E3639">
        <v>13.82</v>
      </c>
      <c r="F3639">
        <f>COUNTIFS(mdr_rate_cleaned!$A$2:$A$10,B3639,mdr_rate_cleaned!$B$2:$B$10,"&lt;"&amp;C3639,mdr_rate_cleaned!$F$2:$F$10,"&gt;="&amp;C3639)</f>
        <v>1</v>
      </c>
      <c r="G3639">
        <v>1.6E-2</v>
      </c>
      <c r="H3639">
        <v>76.77</v>
      </c>
      <c r="I3639" t="s">
        <v>15</v>
      </c>
      <c r="J3639" t="s">
        <v>15</v>
      </c>
      <c r="K3639">
        <v>13.82</v>
      </c>
      <c r="L3639">
        <v>0</v>
      </c>
    </row>
    <row r="3640" spans="1:12" x14ac:dyDescent="0.3">
      <c r="A3640" t="s">
        <v>3656</v>
      </c>
      <c r="B3640" t="s">
        <v>17</v>
      </c>
      <c r="C3640">
        <v>1299</v>
      </c>
      <c r="D3640">
        <v>23.38</v>
      </c>
      <c r="E3640">
        <v>4.21</v>
      </c>
      <c r="F3640">
        <f>COUNTIFS(mdr_rate_cleaned!$A$2:$A$10,B3640,mdr_rate_cleaned!$B$2:$B$10,"&lt;"&amp;C3640,mdr_rate_cleaned!$F$2:$F$10,"&gt;="&amp;C3640)</f>
        <v>1</v>
      </c>
      <c r="G3640">
        <v>1.7999999999999999E-2</v>
      </c>
      <c r="H3640">
        <v>23.38</v>
      </c>
      <c r="I3640" t="s">
        <v>15</v>
      </c>
      <c r="J3640" t="s">
        <v>15</v>
      </c>
      <c r="K3640">
        <v>4.21</v>
      </c>
      <c r="L3640">
        <v>0</v>
      </c>
    </row>
    <row r="3641" spans="1:12" x14ac:dyDescent="0.3">
      <c r="A3641" t="s">
        <v>3657</v>
      </c>
      <c r="B3641" t="s">
        <v>21</v>
      </c>
      <c r="C3641">
        <v>2798</v>
      </c>
      <c r="D3641">
        <v>8.39</v>
      </c>
      <c r="E3641">
        <v>1.51</v>
      </c>
      <c r="F3641">
        <f>COUNTIFS(mdr_rate_cleaned!$A$2:$A$10,B3641,mdr_rate_cleaned!$B$2:$B$10,"&lt;"&amp;C3641,mdr_rate_cleaned!$F$2:$F$10,"&gt;="&amp;C3641)</f>
        <v>1</v>
      </c>
      <c r="G3641">
        <v>3.0000000000000001E-3</v>
      </c>
      <c r="H3641">
        <v>8.39</v>
      </c>
      <c r="I3641" t="s">
        <v>15</v>
      </c>
      <c r="J3641" t="s">
        <v>15</v>
      </c>
      <c r="K3641">
        <v>1.51</v>
      </c>
      <c r="L3641">
        <v>0</v>
      </c>
    </row>
    <row r="3642" spans="1:12" x14ac:dyDescent="0.3">
      <c r="A3642" t="s">
        <v>3658</v>
      </c>
      <c r="B3642" t="s">
        <v>21</v>
      </c>
      <c r="C3642">
        <v>799</v>
      </c>
      <c r="D3642">
        <v>0</v>
      </c>
      <c r="E3642">
        <v>0</v>
      </c>
      <c r="F3642">
        <f>COUNTIFS(mdr_rate_cleaned!$A$2:$A$10,B3642,mdr_rate_cleaned!$B$2:$B$10,"&lt;"&amp;C3642,mdr_rate_cleaned!$F$2:$F$10,"&gt;="&amp;C3642)</f>
        <v>1</v>
      </c>
      <c r="G3642">
        <v>0</v>
      </c>
      <c r="H3642">
        <v>0</v>
      </c>
      <c r="I3642" t="s">
        <v>15</v>
      </c>
      <c r="J3642" t="s">
        <v>15</v>
      </c>
      <c r="K3642">
        <v>0</v>
      </c>
      <c r="L3642">
        <v>0</v>
      </c>
    </row>
    <row r="3643" spans="1:12" x14ac:dyDescent="0.3">
      <c r="A3643" t="s">
        <v>3659</v>
      </c>
      <c r="B3643" t="s">
        <v>21</v>
      </c>
      <c r="C3643">
        <v>999</v>
      </c>
      <c r="D3643">
        <v>0</v>
      </c>
      <c r="E3643">
        <v>0</v>
      </c>
      <c r="F3643">
        <f>COUNTIFS(mdr_rate_cleaned!$A$2:$A$10,B3643,mdr_rate_cleaned!$B$2:$B$10,"&lt;"&amp;C3643,mdr_rate_cleaned!$F$2:$F$10,"&gt;="&amp;C3643)</f>
        <v>1</v>
      </c>
      <c r="G3643">
        <v>0</v>
      </c>
      <c r="H3643">
        <v>0</v>
      </c>
      <c r="I3643" t="s">
        <v>15</v>
      </c>
      <c r="J3643" t="s">
        <v>15</v>
      </c>
      <c r="K3643">
        <v>0</v>
      </c>
      <c r="L3643">
        <v>0</v>
      </c>
    </row>
    <row r="3644" spans="1:12" x14ac:dyDescent="0.3">
      <c r="A3644" t="s">
        <v>3660</v>
      </c>
      <c r="B3644" t="s">
        <v>17</v>
      </c>
      <c r="C3644">
        <v>349</v>
      </c>
      <c r="D3644">
        <v>6.28</v>
      </c>
      <c r="E3644">
        <v>1.1299999999999999</v>
      </c>
      <c r="F3644">
        <f>COUNTIFS(mdr_rate_cleaned!$A$2:$A$10,B3644,mdr_rate_cleaned!$B$2:$B$10,"&lt;"&amp;C3644,mdr_rate_cleaned!$F$2:$F$10,"&gt;="&amp;C3644)</f>
        <v>1</v>
      </c>
      <c r="G3644">
        <v>1.7999999999999999E-2</v>
      </c>
      <c r="H3644">
        <v>6.28</v>
      </c>
      <c r="I3644" t="s">
        <v>15</v>
      </c>
      <c r="J3644" t="s">
        <v>15</v>
      </c>
      <c r="K3644">
        <v>1.1299999999999999</v>
      </c>
      <c r="L3644">
        <v>0</v>
      </c>
    </row>
    <row r="3645" spans="1:12" x14ac:dyDescent="0.3">
      <c r="A3645" t="s">
        <v>3661</v>
      </c>
      <c r="B3645" t="s">
        <v>17</v>
      </c>
      <c r="C3645">
        <v>1799</v>
      </c>
      <c r="D3645">
        <v>32.380000000000003</v>
      </c>
      <c r="E3645">
        <v>5.83</v>
      </c>
      <c r="F3645">
        <f>COUNTIFS(mdr_rate_cleaned!$A$2:$A$10,B3645,mdr_rate_cleaned!$B$2:$B$10,"&lt;"&amp;C3645,mdr_rate_cleaned!$F$2:$F$10,"&gt;="&amp;C3645)</f>
        <v>1</v>
      </c>
      <c r="G3645">
        <v>1.7999999999999999E-2</v>
      </c>
      <c r="H3645">
        <v>32.380000000000003</v>
      </c>
      <c r="I3645" t="s">
        <v>15</v>
      </c>
      <c r="J3645" t="s">
        <v>15</v>
      </c>
      <c r="K3645">
        <v>5.83</v>
      </c>
      <c r="L3645">
        <v>0</v>
      </c>
    </row>
    <row r="3646" spans="1:12" x14ac:dyDescent="0.3">
      <c r="A3646" t="s">
        <v>3662</v>
      </c>
      <c r="B3646" t="s">
        <v>21</v>
      </c>
      <c r="C3646">
        <v>7999</v>
      </c>
      <c r="D3646">
        <v>24</v>
      </c>
      <c r="E3646">
        <v>4.32</v>
      </c>
      <c r="F3646">
        <f>COUNTIFS(mdr_rate_cleaned!$A$2:$A$10,B3646,mdr_rate_cleaned!$B$2:$B$10,"&lt;"&amp;C3646,mdr_rate_cleaned!$F$2:$F$10,"&gt;="&amp;C3646)</f>
        <v>1</v>
      </c>
      <c r="G3646">
        <v>3.0000000000000001E-3</v>
      </c>
      <c r="H3646">
        <v>24</v>
      </c>
      <c r="I3646" t="s">
        <v>15</v>
      </c>
      <c r="J3646" t="s">
        <v>15</v>
      </c>
      <c r="K3646">
        <v>4.32</v>
      </c>
      <c r="L3646">
        <v>0</v>
      </c>
    </row>
    <row r="3647" spans="1:12" x14ac:dyDescent="0.3">
      <c r="A3647" t="s">
        <v>3663</v>
      </c>
      <c r="B3647" t="s">
        <v>21</v>
      </c>
      <c r="C3647">
        <v>2597</v>
      </c>
      <c r="D3647">
        <v>7.79</v>
      </c>
      <c r="E3647">
        <v>1.4</v>
      </c>
      <c r="F3647">
        <f>COUNTIFS(mdr_rate_cleaned!$A$2:$A$10,B3647,mdr_rate_cleaned!$B$2:$B$10,"&lt;"&amp;C3647,mdr_rate_cleaned!$F$2:$F$10,"&gt;="&amp;C3647)</f>
        <v>1</v>
      </c>
      <c r="G3647">
        <v>3.0000000000000001E-3</v>
      </c>
      <c r="H3647">
        <v>7.79</v>
      </c>
      <c r="I3647" t="s">
        <v>15</v>
      </c>
      <c r="J3647" t="s">
        <v>15</v>
      </c>
      <c r="K3647">
        <v>1.4</v>
      </c>
      <c r="L3647">
        <v>0</v>
      </c>
    </row>
    <row r="3648" spans="1:12" x14ac:dyDescent="0.3">
      <c r="A3648" t="s">
        <v>3664</v>
      </c>
      <c r="B3648" t="s">
        <v>39</v>
      </c>
      <c r="C3648">
        <v>4498</v>
      </c>
      <c r="D3648">
        <v>53.98</v>
      </c>
      <c r="E3648">
        <v>9.7200000000000006</v>
      </c>
      <c r="F3648">
        <f>COUNTIFS(mdr_rate_cleaned!$A$2:$A$10,B3648,mdr_rate_cleaned!$B$2:$B$10,"&lt;"&amp;C3648,mdr_rate_cleaned!$F$2:$F$10,"&gt;="&amp;C3648)</f>
        <v>1</v>
      </c>
      <c r="G3648">
        <v>1.2E-2</v>
      </c>
      <c r="H3648">
        <v>53.98</v>
      </c>
      <c r="I3648" t="s">
        <v>15</v>
      </c>
      <c r="J3648" t="s">
        <v>15</v>
      </c>
      <c r="K3648">
        <v>9.7200000000000006</v>
      </c>
      <c r="L3648">
        <v>0</v>
      </c>
    </row>
    <row r="3649" spans="1:12" x14ac:dyDescent="0.3">
      <c r="A3649" t="s">
        <v>3665</v>
      </c>
      <c r="B3649" t="s">
        <v>17</v>
      </c>
      <c r="C3649">
        <v>2499</v>
      </c>
      <c r="D3649">
        <v>39.979999999999997</v>
      </c>
      <c r="E3649">
        <v>7.2</v>
      </c>
      <c r="F3649">
        <f>COUNTIFS(mdr_rate_cleaned!$A$2:$A$10,B3649,mdr_rate_cleaned!$B$2:$B$10,"&lt;"&amp;C3649,mdr_rate_cleaned!$F$2:$F$10,"&gt;="&amp;C3649)</f>
        <v>1</v>
      </c>
      <c r="G3649">
        <v>1.6E-2</v>
      </c>
      <c r="H3649">
        <v>39.979999999999997</v>
      </c>
      <c r="I3649" t="s">
        <v>15</v>
      </c>
      <c r="J3649" t="s">
        <v>15</v>
      </c>
      <c r="K3649">
        <v>7.2</v>
      </c>
      <c r="L3649">
        <v>0</v>
      </c>
    </row>
    <row r="3650" spans="1:12" x14ac:dyDescent="0.3">
      <c r="A3650" t="s">
        <v>3666</v>
      </c>
      <c r="B3650" t="s">
        <v>21</v>
      </c>
      <c r="C3650">
        <v>1799</v>
      </c>
      <c r="D3650">
        <v>0</v>
      </c>
      <c r="E3650">
        <v>0</v>
      </c>
      <c r="F3650">
        <f>COUNTIFS(mdr_rate_cleaned!$A$2:$A$10,B3650,mdr_rate_cleaned!$B$2:$B$10,"&lt;"&amp;C3650,mdr_rate_cleaned!$F$2:$F$10,"&gt;="&amp;C3650)</f>
        <v>1</v>
      </c>
      <c r="G3650">
        <v>0</v>
      </c>
      <c r="H3650">
        <v>0</v>
      </c>
      <c r="I3650" t="s">
        <v>15</v>
      </c>
      <c r="J3650" t="s">
        <v>15</v>
      </c>
      <c r="K3650">
        <v>0</v>
      </c>
      <c r="L3650">
        <v>0</v>
      </c>
    </row>
    <row r="3651" spans="1:12" x14ac:dyDescent="0.3">
      <c r="A3651" t="s">
        <v>3667</v>
      </c>
      <c r="B3651" t="s">
        <v>17</v>
      </c>
      <c r="C3651">
        <v>2499</v>
      </c>
      <c r="D3651">
        <v>39.979999999999997</v>
      </c>
      <c r="E3651">
        <v>7.2</v>
      </c>
      <c r="F3651">
        <f>COUNTIFS(mdr_rate_cleaned!$A$2:$A$10,B3651,mdr_rate_cleaned!$B$2:$B$10,"&lt;"&amp;C3651,mdr_rate_cleaned!$F$2:$F$10,"&gt;="&amp;C3651)</f>
        <v>1</v>
      </c>
      <c r="G3651">
        <v>1.6E-2</v>
      </c>
      <c r="H3651">
        <v>39.979999999999997</v>
      </c>
      <c r="I3651" t="s">
        <v>15</v>
      </c>
      <c r="J3651" t="s">
        <v>15</v>
      </c>
      <c r="K3651">
        <v>7.2</v>
      </c>
      <c r="L3651">
        <v>0</v>
      </c>
    </row>
    <row r="3652" spans="1:12" x14ac:dyDescent="0.3">
      <c r="A3652" t="s">
        <v>3668</v>
      </c>
      <c r="B3652" t="s">
        <v>17</v>
      </c>
      <c r="C3652">
        <v>4798</v>
      </c>
      <c r="D3652">
        <v>76.77</v>
      </c>
      <c r="E3652">
        <v>13.82</v>
      </c>
      <c r="F3652">
        <f>COUNTIFS(mdr_rate_cleaned!$A$2:$A$10,B3652,mdr_rate_cleaned!$B$2:$B$10,"&lt;"&amp;C3652,mdr_rate_cleaned!$F$2:$F$10,"&gt;="&amp;C3652)</f>
        <v>1</v>
      </c>
      <c r="G3652">
        <v>1.6E-2</v>
      </c>
      <c r="H3652">
        <v>76.77</v>
      </c>
      <c r="I3652" t="s">
        <v>15</v>
      </c>
      <c r="J3652" t="s">
        <v>15</v>
      </c>
      <c r="K3652">
        <v>13.82</v>
      </c>
      <c r="L3652">
        <v>0</v>
      </c>
    </row>
    <row r="3653" spans="1:12" x14ac:dyDescent="0.3">
      <c r="A3653" t="s">
        <v>3669</v>
      </c>
      <c r="B3653" t="s">
        <v>21</v>
      </c>
      <c r="C3653">
        <v>299</v>
      </c>
      <c r="D3653">
        <v>0</v>
      </c>
      <c r="E3653">
        <v>0</v>
      </c>
      <c r="F3653">
        <f>COUNTIFS(mdr_rate_cleaned!$A$2:$A$10,B3653,mdr_rate_cleaned!$B$2:$B$10,"&lt;"&amp;C3653,mdr_rate_cleaned!$F$2:$F$10,"&gt;="&amp;C3653)</f>
        <v>1</v>
      </c>
      <c r="G3653">
        <v>0</v>
      </c>
      <c r="H3653">
        <v>0</v>
      </c>
      <c r="I3653" t="s">
        <v>15</v>
      </c>
      <c r="J3653" t="s">
        <v>15</v>
      </c>
      <c r="K3653">
        <v>0</v>
      </c>
      <c r="L3653">
        <v>0</v>
      </c>
    </row>
    <row r="3654" spans="1:12" x14ac:dyDescent="0.3">
      <c r="A3654" t="s">
        <v>3670</v>
      </c>
      <c r="B3654" t="s">
        <v>21</v>
      </c>
      <c r="C3654">
        <v>1648</v>
      </c>
      <c r="D3654">
        <v>4.9400000000000004</v>
      </c>
      <c r="E3654">
        <v>0.89</v>
      </c>
      <c r="F3654">
        <f>COUNTIFS(mdr_rate_cleaned!$A$2:$A$10,B3654,mdr_rate_cleaned!$B$2:$B$10,"&lt;"&amp;C3654,mdr_rate_cleaned!$F$2:$F$10,"&gt;="&amp;C3654)</f>
        <v>1</v>
      </c>
      <c r="G3654">
        <v>0</v>
      </c>
      <c r="H3654">
        <v>0</v>
      </c>
      <c r="I3654" t="s">
        <v>14</v>
      </c>
      <c r="J3654" t="s">
        <v>15</v>
      </c>
      <c r="K3654">
        <v>0</v>
      </c>
      <c r="L3654">
        <v>5.83</v>
      </c>
    </row>
    <row r="3655" spans="1:12" x14ac:dyDescent="0.3">
      <c r="A3655" t="s">
        <v>3671</v>
      </c>
      <c r="B3655" t="s">
        <v>17</v>
      </c>
      <c r="C3655">
        <v>4498</v>
      </c>
      <c r="D3655">
        <v>71.97</v>
      </c>
      <c r="E3655">
        <v>12.95</v>
      </c>
      <c r="F3655">
        <f>COUNTIFS(mdr_rate_cleaned!$A$2:$A$10,B3655,mdr_rate_cleaned!$B$2:$B$10,"&lt;"&amp;C3655,mdr_rate_cleaned!$F$2:$F$10,"&gt;="&amp;C3655)</f>
        <v>1</v>
      </c>
      <c r="G3655">
        <v>1.6E-2</v>
      </c>
      <c r="H3655">
        <v>71.97</v>
      </c>
      <c r="I3655" t="s">
        <v>15</v>
      </c>
      <c r="J3655" t="s">
        <v>15</v>
      </c>
      <c r="K3655">
        <v>12.95</v>
      </c>
      <c r="L3655">
        <v>0</v>
      </c>
    </row>
    <row r="3656" spans="1:12" x14ac:dyDescent="0.3">
      <c r="A3656" t="s">
        <v>3672</v>
      </c>
      <c r="B3656" t="s">
        <v>21</v>
      </c>
      <c r="C3656">
        <v>1998</v>
      </c>
      <c r="D3656">
        <v>0</v>
      </c>
      <c r="E3656">
        <v>0</v>
      </c>
      <c r="F3656">
        <f>COUNTIFS(mdr_rate_cleaned!$A$2:$A$10,B3656,mdr_rate_cleaned!$B$2:$B$10,"&lt;"&amp;C3656,mdr_rate_cleaned!$F$2:$F$10,"&gt;="&amp;C3656)</f>
        <v>1</v>
      </c>
      <c r="G3656">
        <v>0</v>
      </c>
      <c r="H3656">
        <v>0</v>
      </c>
      <c r="I3656" t="s">
        <v>15</v>
      </c>
      <c r="J3656" t="s">
        <v>15</v>
      </c>
      <c r="K3656">
        <v>0</v>
      </c>
      <c r="L3656">
        <v>0</v>
      </c>
    </row>
    <row r="3657" spans="1:12" x14ac:dyDescent="0.3">
      <c r="A3657" t="s">
        <v>3673</v>
      </c>
      <c r="B3657" t="s">
        <v>17</v>
      </c>
      <c r="C3657">
        <v>349</v>
      </c>
      <c r="D3657">
        <v>6.28</v>
      </c>
      <c r="E3657">
        <v>1.1299999999999999</v>
      </c>
      <c r="F3657">
        <f>COUNTIFS(mdr_rate_cleaned!$A$2:$A$10,B3657,mdr_rate_cleaned!$B$2:$B$10,"&lt;"&amp;C3657,mdr_rate_cleaned!$F$2:$F$10,"&gt;="&amp;C3657)</f>
        <v>1</v>
      </c>
      <c r="G3657">
        <v>1.7999999999999999E-2</v>
      </c>
      <c r="H3657">
        <v>6.28</v>
      </c>
      <c r="I3657" t="s">
        <v>15</v>
      </c>
      <c r="J3657" t="s">
        <v>15</v>
      </c>
      <c r="K3657">
        <v>1.1299999999999999</v>
      </c>
      <c r="L3657">
        <v>0</v>
      </c>
    </row>
    <row r="3658" spans="1:12" x14ac:dyDescent="0.3">
      <c r="A3658" t="s">
        <v>3674</v>
      </c>
      <c r="B3658" t="s">
        <v>17</v>
      </c>
      <c r="C3658">
        <v>4298</v>
      </c>
      <c r="D3658">
        <v>68.77</v>
      </c>
      <c r="E3658">
        <v>12.38</v>
      </c>
      <c r="F3658">
        <f>COUNTIFS(mdr_rate_cleaned!$A$2:$A$10,B3658,mdr_rate_cleaned!$B$2:$B$10,"&lt;"&amp;C3658,mdr_rate_cleaned!$F$2:$F$10,"&gt;="&amp;C3658)</f>
        <v>1</v>
      </c>
      <c r="G3658">
        <v>1.6E-2</v>
      </c>
      <c r="H3658">
        <v>68.77</v>
      </c>
      <c r="I3658" t="s">
        <v>15</v>
      </c>
      <c r="J3658" t="s">
        <v>15</v>
      </c>
      <c r="K3658">
        <v>12.38</v>
      </c>
      <c r="L3658">
        <v>0</v>
      </c>
    </row>
    <row r="3659" spans="1:12" x14ac:dyDescent="0.3">
      <c r="A3659" t="s">
        <v>3675</v>
      </c>
      <c r="B3659" t="s">
        <v>39</v>
      </c>
      <c r="C3659">
        <v>7847</v>
      </c>
      <c r="D3659">
        <v>94.16</v>
      </c>
      <c r="E3659">
        <v>16.95</v>
      </c>
      <c r="F3659">
        <f>COUNTIFS(mdr_rate_cleaned!$A$2:$A$10,B3659,mdr_rate_cleaned!$B$2:$B$10,"&lt;"&amp;C3659,mdr_rate_cleaned!$F$2:$F$10,"&gt;="&amp;C3659)</f>
        <v>1</v>
      </c>
      <c r="G3659">
        <v>1.2E-2</v>
      </c>
      <c r="H3659">
        <v>94.16</v>
      </c>
      <c r="I3659" t="s">
        <v>15</v>
      </c>
      <c r="J3659" t="s">
        <v>15</v>
      </c>
      <c r="K3659">
        <v>16.95</v>
      </c>
      <c r="L3659">
        <v>0</v>
      </c>
    </row>
    <row r="3660" spans="1:12" x14ac:dyDescent="0.3">
      <c r="A3660" t="s">
        <v>3676</v>
      </c>
      <c r="B3660" t="s">
        <v>21</v>
      </c>
      <c r="C3660">
        <v>3499</v>
      </c>
      <c r="D3660">
        <v>10.5</v>
      </c>
      <c r="E3660">
        <v>1.89</v>
      </c>
      <c r="F3660">
        <f>COUNTIFS(mdr_rate_cleaned!$A$2:$A$10,B3660,mdr_rate_cleaned!$B$2:$B$10,"&lt;"&amp;C3660,mdr_rate_cleaned!$F$2:$F$10,"&gt;="&amp;C3660)</f>
        <v>1</v>
      </c>
      <c r="G3660">
        <v>3.0000000000000001E-3</v>
      </c>
      <c r="H3660">
        <v>10.5</v>
      </c>
      <c r="I3660" t="s">
        <v>15</v>
      </c>
      <c r="J3660" t="s">
        <v>15</v>
      </c>
      <c r="K3660">
        <v>1.89</v>
      </c>
      <c r="L3660">
        <v>0</v>
      </c>
    </row>
    <row r="3661" spans="1:12" x14ac:dyDescent="0.3">
      <c r="A3661" t="s">
        <v>3677</v>
      </c>
      <c r="B3661" t="s">
        <v>21</v>
      </c>
      <c r="C3661">
        <v>499</v>
      </c>
      <c r="D3661">
        <v>0</v>
      </c>
      <c r="E3661">
        <v>0</v>
      </c>
      <c r="F3661">
        <f>COUNTIFS(mdr_rate_cleaned!$A$2:$A$10,B3661,mdr_rate_cleaned!$B$2:$B$10,"&lt;"&amp;C3661,mdr_rate_cleaned!$F$2:$F$10,"&gt;="&amp;C3661)</f>
        <v>1</v>
      </c>
      <c r="G3661">
        <v>0</v>
      </c>
      <c r="H3661">
        <v>0</v>
      </c>
      <c r="I3661" t="s">
        <v>15</v>
      </c>
      <c r="J3661" t="s">
        <v>15</v>
      </c>
      <c r="K3661">
        <v>0</v>
      </c>
      <c r="L3661">
        <v>0</v>
      </c>
    </row>
    <row r="3662" spans="1:12" x14ac:dyDescent="0.3">
      <c r="A3662" t="s">
        <v>3678</v>
      </c>
      <c r="B3662" t="s">
        <v>17</v>
      </c>
      <c r="C3662">
        <v>1299</v>
      </c>
      <c r="D3662">
        <v>23.38</v>
      </c>
      <c r="E3662">
        <v>4.21</v>
      </c>
      <c r="F3662">
        <f>COUNTIFS(mdr_rate_cleaned!$A$2:$A$10,B3662,mdr_rate_cleaned!$B$2:$B$10,"&lt;"&amp;C3662,mdr_rate_cleaned!$F$2:$F$10,"&gt;="&amp;C3662)</f>
        <v>1</v>
      </c>
      <c r="G3662">
        <v>1.7999999999999999E-2</v>
      </c>
      <c r="H3662">
        <v>23.38</v>
      </c>
      <c r="I3662" t="s">
        <v>15</v>
      </c>
      <c r="J3662" t="s">
        <v>15</v>
      </c>
      <c r="K3662">
        <v>4.21</v>
      </c>
      <c r="L3662">
        <v>0</v>
      </c>
    </row>
    <row r="3663" spans="1:12" x14ac:dyDescent="0.3">
      <c r="A3663" t="s">
        <v>3679</v>
      </c>
      <c r="B3663" t="s">
        <v>21</v>
      </c>
      <c r="C3663">
        <v>5348</v>
      </c>
      <c r="D3663">
        <v>16.04</v>
      </c>
      <c r="E3663">
        <v>2.89</v>
      </c>
      <c r="F3663">
        <f>COUNTIFS(mdr_rate_cleaned!$A$2:$A$10,B3663,mdr_rate_cleaned!$B$2:$B$10,"&lt;"&amp;C3663,mdr_rate_cleaned!$F$2:$F$10,"&gt;="&amp;C3663)</f>
        <v>1</v>
      </c>
      <c r="G3663">
        <v>3.0000000000000001E-3</v>
      </c>
      <c r="H3663">
        <v>16.04</v>
      </c>
      <c r="I3663" t="s">
        <v>15</v>
      </c>
      <c r="J3663" t="s">
        <v>15</v>
      </c>
      <c r="K3663">
        <v>2.89</v>
      </c>
      <c r="L3663">
        <v>0</v>
      </c>
    </row>
    <row r="3664" spans="1:12" x14ac:dyDescent="0.3">
      <c r="A3664" t="s">
        <v>3680</v>
      </c>
      <c r="B3664" t="s">
        <v>13</v>
      </c>
      <c r="C3664">
        <v>299</v>
      </c>
      <c r="D3664">
        <v>5.68</v>
      </c>
      <c r="E3664">
        <v>1.02</v>
      </c>
      <c r="F3664">
        <f>COUNTIFS(mdr_rate_cleaned!$A$2:$A$10,B3664,mdr_rate_cleaned!$B$2:$B$10,"&lt;"&amp;C3664,mdr_rate_cleaned!$F$2:$F$10,"&gt;="&amp;C3664)</f>
        <v>1</v>
      </c>
      <c r="G3664">
        <v>1.9E-2</v>
      </c>
      <c r="H3664">
        <v>5.68</v>
      </c>
      <c r="I3664" t="s">
        <v>15</v>
      </c>
      <c r="J3664" t="s">
        <v>15</v>
      </c>
      <c r="K3664">
        <v>1.02</v>
      </c>
      <c r="L3664">
        <v>0</v>
      </c>
    </row>
    <row r="3665" spans="1:12" x14ac:dyDescent="0.3">
      <c r="A3665" t="s">
        <v>3681</v>
      </c>
      <c r="B3665" t="s">
        <v>17</v>
      </c>
      <c r="C3665">
        <v>999</v>
      </c>
      <c r="D3665">
        <v>17.98</v>
      </c>
      <c r="E3665">
        <v>3.24</v>
      </c>
      <c r="F3665">
        <f>COUNTIFS(mdr_rate_cleaned!$A$2:$A$10,B3665,mdr_rate_cleaned!$B$2:$B$10,"&lt;"&amp;C3665,mdr_rate_cleaned!$F$2:$F$10,"&gt;="&amp;C3665)</f>
        <v>1</v>
      </c>
      <c r="G3665">
        <v>1.7999999999999999E-2</v>
      </c>
      <c r="H3665">
        <v>17.98</v>
      </c>
      <c r="I3665" t="s">
        <v>15</v>
      </c>
      <c r="J3665" t="s">
        <v>15</v>
      </c>
      <c r="K3665">
        <v>3.24</v>
      </c>
      <c r="L3665">
        <v>0</v>
      </c>
    </row>
    <row r="3666" spans="1:12" x14ac:dyDescent="0.3">
      <c r="A3666" t="s">
        <v>3682</v>
      </c>
      <c r="B3666" t="s">
        <v>21</v>
      </c>
      <c r="C3666">
        <v>3348</v>
      </c>
      <c r="D3666">
        <v>10.039999999999999</v>
      </c>
      <c r="E3666">
        <v>1.81</v>
      </c>
      <c r="F3666">
        <f>COUNTIFS(mdr_rate_cleaned!$A$2:$A$10,B3666,mdr_rate_cleaned!$B$2:$B$10,"&lt;"&amp;C3666,mdr_rate_cleaned!$F$2:$F$10,"&gt;="&amp;C3666)</f>
        <v>1</v>
      </c>
      <c r="G3666">
        <v>3.0000000000000001E-3</v>
      </c>
      <c r="H3666">
        <v>10.039999999999999</v>
      </c>
      <c r="I3666" t="s">
        <v>15</v>
      </c>
      <c r="J3666" t="s">
        <v>15</v>
      </c>
      <c r="K3666">
        <v>1.81</v>
      </c>
      <c r="L3666">
        <v>0</v>
      </c>
    </row>
    <row r="3667" spans="1:12" x14ac:dyDescent="0.3">
      <c r="A3667" t="s">
        <v>3683</v>
      </c>
      <c r="B3667" t="s">
        <v>39</v>
      </c>
      <c r="C3667">
        <v>2499</v>
      </c>
      <c r="D3667">
        <v>29.99</v>
      </c>
      <c r="E3667">
        <v>5.4</v>
      </c>
      <c r="F3667">
        <f>COUNTIFS(mdr_rate_cleaned!$A$2:$A$10,B3667,mdr_rate_cleaned!$B$2:$B$10,"&lt;"&amp;C3667,mdr_rate_cleaned!$F$2:$F$10,"&gt;="&amp;C3667)</f>
        <v>1</v>
      </c>
      <c r="G3667">
        <v>1.2E-2</v>
      </c>
      <c r="H3667">
        <v>29.99</v>
      </c>
      <c r="I3667" t="s">
        <v>15</v>
      </c>
      <c r="J3667" t="s">
        <v>15</v>
      </c>
      <c r="K3667">
        <v>5.4</v>
      </c>
      <c r="L3667">
        <v>0</v>
      </c>
    </row>
    <row r="3668" spans="1:12" x14ac:dyDescent="0.3">
      <c r="A3668" t="s">
        <v>3684</v>
      </c>
      <c r="B3668" t="s">
        <v>21</v>
      </c>
      <c r="C3668">
        <v>2999</v>
      </c>
      <c r="D3668">
        <v>9</v>
      </c>
      <c r="E3668">
        <v>1.62</v>
      </c>
      <c r="F3668">
        <f>COUNTIFS(mdr_rate_cleaned!$A$2:$A$10,B3668,mdr_rate_cleaned!$B$2:$B$10,"&lt;"&amp;C3668,mdr_rate_cleaned!$F$2:$F$10,"&gt;="&amp;C3668)</f>
        <v>1</v>
      </c>
      <c r="G3668">
        <v>3.0000000000000001E-3</v>
      </c>
      <c r="H3668">
        <v>9</v>
      </c>
      <c r="I3668" t="s">
        <v>15</v>
      </c>
      <c r="J3668" t="s">
        <v>15</v>
      </c>
      <c r="K3668">
        <v>1.62</v>
      </c>
      <c r="L3668">
        <v>0</v>
      </c>
    </row>
    <row r="3669" spans="1:12" x14ac:dyDescent="0.3">
      <c r="A3669" t="s">
        <v>3685</v>
      </c>
      <c r="B3669" t="s">
        <v>17</v>
      </c>
      <c r="C3669">
        <v>2298</v>
      </c>
      <c r="D3669">
        <v>36.770000000000003</v>
      </c>
      <c r="E3669">
        <v>6.62</v>
      </c>
      <c r="F3669">
        <f>COUNTIFS(mdr_rate_cleaned!$A$2:$A$10,B3669,mdr_rate_cleaned!$B$2:$B$10,"&lt;"&amp;C3669,mdr_rate_cleaned!$F$2:$F$10,"&gt;="&amp;C3669)</f>
        <v>1</v>
      </c>
      <c r="G3669">
        <v>1.6E-2</v>
      </c>
      <c r="H3669">
        <v>36.770000000000003</v>
      </c>
      <c r="I3669" t="s">
        <v>15</v>
      </c>
      <c r="J3669" t="s">
        <v>15</v>
      </c>
      <c r="K3669">
        <v>6.62</v>
      </c>
      <c r="L3669">
        <v>0</v>
      </c>
    </row>
    <row r="3670" spans="1:12" x14ac:dyDescent="0.3">
      <c r="A3670" t="s">
        <v>3686</v>
      </c>
      <c r="B3670" t="s">
        <v>39</v>
      </c>
      <c r="C3670">
        <v>3798</v>
      </c>
      <c r="D3670">
        <v>45.58</v>
      </c>
      <c r="E3670">
        <v>8.1999999999999993</v>
      </c>
      <c r="F3670">
        <f>COUNTIFS(mdr_rate_cleaned!$A$2:$A$10,B3670,mdr_rate_cleaned!$B$2:$B$10,"&lt;"&amp;C3670,mdr_rate_cleaned!$F$2:$F$10,"&gt;="&amp;C3670)</f>
        <v>1</v>
      </c>
      <c r="G3670">
        <v>1.2E-2</v>
      </c>
      <c r="H3670">
        <v>45.58</v>
      </c>
      <c r="I3670" t="s">
        <v>15</v>
      </c>
      <c r="J3670" t="s">
        <v>15</v>
      </c>
      <c r="K3670">
        <v>8.1999999999999993</v>
      </c>
      <c r="L3670">
        <v>0</v>
      </c>
    </row>
    <row r="3671" spans="1:12" x14ac:dyDescent="0.3">
      <c r="A3671" t="s">
        <v>3687</v>
      </c>
      <c r="B3671" t="s">
        <v>13</v>
      </c>
      <c r="C3671">
        <v>499</v>
      </c>
      <c r="D3671">
        <v>9.48</v>
      </c>
      <c r="E3671">
        <v>1.71</v>
      </c>
      <c r="F3671">
        <f>COUNTIFS(mdr_rate_cleaned!$A$2:$A$10,B3671,mdr_rate_cleaned!$B$2:$B$10,"&lt;"&amp;C3671,mdr_rate_cleaned!$F$2:$F$10,"&gt;="&amp;C3671)</f>
        <v>1</v>
      </c>
      <c r="G3671">
        <v>1.9E-2</v>
      </c>
      <c r="H3671">
        <v>9.48</v>
      </c>
      <c r="I3671" t="s">
        <v>15</v>
      </c>
      <c r="J3671" t="s">
        <v>15</v>
      </c>
      <c r="K3671">
        <v>1.71</v>
      </c>
      <c r="L3671">
        <v>0</v>
      </c>
    </row>
    <row r="3672" spans="1:12" x14ac:dyDescent="0.3">
      <c r="A3672" t="s">
        <v>3688</v>
      </c>
      <c r="B3672" t="s">
        <v>17</v>
      </c>
      <c r="C3672">
        <v>2999</v>
      </c>
      <c r="D3672">
        <v>47.98</v>
      </c>
      <c r="E3672">
        <v>8.64</v>
      </c>
      <c r="F3672">
        <f>COUNTIFS(mdr_rate_cleaned!$A$2:$A$10,B3672,mdr_rate_cleaned!$B$2:$B$10,"&lt;"&amp;C3672,mdr_rate_cleaned!$F$2:$F$10,"&gt;="&amp;C3672)</f>
        <v>1</v>
      </c>
      <c r="G3672">
        <v>1.6E-2</v>
      </c>
      <c r="H3672">
        <v>47.98</v>
      </c>
      <c r="I3672" t="s">
        <v>15</v>
      </c>
      <c r="J3672" t="s">
        <v>15</v>
      </c>
      <c r="K3672">
        <v>8.64</v>
      </c>
      <c r="L3672">
        <v>0</v>
      </c>
    </row>
    <row r="3673" spans="1:12" x14ac:dyDescent="0.3">
      <c r="A3673" t="s">
        <v>3689</v>
      </c>
      <c r="B3673" t="s">
        <v>21</v>
      </c>
      <c r="C3673">
        <v>2999</v>
      </c>
      <c r="D3673">
        <v>9</v>
      </c>
      <c r="E3673">
        <v>1.62</v>
      </c>
      <c r="F3673">
        <f>COUNTIFS(mdr_rate_cleaned!$A$2:$A$10,B3673,mdr_rate_cleaned!$B$2:$B$10,"&lt;"&amp;C3673,mdr_rate_cleaned!$F$2:$F$10,"&gt;="&amp;C3673)</f>
        <v>1</v>
      </c>
      <c r="G3673">
        <v>3.0000000000000001E-3</v>
      </c>
      <c r="H3673">
        <v>9</v>
      </c>
      <c r="I3673" t="s">
        <v>15</v>
      </c>
      <c r="J3673" t="s">
        <v>15</v>
      </c>
      <c r="K3673">
        <v>1.62</v>
      </c>
      <c r="L3673">
        <v>0</v>
      </c>
    </row>
    <row r="3674" spans="1:12" x14ac:dyDescent="0.3">
      <c r="A3674" t="s">
        <v>3690</v>
      </c>
      <c r="B3674" t="s">
        <v>21</v>
      </c>
      <c r="C3674">
        <v>798</v>
      </c>
      <c r="D3674">
        <v>0</v>
      </c>
      <c r="E3674">
        <v>0</v>
      </c>
      <c r="F3674">
        <f>COUNTIFS(mdr_rate_cleaned!$A$2:$A$10,B3674,mdr_rate_cleaned!$B$2:$B$10,"&lt;"&amp;C3674,mdr_rate_cleaned!$F$2:$F$10,"&gt;="&amp;C3674)</f>
        <v>1</v>
      </c>
      <c r="G3674">
        <v>0</v>
      </c>
      <c r="H3674">
        <v>0</v>
      </c>
      <c r="I3674" t="s">
        <v>15</v>
      </c>
      <c r="J3674" t="s">
        <v>15</v>
      </c>
      <c r="K3674">
        <v>0</v>
      </c>
      <c r="L3674">
        <v>0</v>
      </c>
    </row>
    <row r="3675" spans="1:12" x14ac:dyDescent="0.3">
      <c r="A3675" t="s">
        <v>3691</v>
      </c>
      <c r="B3675" t="s">
        <v>21</v>
      </c>
      <c r="C3675">
        <v>2499</v>
      </c>
      <c r="D3675">
        <v>7.5</v>
      </c>
      <c r="E3675">
        <v>1.35</v>
      </c>
      <c r="F3675">
        <f>COUNTIFS(mdr_rate_cleaned!$A$2:$A$10,B3675,mdr_rate_cleaned!$B$2:$B$10,"&lt;"&amp;C3675,mdr_rate_cleaned!$F$2:$F$10,"&gt;="&amp;C3675)</f>
        <v>1</v>
      </c>
      <c r="G3675">
        <v>3.0000000000000001E-3</v>
      </c>
      <c r="H3675">
        <v>7.5</v>
      </c>
      <c r="I3675" t="s">
        <v>15</v>
      </c>
      <c r="J3675" t="s">
        <v>15</v>
      </c>
      <c r="K3675">
        <v>1.35</v>
      </c>
      <c r="L3675">
        <v>0</v>
      </c>
    </row>
    <row r="3676" spans="1:12" x14ac:dyDescent="0.3">
      <c r="A3676" t="s">
        <v>3692</v>
      </c>
      <c r="B3676" t="s">
        <v>17</v>
      </c>
      <c r="C3676">
        <v>349</v>
      </c>
      <c r="D3676">
        <v>6.28</v>
      </c>
      <c r="E3676">
        <v>1.1299999999999999</v>
      </c>
      <c r="F3676">
        <f>COUNTIFS(mdr_rate_cleaned!$A$2:$A$10,B3676,mdr_rate_cleaned!$B$2:$B$10,"&lt;"&amp;C3676,mdr_rate_cleaned!$F$2:$F$10,"&gt;="&amp;C3676)</f>
        <v>1</v>
      </c>
      <c r="G3676">
        <v>1.7999999999999999E-2</v>
      </c>
      <c r="H3676">
        <v>6.28</v>
      </c>
      <c r="I3676" t="s">
        <v>15</v>
      </c>
      <c r="J3676" t="s">
        <v>15</v>
      </c>
      <c r="K3676">
        <v>1.1299999999999999</v>
      </c>
      <c r="L3676">
        <v>0</v>
      </c>
    </row>
    <row r="3677" spans="1:12" x14ac:dyDescent="0.3">
      <c r="A3677" t="s">
        <v>3693</v>
      </c>
      <c r="B3677" t="s">
        <v>17</v>
      </c>
      <c r="C3677">
        <v>5798</v>
      </c>
      <c r="D3677">
        <v>92.77</v>
      </c>
      <c r="E3677">
        <v>16.7</v>
      </c>
      <c r="F3677">
        <f>COUNTIFS(mdr_rate_cleaned!$A$2:$A$10,B3677,mdr_rate_cleaned!$B$2:$B$10,"&lt;"&amp;C3677,mdr_rate_cleaned!$F$2:$F$10,"&gt;="&amp;C3677)</f>
        <v>1</v>
      </c>
      <c r="G3677">
        <v>1.6E-2</v>
      </c>
      <c r="H3677">
        <v>92.77</v>
      </c>
      <c r="I3677" t="s">
        <v>15</v>
      </c>
      <c r="J3677" t="s">
        <v>15</v>
      </c>
      <c r="K3677">
        <v>16.7</v>
      </c>
      <c r="L3677">
        <v>0</v>
      </c>
    </row>
    <row r="3678" spans="1:12" x14ac:dyDescent="0.3">
      <c r="A3678" t="s">
        <v>3694</v>
      </c>
      <c r="B3678" t="s">
        <v>21</v>
      </c>
      <c r="C3678">
        <v>299</v>
      </c>
      <c r="D3678">
        <v>0</v>
      </c>
      <c r="E3678">
        <v>0</v>
      </c>
      <c r="F3678">
        <f>COUNTIFS(mdr_rate_cleaned!$A$2:$A$10,B3678,mdr_rate_cleaned!$B$2:$B$10,"&lt;"&amp;C3678,mdr_rate_cleaned!$F$2:$F$10,"&gt;="&amp;C3678)</f>
        <v>1</v>
      </c>
      <c r="G3678">
        <v>0</v>
      </c>
      <c r="H3678">
        <v>0</v>
      </c>
      <c r="I3678" t="s">
        <v>15</v>
      </c>
      <c r="J3678" t="s">
        <v>15</v>
      </c>
      <c r="K3678">
        <v>0</v>
      </c>
      <c r="L3678">
        <v>0</v>
      </c>
    </row>
    <row r="3679" spans="1:12" x14ac:dyDescent="0.3">
      <c r="A3679" t="s">
        <v>3695</v>
      </c>
      <c r="B3679" t="s">
        <v>21</v>
      </c>
      <c r="C3679">
        <v>4298</v>
      </c>
      <c r="D3679">
        <v>12.89</v>
      </c>
      <c r="E3679">
        <v>2.3199999999999998</v>
      </c>
      <c r="F3679">
        <f>COUNTIFS(mdr_rate_cleaned!$A$2:$A$10,B3679,mdr_rate_cleaned!$B$2:$B$10,"&lt;"&amp;C3679,mdr_rate_cleaned!$F$2:$F$10,"&gt;="&amp;C3679)</f>
        <v>1</v>
      </c>
      <c r="G3679">
        <v>3.0000000000000001E-3</v>
      </c>
      <c r="H3679">
        <v>12.89</v>
      </c>
      <c r="I3679" t="s">
        <v>15</v>
      </c>
      <c r="J3679" t="s">
        <v>15</v>
      </c>
      <c r="K3679">
        <v>2.3199999999999998</v>
      </c>
      <c r="L3679">
        <v>0</v>
      </c>
    </row>
    <row r="3680" spans="1:12" x14ac:dyDescent="0.3">
      <c r="A3680" t="s">
        <v>3696</v>
      </c>
      <c r="B3680" t="s">
        <v>17</v>
      </c>
      <c r="C3680">
        <v>4999</v>
      </c>
      <c r="D3680">
        <v>79.98</v>
      </c>
      <c r="E3680">
        <v>14.4</v>
      </c>
      <c r="F3680">
        <f>COUNTIFS(mdr_rate_cleaned!$A$2:$A$10,B3680,mdr_rate_cleaned!$B$2:$B$10,"&lt;"&amp;C3680,mdr_rate_cleaned!$F$2:$F$10,"&gt;="&amp;C3680)</f>
        <v>1</v>
      </c>
      <c r="G3680">
        <v>1.6E-2</v>
      </c>
      <c r="H3680">
        <v>79.98</v>
      </c>
      <c r="I3680" t="s">
        <v>15</v>
      </c>
      <c r="J3680" t="s">
        <v>15</v>
      </c>
      <c r="K3680">
        <v>14.4</v>
      </c>
      <c r="L3680">
        <v>0</v>
      </c>
    </row>
    <row r="3681" spans="1:12" x14ac:dyDescent="0.3">
      <c r="A3681" t="s">
        <v>3697</v>
      </c>
      <c r="B3681" t="s">
        <v>39</v>
      </c>
      <c r="C3681">
        <v>2598</v>
      </c>
      <c r="D3681">
        <v>31.18</v>
      </c>
      <c r="E3681">
        <v>5.61</v>
      </c>
      <c r="F3681">
        <f>COUNTIFS(mdr_rate_cleaned!$A$2:$A$10,B3681,mdr_rate_cleaned!$B$2:$B$10,"&lt;"&amp;C3681,mdr_rate_cleaned!$F$2:$F$10,"&gt;="&amp;C3681)</f>
        <v>1</v>
      </c>
      <c r="G3681">
        <v>1.2E-2</v>
      </c>
      <c r="H3681">
        <v>31.18</v>
      </c>
      <c r="I3681" t="s">
        <v>15</v>
      </c>
      <c r="J3681" t="s">
        <v>15</v>
      </c>
      <c r="K3681">
        <v>5.61</v>
      </c>
      <c r="L3681">
        <v>0</v>
      </c>
    </row>
    <row r="3682" spans="1:12" x14ac:dyDescent="0.3">
      <c r="A3682" t="s">
        <v>3698</v>
      </c>
      <c r="B3682" t="s">
        <v>13</v>
      </c>
      <c r="C3682">
        <v>1499</v>
      </c>
      <c r="D3682">
        <v>28.48</v>
      </c>
      <c r="E3682">
        <v>5.13</v>
      </c>
      <c r="F3682">
        <f>COUNTIFS(mdr_rate_cleaned!$A$2:$A$10,B3682,mdr_rate_cleaned!$B$2:$B$10,"&lt;"&amp;C3682,mdr_rate_cleaned!$F$2:$F$10,"&gt;="&amp;C3682)</f>
        <v>1</v>
      </c>
      <c r="G3682">
        <v>1.9E-2</v>
      </c>
      <c r="H3682">
        <v>28.48</v>
      </c>
      <c r="I3682" t="s">
        <v>15</v>
      </c>
      <c r="J3682" t="s">
        <v>15</v>
      </c>
      <c r="K3682">
        <v>5.13</v>
      </c>
      <c r="L3682">
        <v>0</v>
      </c>
    </row>
    <row r="3683" spans="1:12" x14ac:dyDescent="0.3">
      <c r="A3683" t="s">
        <v>3699</v>
      </c>
      <c r="B3683" t="s">
        <v>21</v>
      </c>
      <c r="C3683">
        <v>1298</v>
      </c>
      <c r="D3683">
        <v>0</v>
      </c>
      <c r="E3683">
        <v>0</v>
      </c>
      <c r="F3683">
        <f>COUNTIFS(mdr_rate_cleaned!$A$2:$A$10,B3683,mdr_rate_cleaned!$B$2:$B$10,"&lt;"&amp;C3683,mdr_rate_cleaned!$F$2:$F$10,"&gt;="&amp;C3683)</f>
        <v>1</v>
      </c>
      <c r="G3683">
        <v>0</v>
      </c>
      <c r="H3683">
        <v>0</v>
      </c>
      <c r="I3683" t="s">
        <v>15</v>
      </c>
      <c r="J3683" t="s">
        <v>15</v>
      </c>
      <c r="K3683">
        <v>0</v>
      </c>
      <c r="L3683">
        <v>0</v>
      </c>
    </row>
    <row r="3684" spans="1:12" x14ac:dyDescent="0.3">
      <c r="A3684" t="s">
        <v>3700</v>
      </c>
      <c r="B3684" t="s">
        <v>21</v>
      </c>
      <c r="C3684">
        <v>5598</v>
      </c>
      <c r="D3684">
        <v>16.79</v>
      </c>
      <c r="E3684">
        <v>3.02</v>
      </c>
      <c r="F3684">
        <f>COUNTIFS(mdr_rate_cleaned!$A$2:$A$10,B3684,mdr_rate_cleaned!$B$2:$B$10,"&lt;"&amp;C3684,mdr_rate_cleaned!$F$2:$F$10,"&gt;="&amp;C3684)</f>
        <v>1</v>
      </c>
      <c r="G3684">
        <v>3.0000000000000001E-3</v>
      </c>
      <c r="H3684">
        <v>16.79</v>
      </c>
      <c r="I3684" t="s">
        <v>15</v>
      </c>
      <c r="J3684" t="s">
        <v>15</v>
      </c>
      <c r="K3684">
        <v>3.02</v>
      </c>
      <c r="L3684">
        <v>0</v>
      </c>
    </row>
    <row r="3685" spans="1:12" x14ac:dyDescent="0.3">
      <c r="A3685" t="s">
        <v>3701</v>
      </c>
      <c r="B3685" t="s">
        <v>21</v>
      </c>
      <c r="C3685">
        <v>2999</v>
      </c>
      <c r="D3685">
        <v>9</v>
      </c>
      <c r="E3685">
        <v>1.62</v>
      </c>
      <c r="F3685">
        <f>COUNTIFS(mdr_rate_cleaned!$A$2:$A$10,B3685,mdr_rate_cleaned!$B$2:$B$10,"&lt;"&amp;C3685,mdr_rate_cleaned!$F$2:$F$10,"&gt;="&amp;C3685)</f>
        <v>1</v>
      </c>
      <c r="G3685">
        <v>3.0000000000000001E-3</v>
      </c>
      <c r="H3685">
        <v>9</v>
      </c>
      <c r="I3685" t="s">
        <v>15</v>
      </c>
      <c r="J3685" t="s">
        <v>15</v>
      </c>
      <c r="K3685">
        <v>1.62</v>
      </c>
      <c r="L3685">
        <v>0</v>
      </c>
    </row>
    <row r="3686" spans="1:12" x14ac:dyDescent="0.3">
      <c r="A3686" t="s">
        <v>3702</v>
      </c>
      <c r="B3686" t="s">
        <v>21</v>
      </c>
      <c r="C3686">
        <v>3097</v>
      </c>
      <c r="D3686">
        <v>9.2899999999999991</v>
      </c>
      <c r="E3686">
        <v>1.67</v>
      </c>
      <c r="F3686">
        <f>COUNTIFS(mdr_rate_cleaned!$A$2:$A$10,B3686,mdr_rate_cleaned!$B$2:$B$10,"&lt;"&amp;C3686,mdr_rate_cleaned!$F$2:$F$10,"&gt;="&amp;C3686)</f>
        <v>1</v>
      </c>
      <c r="G3686">
        <v>3.0000000000000001E-3</v>
      </c>
      <c r="H3686">
        <v>9.2899999999999991</v>
      </c>
      <c r="I3686" t="s">
        <v>15</v>
      </c>
      <c r="J3686" t="s">
        <v>15</v>
      </c>
      <c r="K3686">
        <v>1.67</v>
      </c>
      <c r="L3686">
        <v>0</v>
      </c>
    </row>
    <row r="3687" spans="1:12" x14ac:dyDescent="0.3">
      <c r="A3687" t="s">
        <v>3703</v>
      </c>
      <c r="B3687" t="s">
        <v>13</v>
      </c>
      <c r="C3687">
        <v>5298</v>
      </c>
      <c r="D3687">
        <v>127.15</v>
      </c>
      <c r="E3687">
        <v>22.89</v>
      </c>
      <c r="F3687">
        <f>COUNTIFS(mdr_rate_cleaned!$A$2:$A$10,B3687,mdr_rate_cleaned!$B$2:$B$10,"&lt;"&amp;C3687,mdr_rate_cleaned!$F$2:$F$10,"&gt;="&amp;C3687)</f>
        <v>1</v>
      </c>
      <c r="G3687">
        <v>1.7000000000000001E-2</v>
      </c>
      <c r="H3687">
        <v>90.07</v>
      </c>
      <c r="I3687" t="s">
        <v>14</v>
      </c>
      <c r="J3687" t="s">
        <v>15</v>
      </c>
      <c r="K3687">
        <v>16.21</v>
      </c>
      <c r="L3687">
        <v>43.76</v>
      </c>
    </row>
    <row r="3688" spans="1:12" x14ac:dyDescent="0.3">
      <c r="A3688" t="s">
        <v>3704</v>
      </c>
      <c r="B3688" t="s">
        <v>21</v>
      </c>
      <c r="C3688">
        <v>11497</v>
      </c>
      <c r="D3688">
        <v>34.49</v>
      </c>
      <c r="E3688">
        <v>6.21</v>
      </c>
      <c r="F3688">
        <f>COUNTIFS(mdr_rate_cleaned!$A$2:$A$10,B3688,mdr_rate_cleaned!$B$2:$B$10,"&lt;"&amp;C3688,mdr_rate_cleaned!$F$2:$F$10,"&gt;="&amp;C3688)</f>
        <v>1</v>
      </c>
      <c r="G3688">
        <v>3.0000000000000001E-3</v>
      </c>
      <c r="H3688">
        <v>34.49</v>
      </c>
      <c r="I3688" t="s">
        <v>15</v>
      </c>
      <c r="J3688" t="s">
        <v>15</v>
      </c>
      <c r="K3688">
        <v>6.21</v>
      </c>
      <c r="L3688">
        <v>0</v>
      </c>
    </row>
    <row r="3689" spans="1:12" x14ac:dyDescent="0.3">
      <c r="A3689" t="s">
        <v>3705</v>
      </c>
      <c r="B3689" t="s">
        <v>21</v>
      </c>
      <c r="C3689">
        <v>2499</v>
      </c>
      <c r="D3689">
        <v>7.5</v>
      </c>
      <c r="E3689">
        <v>1.35</v>
      </c>
      <c r="F3689">
        <f>COUNTIFS(mdr_rate_cleaned!$A$2:$A$10,B3689,mdr_rate_cleaned!$B$2:$B$10,"&lt;"&amp;C3689,mdr_rate_cleaned!$F$2:$F$10,"&gt;="&amp;C3689)</f>
        <v>1</v>
      </c>
      <c r="G3689">
        <v>3.0000000000000001E-3</v>
      </c>
      <c r="H3689">
        <v>7.5</v>
      </c>
      <c r="I3689" t="s">
        <v>15</v>
      </c>
      <c r="J3689" t="s">
        <v>15</v>
      </c>
      <c r="K3689">
        <v>1.35</v>
      </c>
      <c r="L3689">
        <v>0</v>
      </c>
    </row>
    <row r="3690" spans="1:12" x14ac:dyDescent="0.3">
      <c r="A3690" t="s">
        <v>3706</v>
      </c>
      <c r="B3690" t="s">
        <v>21</v>
      </c>
      <c r="C3690">
        <v>8998</v>
      </c>
      <c r="D3690">
        <v>26.99</v>
      </c>
      <c r="E3690">
        <v>4.8600000000000003</v>
      </c>
      <c r="F3690">
        <f>COUNTIFS(mdr_rate_cleaned!$A$2:$A$10,B3690,mdr_rate_cleaned!$B$2:$B$10,"&lt;"&amp;C3690,mdr_rate_cleaned!$F$2:$F$10,"&gt;="&amp;C3690)</f>
        <v>1</v>
      </c>
      <c r="G3690">
        <v>3.0000000000000001E-3</v>
      </c>
      <c r="H3690">
        <v>26.99</v>
      </c>
      <c r="I3690" t="s">
        <v>15</v>
      </c>
      <c r="J3690" t="s">
        <v>15</v>
      </c>
      <c r="K3690">
        <v>4.8600000000000003</v>
      </c>
      <c r="L3690">
        <v>0</v>
      </c>
    </row>
    <row r="3691" spans="1:12" x14ac:dyDescent="0.3">
      <c r="A3691" t="s">
        <v>3707</v>
      </c>
      <c r="B3691" t="s">
        <v>21</v>
      </c>
      <c r="C3691">
        <v>349</v>
      </c>
      <c r="D3691">
        <v>0</v>
      </c>
      <c r="E3691">
        <v>0</v>
      </c>
      <c r="F3691">
        <f>COUNTIFS(mdr_rate_cleaned!$A$2:$A$10,B3691,mdr_rate_cleaned!$B$2:$B$10,"&lt;"&amp;C3691,mdr_rate_cleaned!$F$2:$F$10,"&gt;="&amp;C3691)</f>
        <v>1</v>
      </c>
      <c r="G3691">
        <v>0</v>
      </c>
      <c r="H3691">
        <v>0</v>
      </c>
      <c r="I3691" t="s">
        <v>15</v>
      </c>
      <c r="J3691" t="s">
        <v>15</v>
      </c>
      <c r="K3691">
        <v>0</v>
      </c>
      <c r="L3691">
        <v>0</v>
      </c>
    </row>
    <row r="3692" spans="1:12" x14ac:dyDescent="0.3">
      <c r="A3692" t="s">
        <v>3708</v>
      </c>
      <c r="B3692" t="s">
        <v>13</v>
      </c>
      <c r="C3692">
        <v>349</v>
      </c>
      <c r="D3692">
        <v>6.63</v>
      </c>
      <c r="E3692">
        <v>1.19</v>
      </c>
      <c r="F3692">
        <f>COUNTIFS(mdr_rate_cleaned!$A$2:$A$10,B3692,mdr_rate_cleaned!$B$2:$B$10,"&lt;"&amp;C3692,mdr_rate_cleaned!$F$2:$F$10,"&gt;="&amp;C3692)</f>
        <v>1</v>
      </c>
      <c r="G3692">
        <v>1.9E-2</v>
      </c>
      <c r="H3692">
        <v>6.63</v>
      </c>
      <c r="I3692" t="s">
        <v>15</v>
      </c>
      <c r="J3692" t="s">
        <v>15</v>
      </c>
      <c r="K3692">
        <v>1.19</v>
      </c>
      <c r="L3692">
        <v>0</v>
      </c>
    </row>
    <row r="3693" spans="1:12" x14ac:dyDescent="0.3">
      <c r="A3693" t="s">
        <v>3709</v>
      </c>
      <c r="B3693" t="s">
        <v>17</v>
      </c>
      <c r="C3693">
        <v>4999</v>
      </c>
      <c r="D3693">
        <v>79.98</v>
      </c>
      <c r="E3693">
        <v>14.4</v>
      </c>
      <c r="F3693">
        <f>COUNTIFS(mdr_rate_cleaned!$A$2:$A$10,B3693,mdr_rate_cleaned!$B$2:$B$10,"&lt;"&amp;C3693,mdr_rate_cleaned!$F$2:$F$10,"&gt;="&amp;C3693)</f>
        <v>1</v>
      </c>
      <c r="G3693">
        <v>1.6E-2</v>
      </c>
      <c r="H3693">
        <v>79.98</v>
      </c>
      <c r="I3693" t="s">
        <v>15</v>
      </c>
      <c r="J3693" t="s">
        <v>15</v>
      </c>
      <c r="K3693">
        <v>14.4</v>
      </c>
      <c r="L3693">
        <v>0</v>
      </c>
    </row>
    <row r="3694" spans="1:12" x14ac:dyDescent="0.3">
      <c r="A3694" t="s">
        <v>3710</v>
      </c>
      <c r="B3694" t="s">
        <v>21</v>
      </c>
      <c r="C3694">
        <v>4999</v>
      </c>
      <c r="D3694">
        <v>15</v>
      </c>
      <c r="E3694">
        <v>2.7</v>
      </c>
      <c r="F3694">
        <f>COUNTIFS(mdr_rate_cleaned!$A$2:$A$10,B3694,mdr_rate_cleaned!$B$2:$B$10,"&lt;"&amp;C3694,mdr_rate_cleaned!$F$2:$F$10,"&gt;="&amp;C3694)</f>
        <v>1</v>
      </c>
      <c r="G3694">
        <v>3.0000000000000001E-3</v>
      </c>
      <c r="H3694">
        <v>15</v>
      </c>
      <c r="I3694" t="s">
        <v>15</v>
      </c>
      <c r="J3694" t="s">
        <v>15</v>
      </c>
      <c r="K3694">
        <v>2.7</v>
      </c>
      <c r="L3694">
        <v>0</v>
      </c>
    </row>
    <row r="3695" spans="1:12" x14ac:dyDescent="0.3">
      <c r="A3695" t="s">
        <v>3711</v>
      </c>
      <c r="B3695" t="s">
        <v>21</v>
      </c>
      <c r="C3695">
        <v>9597</v>
      </c>
      <c r="D3695">
        <v>28.79</v>
      </c>
      <c r="E3695">
        <v>5.18</v>
      </c>
      <c r="F3695">
        <f>COUNTIFS(mdr_rate_cleaned!$A$2:$A$10,B3695,mdr_rate_cleaned!$B$2:$B$10,"&lt;"&amp;C3695,mdr_rate_cleaned!$F$2:$F$10,"&gt;="&amp;C3695)</f>
        <v>1</v>
      </c>
      <c r="G3695">
        <v>3.0000000000000001E-3</v>
      </c>
      <c r="H3695">
        <v>28.79</v>
      </c>
      <c r="I3695" t="s">
        <v>15</v>
      </c>
      <c r="J3695" t="s">
        <v>15</v>
      </c>
      <c r="K3695">
        <v>5.18</v>
      </c>
      <c r="L3695">
        <v>0</v>
      </c>
    </row>
    <row r="3696" spans="1:12" x14ac:dyDescent="0.3">
      <c r="A3696" t="s">
        <v>3712</v>
      </c>
      <c r="B3696" t="s">
        <v>17</v>
      </c>
      <c r="C3696">
        <v>8798</v>
      </c>
      <c r="D3696">
        <v>140.77000000000001</v>
      </c>
      <c r="E3696">
        <v>25.34</v>
      </c>
      <c r="F3696">
        <f>COUNTIFS(mdr_rate_cleaned!$A$2:$A$10,B3696,mdr_rate_cleaned!$B$2:$B$10,"&lt;"&amp;C3696,mdr_rate_cleaned!$F$2:$F$10,"&gt;="&amp;C3696)</f>
        <v>1</v>
      </c>
      <c r="G3696">
        <v>1.6E-2</v>
      </c>
      <c r="H3696">
        <v>140.77000000000001</v>
      </c>
      <c r="I3696" t="s">
        <v>15</v>
      </c>
      <c r="J3696" t="s">
        <v>15</v>
      </c>
      <c r="K3696">
        <v>25.34</v>
      </c>
      <c r="L3696">
        <v>0</v>
      </c>
    </row>
    <row r="3697" spans="1:12" x14ac:dyDescent="0.3">
      <c r="A3697" t="s">
        <v>3713</v>
      </c>
      <c r="B3697" t="s">
        <v>21</v>
      </c>
      <c r="C3697">
        <v>3499</v>
      </c>
      <c r="D3697">
        <v>10.5</v>
      </c>
      <c r="E3697">
        <v>1.89</v>
      </c>
      <c r="F3697">
        <f>COUNTIFS(mdr_rate_cleaned!$A$2:$A$10,B3697,mdr_rate_cleaned!$B$2:$B$10,"&lt;"&amp;C3697,mdr_rate_cleaned!$F$2:$F$10,"&gt;="&amp;C3697)</f>
        <v>1</v>
      </c>
      <c r="G3697">
        <v>3.0000000000000001E-3</v>
      </c>
      <c r="H3697">
        <v>10.5</v>
      </c>
      <c r="I3697" t="s">
        <v>15</v>
      </c>
      <c r="J3697" t="s">
        <v>15</v>
      </c>
      <c r="K3697">
        <v>1.89</v>
      </c>
      <c r="L3697">
        <v>0</v>
      </c>
    </row>
    <row r="3698" spans="1:12" x14ac:dyDescent="0.3">
      <c r="A3698" t="s">
        <v>3714</v>
      </c>
      <c r="B3698" t="s">
        <v>21</v>
      </c>
      <c r="C3698">
        <v>499</v>
      </c>
      <c r="D3698">
        <v>0</v>
      </c>
      <c r="E3698">
        <v>0</v>
      </c>
      <c r="F3698">
        <f>COUNTIFS(mdr_rate_cleaned!$A$2:$A$10,B3698,mdr_rate_cleaned!$B$2:$B$10,"&lt;"&amp;C3698,mdr_rate_cleaned!$F$2:$F$10,"&gt;="&amp;C3698)</f>
        <v>1</v>
      </c>
      <c r="G3698">
        <v>0</v>
      </c>
      <c r="H3698">
        <v>0</v>
      </c>
      <c r="I3698" t="s">
        <v>15</v>
      </c>
      <c r="J3698" t="s">
        <v>15</v>
      </c>
      <c r="K3698">
        <v>0</v>
      </c>
      <c r="L3698">
        <v>0</v>
      </c>
    </row>
    <row r="3699" spans="1:12" x14ac:dyDescent="0.3">
      <c r="A3699" t="s">
        <v>3715</v>
      </c>
      <c r="B3699" t="s">
        <v>21</v>
      </c>
      <c r="C3699">
        <v>2499</v>
      </c>
      <c r="D3699">
        <v>7.5</v>
      </c>
      <c r="E3699">
        <v>1.35</v>
      </c>
      <c r="F3699">
        <f>COUNTIFS(mdr_rate_cleaned!$A$2:$A$10,B3699,mdr_rate_cleaned!$B$2:$B$10,"&lt;"&amp;C3699,mdr_rate_cleaned!$F$2:$F$10,"&gt;="&amp;C3699)</f>
        <v>1</v>
      </c>
      <c r="G3699">
        <v>3.0000000000000001E-3</v>
      </c>
      <c r="H3699">
        <v>7.5</v>
      </c>
      <c r="I3699" t="s">
        <v>15</v>
      </c>
      <c r="J3699" t="s">
        <v>15</v>
      </c>
      <c r="K3699">
        <v>1.35</v>
      </c>
      <c r="L3699">
        <v>0</v>
      </c>
    </row>
    <row r="3700" spans="1:12" x14ac:dyDescent="0.3">
      <c r="A3700" t="s">
        <v>3716</v>
      </c>
      <c r="B3700" t="s">
        <v>39</v>
      </c>
      <c r="C3700">
        <v>4297</v>
      </c>
      <c r="D3700">
        <v>51.56</v>
      </c>
      <c r="E3700">
        <v>9.2799999999999994</v>
      </c>
      <c r="F3700">
        <f>COUNTIFS(mdr_rate_cleaned!$A$2:$A$10,B3700,mdr_rate_cleaned!$B$2:$B$10,"&lt;"&amp;C3700,mdr_rate_cleaned!$F$2:$F$10,"&gt;="&amp;C3700)</f>
        <v>1</v>
      </c>
      <c r="G3700">
        <v>1.2E-2</v>
      </c>
      <c r="H3700">
        <v>51.56</v>
      </c>
      <c r="I3700" t="s">
        <v>15</v>
      </c>
      <c r="J3700" t="s">
        <v>15</v>
      </c>
      <c r="K3700">
        <v>9.2799999999999994</v>
      </c>
      <c r="L3700">
        <v>0</v>
      </c>
    </row>
    <row r="3701" spans="1:12" x14ac:dyDescent="0.3">
      <c r="A3701" t="s">
        <v>3717</v>
      </c>
      <c r="B3701" t="s">
        <v>17</v>
      </c>
      <c r="C3701">
        <v>7999</v>
      </c>
      <c r="D3701">
        <v>127.98</v>
      </c>
      <c r="E3701">
        <v>23.04</v>
      </c>
      <c r="F3701">
        <f>COUNTIFS(mdr_rate_cleaned!$A$2:$A$10,B3701,mdr_rate_cleaned!$B$2:$B$10,"&lt;"&amp;C3701,mdr_rate_cleaned!$F$2:$F$10,"&gt;="&amp;C3701)</f>
        <v>1</v>
      </c>
      <c r="G3701">
        <v>1.6E-2</v>
      </c>
      <c r="H3701">
        <v>127.98</v>
      </c>
      <c r="I3701" t="s">
        <v>15</v>
      </c>
      <c r="J3701" t="s">
        <v>15</v>
      </c>
      <c r="K3701">
        <v>23.04</v>
      </c>
      <c r="L3701">
        <v>0</v>
      </c>
    </row>
    <row r="3702" spans="1:12" x14ac:dyDescent="0.3">
      <c r="A3702" t="s">
        <v>3718</v>
      </c>
      <c r="B3702" t="s">
        <v>17</v>
      </c>
      <c r="C3702">
        <v>2999</v>
      </c>
      <c r="D3702">
        <v>47.98</v>
      </c>
      <c r="E3702">
        <v>8.64</v>
      </c>
      <c r="F3702">
        <f>COUNTIFS(mdr_rate_cleaned!$A$2:$A$10,B3702,mdr_rate_cleaned!$B$2:$B$10,"&lt;"&amp;C3702,mdr_rate_cleaned!$F$2:$F$10,"&gt;="&amp;C3702)</f>
        <v>1</v>
      </c>
      <c r="G3702">
        <v>1.6E-2</v>
      </c>
      <c r="H3702">
        <v>47.98</v>
      </c>
      <c r="I3702" t="s">
        <v>15</v>
      </c>
      <c r="J3702" t="s">
        <v>15</v>
      </c>
      <c r="K3702">
        <v>8.64</v>
      </c>
      <c r="L3702">
        <v>0</v>
      </c>
    </row>
    <row r="3703" spans="1:12" x14ac:dyDescent="0.3">
      <c r="A3703" t="s">
        <v>3719</v>
      </c>
      <c r="B3703" t="s">
        <v>21</v>
      </c>
      <c r="C3703">
        <v>299</v>
      </c>
      <c r="D3703">
        <v>0</v>
      </c>
      <c r="E3703">
        <v>0</v>
      </c>
      <c r="F3703">
        <f>COUNTIFS(mdr_rate_cleaned!$A$2:$A$10,B3703,mdr_rate_cleaned!$B$2:$B$10,"&lt;"&amp;C3703,mdr_rate_cleaned!$F$2:$F$10,"&gt;="&amp;C3703)</f>
        <v>1</v>
      </c>
      <c r="G3703">
        <v>0</v>
      </c>
      <c r="H3703">
        <v>0</v>
      </c>
      <c r="I3703" t="s">
        <v>15</v>
      </c>
      <c r="J3703" t="s">
        <v>15</v>
      </c>
      <c r="K3703">
        <v>0</v>
      </c>
      <c r="L3703">
        <v>0</v>
      </c>
    </row>
    <row r="3704" spans="1:12" x14ac:dyDescent="0.3">
      <c r="A3704" t="s">
        <v>3720</v>
      </c>
      <c r="B3704" t="s">
        <v>21</v>
      </c>
      <c r="C3704">
        <v>4697</v>
      </c>
      <c r="D3704">
        <v>14.09</v>
      </c>
      <c r="E3704">
        <v>2.54</v>
      </c>
      <c r="F3704">
        <f>COUNTIFS(mdr_rate_cleaned!$A$2:$A$10,B3704,mdr_rate_cleaned!$B$2:$B$10,"&lt;"&amp;C3704,mdr_rate_cleaned!$F$2:$F$10,"&gt;="&amp;C3704)</f>
        <v>1</v>
      </c>
      <c r="G3704">
        <v>3.0000000000000001E-3</v>
      </c>
      <c r="H3704">
        <v>14.09</v>
      </c>
      <c r="I3704" t="s">
        <v>15</v>
      </c>
      <c r="J3704" t="s">
        <v>15</v>
      </c>
      <c r="K3704">
        <v>2.54</v>
      </c>
      <c r="L3704">
        <v>0</v>
      </c>
    </row>
    <row r="3705" spans="1:12" x14ac:dyDescent="0.3">
      <c r="A3705" t="s">
        <v>3721</v>
      </c>
      <c r="B3705" t="s">
        <v>21</v>
      </c>
      <c r="C3705">
        <v>299</v>
      </c>
      <c r="D3705">
        <v>0</v>
      </c>
      <c r="E3705">
        <v>0</v>
      </c>
      <c r="F3705">
        <f>COUNTIFS(mdr_rate_cleaned!$A$2:$A$10,B3705,mdr_rate_cleaned!$B$2:$B$10,"&lt;"&amp;C3705,mdr_rate_cleaned!$F$2:$F$10,"&gt;="&amp;C3705)</f>
        <v>1</v>
      </c>
      <c r="G3705">
        <v>0</v>
      </c>
      <c r="H3705">
        <v>0</v>
      </c>
      <c r="I3705" t="s">
        <v>15</v>
      </c>
      <c r="J3705" t="s">
        <v>15</v>
      </c>
      <c r="K3705">
        <v>0</v>
      </c>
      <c r="L3705">
        <v>0</v>
      </c>
    </row>
    <row r="3706" spans="1:12" x14ac:dyDescent="0.3">
      <c r="A3706" t="s">
        <v>3722</v>
      </c>
      <c r="B3706" t="s">
        <v>21</v>
      </c>
      <c r="C3706">
        <v>1499</v>
      </c>
      <c r="D3706">
        <v>0</v>
      </c>
      <c r="E3706">
        <v>0</v>
      </c>
      <c r="F3706">
        <f>COUNTIFS(mdr_rate_cleaned!$A$2:$A$10,B3706,mdr_rate_cleaned!$B$2:$B$10,"&lt;"&amp;C3706,mdr_rate_cleaned!$F$2:$F$10,"&gt;="&amp;C3706)</f>
        <v>1</v>
      </c>
      <c r="G3706">
        <v>0</v>
      </c>
      <c r="H3706">
        <v>0</v>
      </c>
      <c r="I3706" t="s">
        <v>15</v>
      </c>
      <c r="J3706" t="s">
        <v>15</v>
      </c>
      <c r="K3706">
        <v>0</v>
      </c>
      <c r="L3706">
        <v>0</v>
      </c>
    </row>
    <row r="3707" spans="1:12" x14ac:dyDescent="0.3">
      <c r="A3707" t="s">
        <v>3723</v>
      </c>
      <c r="B3707" t="s">
        <v>13</v>
      </c>
      <c r="C3707">
        <v>799</v>
      </c>
      <c r="D3707">
        <v>15.18</v>
      </c>
      <c r="E3707">
        <v>2.73</v>
      </c>
      <c r="F3707">
        <f>COUNTIFS(mdr_rate_cleaned!$A$2:$A$10,B3707,mdr_rate_cleaned!$B$2:$B$10,"&lt;"&amp;C3707,mdr_rate_cleaned!$F$2:$F$10,"&gt;="&amp;C3707)</f>
        <v>1</v>
      </c>
      <c r="G3707">
        <v>1.9E-2</v>
      </c>
      <c r="H3707">
        <v>15.18</v>
      </c>
      <c r="I3707" t="s">
        <v>15</v>
      </c>
      <c r="J3707" t="s">
        <v>15</v>
      </c>
      <c r="K3707">
        <v>2.73</v>
      </c>
      <c r="L3707">
        <v>0</v>
      </c>
    </row>
    <row r="3708" spans="1:12" x14ac:dyDescent="0.3">
      <c r="A3708" t="s">
        <v>3724</v>
      </c>
      <c r="B3708" t="s">
        <v>39</v>
      </c>
      <c r="C3708">
        <v>2999</v>
      </c>
      <c r="D3708">
        <v>35.99</v>
      </c>
      <c r="E3708">
        <v>6.48</v>
      </c>
      <c r="F3708">
        <f>COUNTIFS(mdr_rate_cleaned!$A$2:$A$10,B3708,mdr_rate_cleaned!$B$2:$B$10,"&lt;"&amp;C3708,mdr_rate_cleaned!$F$2:$F$10,"&gt;="&amp;C3708)</f>
        <v>1</v>
      </c>
      <c r="G3708">
        <v>1.2E-2</v>
      </c>
      <c r="H3708">
        <v>35.99</v>
      </c>
      <c r="I3708" t="s">
        <v>15</v>
      </c>
      <c r="J3708" t="s">
        <v>15</v>
      </c>
      <c r="K3708">
        <v>6.48</v>
      </c>
      <c r="L3708">
        <v>0</v>
      </c>
    </row>
    <row r="3709" spans="1:12" x14ac:dyDescent="0.3">
      <c r="A3709" t="s">
        <v>3725</v>
      </c>
      <c r="B3709" t="s">
        <v>21</v>
      </c>
      <c r="C3709">
        <v>3798</v>
      </c>
      <c r="D3709">
        <v>11.39</v>
      </c>
      <c r="E3709">
        <v>2.0499999999999998</v>
      </c>
      <c r="F3709">
        <f>COUNTIFS(mdr_rate_cleaned!$A$2:$A$10,B3709,mdr_rate_cleaned!$B$2:$B$10,"&lt;"&amp;C3709,mdr_rate_cleaned!$F$2:$F$10,"&gt;="&amp;C3709)</f>
        <v>1</v>
      </c>
      <c r="G3709">
        <v>3.0000000000000001E-3</v>
      </c>
      <c r="H3709">
        <v>11.39</v>
      </c>
      <c r="I3709" t="s">
        <v>15</v>
      </c>
      <c r="J3709" t="s">
        <v>15</v>
      </c>
      <c r="K3709">
        <v>2.0499999999999998</v>
      </c>
      <c r="L3709">
        <v>0</v>
      </c>
    </row>
    <row r="3710" spans="1:12" x14ac:dyDescent="0.3">
      <c r="A3710" t="s">
        <v>3726</v>
      </c>
      <c r="B3710" t="s">
        <v>21</v>
      </c>
      <c r="C3710">
        <v>2499</v>
      </c>
      <c r="D3710">
        <v>7.5</v>
      </c>
      <c r="E3710">
        <v>1.35</v>
      </c>
      <c r="F3710">
        <f>COUNTIFS(mdr_rate_cleaned!$A$2:$A$10,B3710,mdr_rate_cleaned!$B$2:$B$10,"&lt;"&amp;C3710,mdr_rate_cleaned!$F$2:$F$10,"&gt;="&amp;C3710)</f>
        <v>1</v>
      </c>
      <c r="G3710">
        <v>3.0000000000000001E-3</v>
      </c>
      <c r="H3710">
        <v>7.5</v>
      </c>
      <c r="I3710" t="s">
        <v>15</v>
      </c>
      <c r="J3710" t="s">
        <v>15</v>
      </c>
      <c r="K3710">
        <v>1.35</v>
      </c>
      <c r="L3710">
        <v>0</v>
      </c>
    </row>
    <row r="3711" spans="1:12" x14ac:dyDescent="0.3">
      <c r="A3711" t="s">
        <v>3727</v>
      </c>
      <c r="B3711" t="s">
        <v>21</v>
      </c>
      <c r="C3711">
        <v>3298</v>
      </c>
      <c r="D3711">
        <v>9.89</v>
      </c>
      <c r="E3711">
        <v>1.78</v>
      </c>
      <c r="F3711">
        <f>COUNTIFS(mdr_rate_cleaned!$A$2:$A$10,B3711,mdr_rate_cleaned!$B$2:$B$10,"&lt;"&amp;C3711,mdr_rate_cleaned!$F$2:$F$10,"&gt;="&amp;C3711)</f>
        <v>1</v>
      </c>
      <c r="G3711">
        <v>3.0000000000000001E-3</v>
      </c>
      <c r="H3711">
        <v>9.89</v>
      </c>
      <c r="I3711" t="s">
        <v>15</v>
      </c>
      <c r="J3711" t="s">
        <v>15</v>
      </c>
      <c r="K3711">
        <v>1.78</v>
      </c>
      <c r="L3711">
        <v>0</v>
      </c>
    </row>
    <row r="3712" spans="1:12" x14ac:dyDescent="0.3">
      <c r="A3712" t="s">
        <v>3728</v>
      </c>
      <c r="B3712" t="s">
        <v>17</v>
      </c>
      <c r="C3712">
        <v>2998</v>
      </c>
      <c r="D3712">
        <v>47.97</v>
      </c>
      <c r="E3712">
        <v>8.6300000000000008</v>
      </c>
      <c r="F3712">
        <f>COUNTIFS(mdr_rate_cleaned!$A$2:$A$10,B3712,mdr_rate_cleaned!$B$2:$B$10,"&lt;"&amp;C3712,mdr_rate_cleaned!$F$2:$F$10,"&gt;="&amp;C3712)</f>
        <v>1</v>
      </c>
      <c r="G3712">
        <v>1.6E-2</v>
      </c>
      <c r="H3712">
        <v>47.97</v>
      </c>
      <c r="I3712" t="s">
        <v>15</v>
      </c>
      <c r="J3712" t="s">
        <v>15</v>
      </c>
      <c r="K3712">
        <v>8.6300000000000008</v>
      </c>
      <c r="L3712">
        <v>0</v>
      </c>
    </row>
    <row r="3713" spans="1:12" x14ac:dyDescent="0.3">
      <c r="A3713" t="s">
        <v>3729</v>
      </c>
      <c r="B3713" t="s">
        <v>21</v>
      </c>
      <c r="C3713">
        <v>799</v>
      </c>
      <c r="D3713">
        <v>0</v>
      </c>
      <c r="E3713">
        <v>0</v>
      </c>
      <c r="F3713">
        <f>COUNTIFS(mdr_rate_cleaned!$A$2:$A$10,B3713,mdr_rate_cleaned!$B$2:$B$10,"&lt;"&amp;C3713,mdr_rate_cleaned!$F$2:$F$10,"&gt;="&amp;C3713)</f>
        <v>1</v>
      </c>
      <c r="G3713">
        <v>0</v>
      </c>
      <c r="H3713">
        <v>0</v>
      </c>
      <c r="I3713" t="s">
        <v>15</v>
      </c>
      <c r="J3713" t="s">
        <v>15</v>
      </c>
      <c r="K3713">
        <v>0</v>
      </c>
      <c r="L3713">
        <v>0</v>
      </c>
    </row>
    <row r="3714" spans="1:12" x14ac:dyDescent="0.3">
      <c r="A3714" t="s">
        <v>3730</v>
      </c>
      <c r="B3714" t="s">
        <v>21</v>
      </c>
      <c r="C3714">
        <v>1799</v>
      </c>
      <c r="D3714">
        <v>0</v>
      </c>
      <c r="E3714">
        <v>0</v>
      </c>
      <c r="F3714">
        <f>COUNTIFS(mdr_rate_cleaned!$A$2:$A$10,B3714,mdr_rate_cleaned!$B$2:$B$10,"&lt;"&amp;C3714,mdr_rate_cleaned!$F$2:$F$10,"&gt;="&amp;C3714)</f>
        <v>1</v>
      </c>
      <c r="G3714">
        <v>0</v>
      </c>
      <c r="H3714">
        <v>0</v>
      </c>
      <c r="I3714" t="s">
        <v>15</v>
      </c>
      <c r="J3714" t="s">
        <v>15</v>
      </c>
      <c r="K3714">
        <v>0</v>
      </c>
      <c r="L3714">
        <v>0</v>
      </c>
    </row>
    <row r="3715" spans="1:12" x14ac:dyDescent="0.3">
      <c r="A3715" t="s">
        <v>3731</v>
      </c>
      <c r="B3715" t="s">
        <v>17</v>
      </c>
      <c r="C3715">
        <v>4197</v>
      </c>
      <c r="D3715">
        <v>67.150000000000006</v>
      </c>
      <c r="E3715">
        <v>12.09</v>
      </c>
      <c r="F3715">
        <f>COUNTIFS(mdr_rate_cleaned!$A$2:$A$10,B3715,mdr_rate_cleaned!$B$2:$B$10,"&lt;"&amp;C3715,mdr_rate_cleaned!$F$2:$F$10,"&gt;="&amp;C3715)</f>
        <v>1</v>
      </c>
      <c r="G3715">
        <v>1.6E-2</v>
      </c>
      <c r="H3715">
        <v>67.150000000000006</v>
      </c>
      <c r="I3715" t="s">
        <v>15</v>
      </c>
      <c r="J3715" t="s">
        <v>15</v>
      </c>
      <c r="K3715">
        <v>12.09</v>
      </c>
      <c r="L3715">
        <v>0</v>
      </c>
    </row>
    <row r="3716" spans="1:12" x14ac:dyDescent="0.3">
      <c r="A3716" t="s">
        <v>3732</v>
      </c>
      <c r="B3716" t="s">
        <v>13</v>
      </c>
      <c r="C3716">
        <v>5798</v>
      </c>
      <c r="D3716">
        <v>98.57</v>
      </c>
      <c r="E3716">
        <v>17.739999999999998</v>
      </c>
      <c r="F3716">
        <f>COUNTIFS(mdr_rate_cleaned!$A$2:$A$10,B3716,mdr_rate_cleaned!$B$2:$B$10,"&lt;"&amp;C3716,mdr_rate_cleaned!$F$2:$F$10,"&gt;="&amp;C3716)</f>
        <v>1</v>
      </c>
      <c r="G3716">
        <v>1.7000000000000001E-2</v>
      </c>
      <c r="H3716">
        <v>98.57</v>
      </c>
      <c r="I3716" t="s">
        <v>15</v>
      </c>
      <c r="J3716" t="s">
        <v>15</v>
      </c>
      <c r="K3716">
        <v>17.739999999999998</v>
      </c>
      <c r="L3716">
        <v>0</v>
      </c>
    </row>
    <row r="3717" spans="1:12" x14ac:dyDescent="0.3">
      <c r="A3717" t="s">
        <v>3733</v>
      </c>
      <c r="B3717" t="s">
        <v>21</v>
      </c>
      <c r="C3717">
        <v>7999</v>
      </c>
      <c r="D3717">
        <v>24</v>
      </c>
      <c r="E3717">
        <v>4.32</v>
      </c>
      <c r="F3717">
        <f>COUNTIFS(mdr_rate_cleaned!$A$2:$A$10,B3717,mdr_rate_cleaned!$B$2:$B$10,"&lt;"&amp;C3717,mdr_rate_cleaned!$F$2:$F$10,"&gt;="&amp;C3717)</f>
        <v>1</v>
      </c>
      <c r="G3717">
        <v>3.0000000000000001E-3</v>
      </c>
      <c r="H3717">
        <v>24</v>
      </c>
      <c r="I3717" t="s">
        <v>15</v>
      </c>
      <c r="J3717" t="s">
        <v>15</v>
      </c>
      <c r="K3717">
        <v>4.32</v>
      </c>
      <c r="L3717">
        <v>0</v>
      </c>
    </row>
    <row r="3718" spans="1:12" x14ac:dyDescent="0.3">
      <c r="A3718" t="s">
        <v>3734</v>
      </c>
      <c r="B3718" t="s">
        <v>17</v>
      </c>
      <c r="C3718">
        <v>799</v>
      </c>
      <c r="D3718">
        <v>14.38</v>
      </c>
      <c r="E3718">
        <v>2.59</v>
      </c>
      <c r="F3718">
        <f>COUNTIFS(mdr_rate_cleaned!$A$2:$A$10,B3718,mdr_rate_cleaned!$B$2:$B$10,"&lt;"&amp;C3718,mdr_rate_cleaned!$F$2:$F$10,"&gt;="&amp;C3718)</f>
        <v>1</v>
      </c>
      <c r="G3718">
        <v>1.7999999999999999E-2</v>
      </c>
      <c r="H3718">
        <v>14.38</v>
      </c>
      <c r="I3718" t="s">
        <v>15</v>
      </c>
      <c r="J3718" t="s">
        <v>15</v>
      </c>
      <c r="K3718">
        <v>2.59</v>
      </c>
      <c r="L3718">
        <v>0</v>
      </c>
    </row>
    <row r="3719" spans="1:12" x14ac:dyDescent="0.3">
      <c r="A3719" t="s">
        <v>3735</v>
      </c>
      <c r="B3719" t="s">
        <v>21</v>
      </c>
      <c r="C3719">
        <v>3499</v>
      </c>
      <c r="D3719">
        <v>10.5</v>
      </c>
      <c r="E3719">
        <v>1.89</v>
      </c>
      <c r="F3719">
        <f>COUNTIFS(mdr_rate_cleaned!$A$2:$A$10,B3719,mdr_rate_cleaned!$B$2:$B$10,"&lt;"&amp;C3719,mdr_rate_cleaned!$F$2:$F$10,"&gt;="&amp;C3719)</f>
        <v>1</v>
      </c>
      <c r="G3719">
        <v>3.0000000000000001E-3</v>
      </c>
      <c r="H3719">
        <v>10.5</v>
      </c>
      <c r="I3719" t="s">
        <v>15</v>
      </c>
      <c r="J3719" t="s">
        <v>15</v>
      </c>
      <c r="K3719">
        <v>1.89</v>
      </c>
      <c r="L3719">
        <v>0</v>
      </c>
    </row>
    <row r="3720" spans="1:12" x14ac:dyDescent="0.3">
      <c r="A3720" t="s">
        <v>3736</v>
      </c>
      <c r="B3720" t="s">
        <v>21</v>
      </c>
      <c r="C3720">
        <v>4999</v>
      </c>
      <c r="D3720">
        <v>15</v>
      </c>
      <c r="E3720">
        <v>2.7</v>
      </c>
      <c r="F3720">
        <f>COUNTIFS(mdr_rate_cleaned!$A$2:$A$10,B3720,mdr_rate_cleaned!$B$2:$B$10,"&lt;"&amp;C3720,mdr_rate_cleaned!$F$2:$F$10,"&gt;="&amp;C3720)</f>
        <v>1</v>
      </c>
      <c r="G3720">
        <v>3.0000000000000001E-3</v>
      </c>
      <c r="H3720">
        <v>15</v>
      </c>
      <c r="I3720" t="s">
        <v>15</v>
      </c>
      <c r="J3720" t="s">
        <v>15</v>
      </c>
      <c r="K3720">
        <v>2.7</v>
      </c>
      <c r="L3720">
        <v>0</v>
      </c>
    </row>
    <row r="3721" spans="1:12" x14ac:dyDescent="0.3">
      <c r="A3721" t="s">
        <v>3737</v>
      </c>
      <c r="B3721" t="s">
        <v>17</v>
      </c>
      <c r="C3721">
        <v>7999</v>
      </c>
      <c r="D3721">
        <v>127.98</v>
      </c>
      <c r="E3721">
        <v>23.04</v>
      </c>
      <c r="F3721">
        <f>COUNTIFS(mdr_rate_cleaned!$A$2:$A$10,B3721,mdr_rate_cleaned!$B$2:$B$10,"&lt;"&amp;C3721,mdr_rate_cleaned!$F$2:$F$10,"&gt;="&amp;C3721)</f>
        <v>1</v>
      </c>
      <c r="G3721">
        <v>1.6E-2</v>
      </c>
      <c r="H3721">
        <v>127.98</v>
      </c>
      <c r="I3721" t="s">
        <v>15</v>
      </c>
      <c r="J3721" t="s">
        <v>15</v>
      </c>
      <c r="K3721">
        <v>23.04</v>
      </c>
      <c r="L3721">
        <v>0</v>
      </c>
    </row>
    <row r="3722" spans="1:12" x14ac:dyDescent="0.3">
      <c r="A3722" t="s">
        <v>3738</v>
      </c>
      <c r="B3722" t="s">
        <v>17</v>
      </c>
      <c r="C3722">
        <v>4498</v>
      </c>
      <c r="D3722">
        <v>71.97</v>
      </c>
      <c r="E3722">
        <v>12.95</v>
      </c>
      <c r="F3722">
        <f>COUNTIFS(mdr_rate_cleaned!$A$2:$A$10,B3722,mdr_rate_cleaned!$B$2:$B$10,"&lt;"&amp;C3722,mdr_rate_cleaned!$F$2:$F$10,"&gt;="&amp;C3722)</f>
        <v>1</v>
      </c>
      <c r="G3722">
        <v>1.6E-2</v>
      </c>
      <c r="H3722">
        <v>71.97</v>
      </c>
      <c r="I3722" t="s">
        <v>15</v>
      </c>
      <c r="J3722" t="s">
        <v>15</v>
      </c>
      <c r="K3722">
        <v>12.95</v>
      </c>
      <c r="L3722">
        <v>0</v>
      </c>
    </row>
    <row r="3723" spans="1:12" x14ac:dyDescent="0.3">
      <c r="A3723" t="s">
        <v>3739</v>
      </c>
      <c r="B3723" t="s">
        <v>21</v>
      </c>
      <c r="C3723">
        <v>999</v>
      </c>
      <c r="D3723">
        <v>0</v>
      </c>
      <c r="E3723">
        <v>0</v>
      </c>
      <c r="F3723">
        <f>COUNTIFS(mdr_rate_cleaned!$A$2:$A$10,B3723,mdr_rate_cleaned!$B$2:$B$10,"&lt;"&amp;C3723,mdr_rate_cleaned!$F$2:$F$10,"&gt;="&amp;C3723)</f>
        <v>1</v>
      </c>
      <c r="G3723">
        <v>0</v>
      </c>
      <c r="H3723">
        <v>0</v>
      </c>
      <c r="I3723" t="s">
        <v>15</v>
      </c>
      <c r="J3723" t="s">
        <v>15</v>
      </c>
      <c r="K3723">
        <v>0</v>
      </c>
      <c r="L3723">
        <v>0</v>
      </c>
    </row>
    <row r="3724" spans="1:12" x14ac:dyDescent="0.3">
      <c r="A3724" t="s">
        <v>3740</v>
      </c>
      <c r="B3724" t="s">
        <v>21</v>
      </c>
      <c r="C3724">
        <v>7999</v>
      </c>
      <c r="D3724">
        <v>24</v>
      </c>
      <c r="E3724">
        <v>4.32</v>
      </c>
      <c r="F3724">
        <f>COUNTIFS(mdr_rate_cleaned!$A$2:$A$10,B3724,mdr_rate_cleaned!$B$2:$B$10,"&lt;"&amp;C3724,mdr_rate_cleaned!$F$2:$F$10,"&gt;="&amp;C3724)</f>
        <v>1</v>
      </c>
      <c r="G3724">
        <v>3.0000000000000001E-3</v>
      </c>
      <c r="H3724">
        <v>24</v>
      </c>
      <c r="I3724" t="s">
        <v>15</v>
      </c>
      <c r="J3724" t="s">
        <v>15</v>
      </c>
      <c r="K3724">
        <v>4.32</v>
      </c>
      <c r="L3724">
        <v>0</v>
      </c>
    </row>
    <row r="3725" spans="1:12" x14ac:dyDescent="0.3">
      <c r="A3725" t="s">
        <v>3741</v>
      </c>
      <c r="B3725" t="s">
        <v>21</v>
      </c>
      <c r="C3725">
        <v>499</v>
      </c>
      <c r="D3725">
        <v>0</v>
      </c>
      <c r="E3725">
        <v>0</v>
      </c>
      <c r="F3725">
        <f>COUNTIFS(mdr_rate_cleaned!$A$2:$A$10,B3725,mdr_rate_cleaned!$B$2:$B$10,"&lt;"&amp;C3725,mdr_rate_cleaned!$F$2:$F$10,"&gt;="&amp;C3725)</f>
        <v>1</v>
      </c>
      <c r="G3725">
        <v>0</v>
      </c>
      <c r="H3725">
        <v>0</v>
      </c>
      <c r="I3725" t="s">
        <v>15</v>
      </c>
      <c r="J3725" t="s">
        <v>15</v>
      </c>
      <c r="K3725">
        <v>0</v>
      </c>
      <c r="L3725">
        <v>0</v>
      </c>
    </row>
    <row r="3726" spans="1:12" x14ac:dyDescent="0.3">
      <c r="A3726" t="s">
        <v>3742</v>
      </c>
      <c r="B3726" t="s">
        <v>21</v>
      </c>
      <c r="C3726">
        <v>4999</v>
      </c>
      <c r="D3726">
        <v>15</v>
      </c>
      <c r="E3726">
        <v>2.7</v>
      </c>
      <c r="F3726">
        <f>COUNTIFS(mdr_rate_cleaned!$A$2:$A$10,B3726,mdr_rate_cleaned!$B$2:$B$10,"&lt;"&amp;C3726,mdr_rate_cleaned!$F$2:$F$10,"&gt;="&amp;C3726)</f>
        <v>1</v>
      </c>
      <c r="G3726">
        <v>3.0000000000000001E-3</v>
      </c>
      <c r="H3726">
        <v>15</v>
      </c>
      <c r="I3726" t="s">
        <v>15</v>
      </c>
      <c r="J3726" t="s">
        <v>15</v>
      </c>
      <c r="K3726">
        <v>2.7</v>
      </c>
      <c r="L3726">
        <v>0</v>
      </c>
    </row>
    <row r="3727" spans="1:12" x14ac:dyDescent="0.3">
      <c r="A3727" t="s">
        <v>3743</v>
      </c>
      <c r="B3727" t="s">
        <v>17</v>
      </c>
      <c r="C3727">
        <v>7997</v>
      </c>
      <c r="D3727">
        <v>127.95</v>
      </c>
      <c r="E3727">
        <v>23.03</v>
      </c>
      <c r="F3727">
        <f>COUNTIFS(mdr_rate_cleaned!$A$2:$A$10,B3727,mdr_rate_cleaned!$B$2:$B$10,"&lt;"&amp;C3727,mdr_rate_cleaned!$F$2:$F$10,"&gt;="&amp;C3727)</f>
        <v>1</v>
      </c>
      <c r="G3727">
        <v>1.6E-2</v>
      </c>
      <c r="H3727">
        <v>127.95</v>
      </c>
      <c r="I3727" t="s">
        <v>15</v>
      </c>
      <c r="J3727" t="s">
        <v>15</v>
      </c>
      <c r="K3727">
        <v>23.03</v>
      </c>
      <c r="L3727">
        <v>0</v>
      </c>
    </row>
    <row r="3728" spans="1:12" x14ac:dyDescent="0.3">
      <c r="A3728" t="s">
        <v>3744</v>
      </c>
      <c r="B3728" t="s">
        <v>21</v>
      </c>
      <c r="C3728">
        <v>4897</v>
      </c>
      <c r="D3728">
        <v>14.69</v>
      </c>
      <c r="E3728">
        <v>2.64</v>
      </c>
      <c r="F3728">
        <f>COUNTIFS(mdr_rate_cleaned!$A$2:$A$10,B3728,mdr_rate_cleaned!$B$2:$B$10,"&lt;"&amp;C3728,mdr_rate_cleaned!$F$2:$F$10,"&gt;="&amp;C3728)</f>
        <v>1</v>
      </c>
      <c r="G3728">
        <v>3.0000000000000001E-3</v>
      </c>
      <c r="H3728">
        <v>14.69</v>
      </c>
      <c r="I3728" t="s">
        <v>15</v>
      </c>
      <c r="J3728" t="s">
        <v>15</v>
      </c>
      <c r="K3728">
        <v>2.64</v>
      </c>
      <c r="L3728">
        <v>0</v>
      </c>
    </row>
    <row r="3729" spans="1:12" x14ac:dyDescent="0.3">
      <c r="A3729" t="s">
        <v>3745</v>
      </c>
      <c r="B3729" t="s">
        <v>21</v>
      </c>
      <c r="C3729">
        <v>8348</v>
      </c>
      <c r="D3729">
        <v>25.04</v>
      </c>
      <c r="E3729">
        <v>4.51</v>
      </c>
      <c r="F3729">
        <f>COUNTIFS(mdr_rate_cleaned!$A$2:$A$10,B3729,mdr_rate_cleaned!$B$2:$B$10,"&lt;"&amp;C3729,mdr_rate_cleaned!$F$2:$F$10,"&gt;="&amp;C3729)</f>
        <v>1</v>
      </c>
      <c r="G3729">
        <v>3.0000000000000001E-3</v>
      </c>
      <c r="H3729">
        <v>25.04</v>
      </c>
      <c r="I3729" t="s">
        <v>15</v>
      </c>
      <c r="J3729" t="s">
        <v>15</v>
      </c>
      <c r="K3729">
        <v>4.51</v>
      </c>
      <c r="L3729">
        <v>0</v>
      </c>
    </row>
    <row r="3730" spans="1:12" x14ac:dyDescent="0.3">
      <c r="A3730" t="s">
        <v>3746</v>
      </c>
      <c r="B3730" t="s">
        <v>13</v>
      </c>
      <c r="C3730">
        <v>1499</v>
      </c>
      <c r="D3730">
        <v>28.48</v>
      </c>
      <c r="E3730">
        <v>5.13</v>
      </c>
      <c r="F3730">
        <f>COUNTIFS(mdr_rate_cleaned!$A$2:$A$10,B3730,mdr_rate_cleaned!$B$2:$B$10,"&lt;"&amp;C3730,mdr_rate_cleaned!$F$2:$F$10,"&gt;="&amp;C3730)</f>
        <v>1</v>
      </c>
      <c r="G3730">
        <v>1.9E-2</v>
      </c>
      <c r="H3730">
        <v>28.48</v>
      </c>
      <c r="I3730" t="s">
        <v>15</v>
      </c>
      <c r="J3730" t="s">
        <v>15</v>
      </c>
      <c r="K3730">
        <v>5.13</v>
      </c>
      <c r="L3730">
        <v>0</v>
      </c>
    </row>
    <row r="3731" spans="1:12" x14ac:dyDescent="0.3">
      <c r="A3731" t="s">
        <v>3747</v>
      </c>
      <c r="B3731" t="s">
        <v>39</v>
      </c>
      <c r="C3731">
        <v>349</v>
      </c>
      <c r="D3731">
        <v>5.24</v>
      </c>
      <c r="E3731">
        <v>0.94</v>
      </c>
      <c r="F3731">
        <f>COUNTIFS(mdr_rate_cleaned!$A$2:$A$10,B3731,mdr_rate_cleaned!$B$2:$B$10,"&lt;"&amp;C3731,mdr_rate_cleaned!$F$2:$F$10,"&gt;="&amp;C3731)</f>
        <v>1</v>
      </c>
      <c r="G3731">
        <v>1.4999999999999999E-2</v>
      </c>
      <c r="H3731">
        <v>5.24</v>
      </c>
      <c r="I3731" t="s">
        <v>15</v>
      </c>
      <c r="J3731" t="s">
        <v>15</v>
      </c>
      <c r="K3731">
        <v>0.94</v>
      </c>
      <c r="L3731">
        <v>0</v>
      </c>
    </row>
    <row r="3732" spans="1:12" x14ac:dyDescent="0.3">
      <c r="A3732" t="s">
        <v>3748</v>
      </c>
      <c r="B3732" t="s">
        <v>21</v>
      </c>
      <c r="C3732">
        <v>799</v>
      </c>
      <c r="D3732">
        <v>0</v>
      </c>
      <c r="E3732">
        <v>0</v>
      </c>
      <c r="F3732">
        <f>COUNTIFS(mdr_rate_cleaned!$A$2:$A$10,B3732,mdr_rate_cleaned!$B$2:$B$10,"&lt;"&amp;C3732,mdr_rate_cleaned!$F$2:$F$10,"&gt;="&amp;C3732)</f>
        <v>1</v>
      </c>
      <c r="G3732">
        <v>0</v>
      </c>
      <c r="H3732">
        <v>0</v>
      </c>
      <c r="I3732" t="s">
        <v>15</v>
      </c>
      <c r="J3732" t="s">
        <v>15</v>
      </c>
      <c r="K3732">
        <v>0</v>
      </c>
      <c r="L3732">
        <v>0</v>
      </c>
    </row>
    <row r="3733" spans="1:12" x14ac:dyDescent="0.3">
      <c r="A3733" t="s">
        <v>3749</v>
      </c>
      <c r="B3733" t="s">
        <v>21</v>
      </c>
      <c r="C3733">
        <v>599</v>
      </c>
      <c r="D3733">
        <v>0</v>
      </c>
      <c r="E3733">
        <v>0</v>
      </c>
      <c r="F3733">
        <f>COUNTIFS(mdr_rate_cleaned!$A$2:$A$10,B3733,mdr_rate_cleaned!$B$2:$B$10,"&lt;"&amp;C3733,mdr_rate_cleaned!$F$2:$F$10,"&gt;="&amp;C3733)</f>
        <v>1</v>
      </c>
      <c r="G3733">
        <v>0</v>
      </c>
      <c r="H3733">
        <v>0</v>
      </c>
      <c r="I3733" t="s">
        <v>15</v>
      </c>
      <c r="J3733" t="s">
        <v>15</v>
      </c>
      <c r="K3733">
        <v>0</v>
      </c>
      <c r="L3733">
        <v>0</v>
      </c>
    </row>
    <row r="3734" spans="1:12" x14ac:dyDescent="0.3">
      <c r="A3734" t="s">
        <v>3750</v>
      </c>
      <c r="B3734" t="s">
        <v>13</v>
      </c>
      <c r="C3734">
        <v>799</v>
      </c>
      <c r="D3734">
        <v>15.18</v>
      </c>
      <c r="E3734">
        <v>2.73</v>
      </c>
      <c r="F3734">
        <f>COUNTIFS(mdr_rate_cleaned!$A$2:$A$10,B3734,mdr_rate_cleaned!$B$2:$B$10,"&lt;"&amp;C3734,mdr_rate_cleaned!$F$2:$F$10,"&gt;="&amp;C3734)</f>
        <v>1</v>
      </c>
      <c r="G3734">
        <v>1.9E-2</v>
      </c>
      <c r="H3734">
        <v>15.18</v>
      </c>
      <c r="I3734" t="s">
        <v>15</v>
      </c>
      <c r="J3734" t="s">
        <v>15</v>
      </c>
      <c r="K3734">
        <v>2.73</v>
      </c>
      <c r="L3734">
        <v>0</v>
      </c>
    </row>
    <row r="3735" spans="1:12" x14ac:dyDescent="0.3">
      <c r="A3735" t="s">
        <v>3751</v>
      </c>
      <c r="B3735" t="s">
        <v>39</v>
      </c>
      <c r="C3735">
        <v>10597</v>
      </c>
      <c r="D3735">
        <v>95.37</v>
      </c>
      <c r="E3735">
        <v>17.170000000000002</v>
      </c>
      <c r="F3735">
        <f>COUNTIFS(mdr_rate_cleaned!$A$2:$A$10,B3735,mdr_rate_cleaned!$B$2:$B$10,"&lt;"&amp;C3735,mdr_rate_cleaned!$F$2:$F$10,"&gt;="&amp;C3735)</f>
        <v>1</v>
      </c>
      <c r="G3735">
        <v>8.9999999999999993E-3</v>
      </c>
      <c r="H3735">
        <v>95.37</v>
      </c>
      <c r="I3735" t="s">
        <v>15</v>
      </c>
      <c r="J3735" t="s">
        <v>15</v>
      </c>
      <c r="K3735">
        <v>17.170000000000002</v>
      </c>
      <c r="L3735">
        <v>0</v>
      </c>
    </row>
    <row r="3736" spans="1:12" x14ac:dyDescent="0.3">
      <c r="A3736" t="s">
        <v>3752</v>
      </c>
      <c r="B3736" t="s">
        <v>13</v>
      </c>
      <c r="C3736">
        <v>999</v>
      </c>
      <c r="D3736">
        <v>18.98</v>
      </c>
      <c r="E3736">
        <v>3.42</v>
      </c>
      <c r="F3736">
        <f>COUNTIFS(mdr_rate_cleaned!$A$2:$A$10,B3736,mdr_rate_cleaned!$B$2:$B$10,"&lt;"&amp;C3736,mdr_rate_cleaned!$F$2:$F$10,"&gt;="&amp;C3736)</f>
        <v>1</v>
      </c>
      <c r="G3736">
        <v>1.9E-2</v>
      </c>
      <c r="H3736">
        <v>18.98</v>
      </c>
      <c r="I3736" t="s">
        <v>15</v>
      </c>
      <c r="J3736" t="s">
        <v>15</v>
      </c>
      <c r="K3736">
        <v>3.42</v>
      </c>
      <c r="L3736">
        <v>0</v>
      </c>
    </row>
    <row r="3737" spans="1:12" x14ac:dyDescent="0.3">
      <c r="A3737" t="s">
        <v>3753</v>
      </c>
      <c r="B3737" t="s">
        <v>17</v>
      </c>
      <c r="C3737">
        <v>9597</v>
      </c>
      <c r="D3737">
        <v>153.55000000000001</v>
      </c>
      <c r="E3737">
        <v>27.64</v>
      </c>
      <c r="F3737">
        <f>COUNTIFS(mdr_rate_cleaned!$A$2:$A$10,B3737,mdr_rate_cleaned!$B$2:$B$10,"&lt;"&amp;C3737,mdr_rate_cleaned!$F$2:$F$10,"&gt;="&amp;C3737)</f>
        <v>1</v>
      </c>
      <c r="G3737">
        <v>1.6E-2</v>
      </c>
      <c r="H3737">
        <v>153.55000000000001</v>
      </c>
      <c r="I3737" t="s">
        <v>15</v>
      </c>
      <c r="J3737" t="s">
        <v>15</v>
      </c>
      <c r="K3737">
        <v>27.64</v>
      </c>
      <c r="L3737">
        <v>0</v>
      </c>
    </row>
    <row r="3738" spans="1:12" x14ac:dyDescent="0.3">
      <c r="A3738" t="s">
        <v>3754</v>
      </c>
      <c r="B3738" t="s">
        <v>21</v>
      </c>
      <c r="C3738">
        <v>798</v>
      </c>
      <c r="D3738">
        <v>0</v>
      </c>
      <c r="E3738">
        <v>0</v>
      </c>
      <c r="F3738">
        <f>COUNTIFS(mdr_rate_cleaned!$A$2:$A$10,B3738,mdr_rate_cleaned!$B$2:$B$10,"&lt;"&amp;C3738,mdr_rate_cleaned!$F$2:$F$10,"&gt;="&amp;C3738)</f>
        <v>1</v>
      </c>
      <c r="G3738">
        <v>0</v>
      </c>
      <c r="H3738">
        <v>0</v>
      </c>
      <c r="I3738" t="s">
        <v>15</v>
      </c>
      <c r="J3738" t="s">
        <v>15</v>
      </c>
      <c r="K3738">
        <v>0</v>
      </c>
      <c r="L3738">
        <v>0</v>
      </c>
    </row>
    <row r="3739" spans="1:12" x14ac:dyDescent="0.3">
      <c r="A3739" t="s">
        <v>3755</v>
      </c>
      <c r="B3739" t="s">
        <v>13</v>
      </c>
      <c r="C3739">
        <v>8348</v>
      </c>
      <c r="D3739">
        <v>141.91999999999999</v>
      </c>
      <c r="E3739">
        <v>25.55</v>
      </c>
      <c r="F3739">
        <f>COUNTIFS(mdr_rate_cleaned!$A$2:$A$10,B3739,mdr_rate_cleaned!$B$2:$B$10,"&lt;"&amp;C3739,mdr_rate_cleaned!$F$2:$F$10,"&gt;="&amp;C3739)</f>
        <v>1</v>
      </c>
      <c r="G3739">
        <v>1.7000000000000001E-2</v>
      </c>
      <c r="H3739">
        <v>141.91999999999999</v>
      </c>
      <c r="I3739" t="s">
        <v>15</v>
      </c>
      <c r="J3739" t="s">
        <v>15</v>
      </c>
      <c r="K3739">
        <v>25.55</v>
      </c>
      <c r="L3739">
        <v>0</v>
      </c>
    </row>
    <row r="3740" spans="1:12" x14ac:dyDescent="0.3">
      <c r="A3740" t="s">
        <v>3756</v>
      </c>
      <c r="B3740" t="s">
        <v>21</v>
      </c>
      <c r="C3740">
        <v>4097</v>
      </c>
      <c r="D3740">
        <v>12.29</v>
      </c>
      <c r="E3740">
        <v>2.21</v>
      </c>
      <c r="F3740">
        <f>COUNTIFS(mdr_rate_cleaned!$A$2:$A$10,B3740,mdr_rate_cleaned!$B$2:$B$10,"&lt;"&amp;C3740,mdr_rate_cleaned!$F$2:$F$10,"&gt;="&amp;C3740)</f>
        <v>1</v>
      </c>
      <c r="G3740">
        <v>3.0000000000000001E-3</v>
      </c>
      <c r="H3740">
        <v>12.29</v>
      </c>
      <c r="I3740" t="s">
        <v>15</v>
      </c>
      <c r="J3740" t="s">
        <v>15</v>
      </c>
      <c r="K3740">
        <v>2.21</v>
      </c>
      <c r="L3740">
        <v>0</v>
      </c>
    </row>
    <row r="3741" spans="1:12" x14ac:dyDescent="0.3">
      <c r="A3741" t="s">
        <v>3757</v>
      </c>
      <c r="B3741" t="s">
        <v>39</v>
      </c>
      <c r="C3741">
        <v>1798</v>
      </c>
      <c r="D3741">
        <v>26.97</v>
      </c>
      <c r="E3741">
        <v>4.8499999999999996</v>
      </c>
      <c r="F3741">
        <f>COUNTIFS(mdr_rate_cleaned!$A$2:$A$10,B3741,mdr_rate_cleaned!$B$2:$B$10,"&lt;"&amp;C3741,mdr_rate_cleaned!$F$2:$F$10,"&gt;="&amp;C3741)</f>
        <v>1</v>
      </c>
      <c r="G3741">
        <v>1.4999999999999999E-2</v>
      </c>
      <c r="H3741">
        <v>26.97</v>
      </c>
      <c r="I3741" t="s">
        <v>15</v>
      </c>
      <c r="J3741" t="s">
        <v>15</v>
      </c>
      <c r="K3741">
        <v>4.8499999999999996</v>
      </c>
      <c r="L3741">
        <v>0</v>
      </c>
    </row>
    <row r="3742" spans="1:12" x14ac:dyDescent="0.3">
      <c r="A3742" t="s">
        <v>3758</v>
      </c>
      <c r="B3742" t="s">
        <v>17</v>
      </c>
      <c r="C3742">
        <v>3499</v>
      </c>
      <c r="D3742">
        <v>55.98</v>
      </c>
      <c r="E3742">
        <v>10.08</v>
      </c>
      <c r="F3742">
        <f>COUNTIFS(mdr_rate_cleaned!$A$2:$A$10,B3742,mdr_rate_cleaned!$B$2:$B$10,"&lt;"&amp;C3742,mdr_rate_cleaned!$F$2:$F$10,"&gt;="&amp;C3742)</f>
        <v>1</v>
      </c>
      <c r="G3742">
        <v>1.6E-2</v>
      </c>
      <c r="H3742">
        <v>55.98</v>
      </c>
      <c r="I3742" t="s">
        <v>15</v>
      </c>
      <c r="J3742" t="s">
        <v>15</v>
      </c>
      <c r="K3742">
        <v>10.08</v>
      </c>
      <c r="L3742">
        <v>0</v>
      </c>
    </row>
    <row r="3743" spans="1:12" x14ac:dyDescent="0.3">
      <c r="A3743" t="s">
        <v>3759</v>
      </c>
      <c r="B3743" t="s">
        <v>17</v>
      </c>
      <c r="C3743">
        <v>499</v>
      </c>
      <c r="D3743">
        <v>8.98</v>
      </c>
      <c r="E3743">
        <v>1.62</v>
      </c>
      <c r="F3743">
        <f>COUNTIFS(mdr_rate_cleaned!$A$2:$A$10,B3743,mdr_rate_cleaned!$B$2:$B$10,"&lt;"&amp;C3743,mdr_rate_cleaned!$F$2:$F$10,"&gt;="&amp;C3743)</f>
        <v>1</v>
      </c>
      <c r="G3743">
        <v>1.7999999999999999E-2</v>
      </c>
      <c r="H3743">
        <v>8.98</v>
      </c>
      <c r="I3743" t="s">
        <v>15</v>
      </c>
      <c r="J3743" t="s">
        <v>15</v>
      </c>
      <c r="K3743">
        <v>1.62</v>
      </c>
      <c r="L3743">
        <v>0</v>
      </c>
    </row>
    <row r="3744" spans="1:12" x14ac:dyDescent="0.3">
      <c r="A3744" t="s">
        <v>3760</v>
      </c>
      <c r="B3744" t="s">
        <v>21</v>
      </c>
      <c r="C3744">
        <v>2398</v>
      </c>
      <c r="D3744">
        <v>7.19</v>
      </c>
      <c r="E3744">
        <v>1.29</v>
      </c>
      <c r="F3744">
        <f>COUNTIFS(mdr_rate_cleaned!$A$2:$A$10,B3744,mdr_rate_cleaned!$B$2:$B$10,"&lt;"&amp;C3744,mdr_rate_cleaned!$F$2:$F$10,"&gt;="&amp;C3744)</f>
        <v>1</v>
      </c>
      <c r="G3744">
        <v>3.0000000000000001E-3</v>
      </c>
      <c r="H3744">
        <v>7.19</v>
      </c>
      <c r="I3744" t="s">
        <v>15</v>
      </c>
      <c r="J3744" t="s">
        <v>15</v>
      </c>
      <c r="K3744">
        <v>1.29</v>
      </c>
      <c r="L3744">
        <v>0</v>
      </c>
    </row>
    <row r="3745" spans="1:12" x14ac:dyDescent="0.3">
      <c r="A3745" t="s">
        <v>3761</v>
      </c>
      <c r="B3745" t="s">
        <v>21</v>
      </c>
      <c r="C3745">
        <v>299</v>
      </c>
      <c r="D3745">
        <v>0</v>
      </c>
      <c r="E3745">
        <v>0</v>
      </c>
      <c r="F3745">
        <f>COUNTIFS(mdr_rate_cleaned!$A$2:$A$10,B3745,mdr_rate_cleaned!$B$2:$B$10,"&lt;"&amp;C3745,mdr_rate_cleaned!$F$2:$F$10,"&gt;="&amp;C3745)</f>
        <v>1</v>
      </c>
      <c r="G3745">
        <v>0</v>
      </c>
      <c r="H3745">
        <v>0</v>
      </c>
      <c r="I3745" t="s">
        <v>15</v>
      </c>
      <c r="J3745" t="s">
        <v>15</v>
      </c>
      <c r="K3745">
        <v>0</v>
      </c>
      <c r="L3745">
        <v>0</v>
      </c>
    </row>
    <row r="3746" spans="1:12" x14ac:dyDescent="0.3">
      <c r="A3746" t="s">
        <v>3762</v>
      </c>
      <c r="B3746" t="s">
        <v>21</v>
      </c>
      <c r="C3746">
        <v>1897</v>
      </c>
      <c r="D3746">
        <v>0</v>
      </c>
      <c r="E3746">
        <v>0</v>
      </c>
      <c r="F3746">
        <f>COUNTIFS(mdr_rate_cleaned!$A$2:$A$10,B3746,mdr_rate_cleaned!$B$2:$B$10,"&lt;"&amp;C3746,mdr_rate_cleaned!$F$2:$F$10,"&gt;="&amp;C3746)</f>
        <v>1</v>
      </c>
      <c r="G3746">
        <v>0</v>
      </c>
      <c r="H3746">
        <v>0</v>
      </c>
      <c r="I3746" t="s">
        <v>15</v>
      </c>
      <c r="J3746" t="s">
        <v>15</v>
      </c>
      <c r="K3746">
        <v>0</v>
      </c>
      <c r="L3746">
        <v>0</v>
      </c>
    </row>
    <row r="3747" spans="1:12" x14ac:dyDescent="0.3">
      <c r="A3747" t="s">
        <v>3763</v>
      </c>
      <c r="B3747" t="s">
        <v>21</v>
      </c>
      <c r="C3747">
        <v>3598</v>
      </c>
      <c r="D3747">
        <v>10.79</v>
      </c>
      <c r="E3747">
        <v>1.94</v>
      </c>
      <c r="F3747">
        <f>COUNTIFS(mdr_rate_cleaned!$A$2:$A$10,B3747,mdr_rate_cleaned!$B$2:$B$10,"&lt;"&amp;C3747,mdr_rate_cleaned!$F$2:$F$10,"&gt;="&amp;C3747)</f>
        <v>1</v>
      </c>
      <c r="G3747">
        <v>3.0000000000000001E-3</v>
      </c>
      <c r="H3747">
        <v>10.79</v>
      </c>
      <c r="I3747" t="s">
        <v>15</v>
      </c>
      <c r="J3747" t="s">
        <v>15</v>
      </c>
      <c r="K3747">
        <v>1.94</v>
      </c>
      <c r="L3747">
        <v>0</v>
      </c>
    </row>
    <row r="3748" spans="1:12" x14ac:dyDescent="0.3">
      <c r="A3748" t="s">
        <v>3764</v>
      </c>
      <c r="B3748" t="s">
        <v>39</v>
      </c>
      <c r="C3748">
        <v>1697</v>
      </c>
      <c r="D3748">
        <v>25.46</v>
      </c>
      <c r="E3748">
        <v>4.58</v>
      </c>
      <c r="F3748">
        <f>COUNTIFS(mdr_rate_cleaned!$A$2:$A$10,B3748,mdr_rate_cleaned!$B$2:$B$10,"&lt;"&amp;C3748,mdr_rate_cleaned!$F$2:$F$10,"&gt;="&amp;C3748)</f>
        <v>1</v>
      </c>
      <c r="G3748">
        <v>1.4999999999999999E-2</v>
      </c>
      <c r="H3748">
        <v>25.46</v>
      </c>
      <c r="I3748" t="s">
        <v>15</v>
      </c>
      <c r="J3748" t="s">
        <v>15</v>
      </c>
      <c r="K3748">
        <v>4.58</v>
      </c>
      <c r="L3748">
        <v>0</v>
      </c>
    </row>
    <row r="3749" spans="1:12" x14ac:dyDescent="0.3">
      <c r="A3749" t="s">
        <v>3765</v>
      </c>
      <c r="B3749" t="s">
        <v>13</v>
      </c>
      <c r="C3749">
        <v>1598</v>
      </c>
      <c r="D3749">
        <v>30.36</v>
      </c>
      <c r="E3749">
        <v>5.46</v>
      </c>
      <c r="F3749">
        <f>COUNTIFS(mdr_rate_cleaned!$A$2:$A$10,B3749,mdr_rate_cleaned!$B$2:$B$10,"&lt;"&amp;C3749,mdr_rate_cleaned!$F$2:$F$10,"&gt;="&amp;C3749)</f>
        <v>1</v>
      </c>
      <c r="G3749">
        <v>1.9E-2</v>
      </c>
      <c r="H3749">
        <v>30.36</v>
      </c>
      <c r="I3749" t="s">
        <v>15</v>
      </c>
      <c r="J3749" t="s">
        <v>15</v>
      </c>
      <c r="K3749">
        <v>5.46</v>
      </c>
      <c r="L3749">
        <v>0</v>
      </c>
    </row>
    <row r="3750" spans="1:12" x14ac:dyDescent="0.3">
      <c r="A3750" t="s">
        <v>3766</v>
      </c>
      <c r="B3750" t="s">
        <v>17</v>
      </c>
      <c r="C3750">
        <v>3498</v>
      </c>
      <c r="D3750">
        <v>55.97</v>
      </c>
      <c r="E3750">
        <v>10.07</v>
      </c>
      <c r="F3750">
        <f>COUNTIFS(mdr_rate_cleaned!$A$2:$A$10,B3750,mdr_rate_cleaned!$B$2:$B$10,"&lt;"&amp;C3750,mdr_rate_cleaned!$F$2:$F$10,"&gt;="&amp;C3750)</f>
        <v>1</v>
      </c>
      <c r="G3750">
        <v>1.6E-2</v>
      </c>
      <c r="H3750">
        <v>55.97</v>
      </c>
      <c r="I3750" t="s">
        <v>15</v>
      </c>
      <c r="J3750" t="s">
        <v>15</v>
      </c>
      <c r="K3750">
        <v>10.07</v>
      </c>
      <c r="L3750">
        <v>0</v>
      </c>
    </row>
    <row r="3751" spans="1:12" x14ac:dyDescent="0.3">
      <c r="A3751" t="s">
        <v>3767</v>
      </c>
      <c r="B3751" t="s">
        <v>13</v>
      </c>
      <c r="C3751">
        <v>6397</v>
      </c>
      <c r="D3751">
        <v>108.75</v>
      </c>
      <c r="E3751">
        <v>19.579999999999998</v>
      </c>
      <c r="F3751">
        <f>COUNTIFS(mdr_rate_cleaned!$A$2:$A$10,B3751,mdr_rate_cleaned!$B$2:$B$10,"&lt;"&amp;C3751,mdr_rate_cleaned!$F$2:$F$10,"&gt;="&amp;C3751)</f>
        <v>1</v>
      </c>
      <c r="G3751">
        <v>1.7000000000000001E-2</v>
      </c>
      <c r="H3751">
        <v>108.75</v>
      </c>
      <c r="I3751" t="s">
        <v>15</v>
      </c>
      <c r="J3751" t="s">
        <v>15</v>
      </c>
      <c r="K3751">
        <v>19.579999999999998</v>
      </c>
      <c r="L3751">
        <v>0</v>
      </c>
    </row>
    <row r="3752" spans="1:12" x14ac:dyDescent="0.3">
      <c r="A3752" t="s">
        <v>3768</v>
      </c>
      <c r="B3752" t="s">
        <v>21</v>
      </c>
      <c r="C3752">
        <v>999</v>
      </c>
      <c r="D3752">
        <v>0</v>
      </c>
      <c r="E3752">
        <v>0</v>
      </c>
      <c r="F3752">
        <f>COUNTIFS(mdr_rate_cleaned!$A$2:$A$10,B3752,mdr_rate_cleaned!$B$2:$B$10,"&lt;"&amp;C3752,mdr_rate_cleaned!$F$2:$F$10,"&gt;="&amp;C3752)</f>
        <v>1</v>
      </c>
      <c r="G3752">
        <v>0</v>
      </c>
      <c r="H3752">
        <v>0</v>
      </c>
      <c r="I3752" t="s">
        <v>15</v>
      </c>
      <c r="J3752" t="s">
        <v>15</v>
      </c>
      <c r="K3752">
        <v>0</v>
      </c>
      <c r="L3752">
        <v>0</v>
      </c>
    </row>
    <row r="3753" spans="1:12" x14ac:dyDescent="0.3">
      <c r="A3753" t="s">
        <v>3769</v>
      </c>
      <c r="B3753" t="s">
        <v>17</v>
      </c>
      <c r="C3753">
        <v>299</v>
      </c>
      <c r="D3753">
        <v>5.38</v>
      </c>
      <c r="E3753">
        <v>0.97</v>
      </c>
      <c r="F3753">
        <f>COUNTIFS(mdr_rate_cleaned!$A$2:$A$10,B3753,mdr_rate_cleaned!$B$2:$B$10,"&lt;"&amp;C3753,mdr_rate_cleaned!$F$2:$F$10,"&gt;="&amp;C3753)</f>
        <v>1</v>
      </c>
      <c r="G3753">
        <v>1.7999999999999999E-2</v>
      </c>
      <c r="H3753">
        <v>5.38</v>
      </c>
      <c r="I3753" t="s">
        <v>15</v>
      </c>
      <c r="J3753" t="s">
        <v>15</v>
      </c>
      <c r="K3753">
        <v>0.97</v>
      </c>
      <c r="L3753">
        <v>0</v>
      </c>
    </row>
    <row r="3754" spans="1:12" x14ac:dyDescent="0.3">
      <c r="A3754" t="s">
        <v>3770</v>
      </c>
      <c r="B3754" t="s">
        <v>21</v>
      </c>
      <c r="C3754">
        <v>7999</v>
      </c>
      <c r="D3754">
        <v>24</v>
      </c>
      <c r="E3754">
        <v>4.32</v>
      </c>
      <c r="F3754">
        <f>COUNTIFS(mdr_rate_cleaned!$A$2:$A$10,B3754,mdr_rate_cleaned!$B$2:$B$10,"&lt;"&amp;C3754,mdr_rate_cleaned!$F$2:$F$10,"&gt;="&amp;C3754)</f>
        <v>1</v>
      </c>
      <c r="G3754">
        <v>3.0000000000000001E-3</v>
      </c>
      <c r="H3754">
        <v>24</v>
      </c>
      <c r="I3754" t="s">
        <v>15</v>
      </c>
      <c r="J3754" t="s">
        <v>15</v>
      </c>
      <c r="K3754">
        <v>4.32</v>
      </c>
      <c r="L3754">
        <v>0</v>
      </c>
    </row>
    <row r="3755" spans="1:12" x14ac:dyDescent="0.3">
      <c r="A3755" t="s">
        <v>3771</v>
      </c>
      <c r="B3755" t="s">
        <v>21</v>
      </c>
      <c r="C3755">
        <v>4999</v>
      </c>
      <c r="D3755">
        <v>15</v>
      </c>
      <c r="E3755">
        <v>2.7</v>
      </c>
      <c r="F3755">
        <f>COUNTIFS(mdr_rate_cleaned!$A$2:$A$10,B3755,mdr_rate_cleaned!$B$2:$B$10,"&lt;"&amp;C3755,mdr_rate_cleaned!$F$2:$F$10,"&gt;="&amp;C3755)</f>
        <v>1</v>
      </c>
      <c r="G3755">
        <v>3.0000000000000001E-3</v>
      </c>
      <c r="H3755">
        <v>15</v>
      </c>
      <c r="I3755" t="s">
        <v>15</v>
      </c>
      <c r="J3755" t="s">
        <v>15</v>
      </c>
      <c r="K3755">
        <v>2.7</v>
      </c>
      <c r="L3755">
        <v>0</v>
      </c>
    </row>
    <row r="3756" spans="1:12" x14ac:dyDescent="0.3">
      <c r="A3756" t="s">
        <v>3772</v>
      </c>
      <c r="B3756" t="s">
        <v>21</v>
      </c>
      <c r="C3756">
        <v>299</v>
      </c>
      <c r="D3756">
        <v>0</v>
      </c>
      <c r="E3756">
        <v>0</v>
      </c>
      <c r="F3756">
        <f>COUNTIFS(mdr_rate_cleaned!$A$2:$A$10,B3756,mdr_rate_cleaned!$B$2:$B$10,"&lt;"&amp;C3756,mdr_rate_cleaned!$F$2:$F$10,"&gt;="&amp;C3756)</f>
        <v>1</v>
      </c>
      <c r="G3756">
        <v>0</v>
      </c>
      <c r="H3756">
        <v>0</v>
      </c>
      <c r="I3756" t="s">
        <v>15</v>
      </c>
      <c r="J3756" t="s">
        <v>15</v>
      </c>
      <c r="K3756">
        <v>0</v>
      </c>
      <c r="L3756">
        <v>0</v>
      </c>
    </row>
    <row r="3757" spans="1:12" x14ac:dyDescent="0.3">
      <c r="A3757" t="s">
        <v>3773</v>
      </c>
      <c r="B3757" t="s">
        <v>21</v>
      </c>
      <c r="C3757">
        <v>3498</v>
      </c>
      <c r="D3757">
        <v>10.49</v>
      </c>
      <c r="E3757">
        <v>1.89</v>
      </c>
      <c r="F3757">
        <f>COUNTIFS(mdr_rate_cleaned!$A$2:$A$10,B3757,mdr_rate_cleaned!$B$2:$B$10,"&lt;"&amp;C3757,mdr_rate_cleaned!$F$2:$F$10,"&gt;="&amp;C3757)</f>
        <v>1</v>
      </c>
      <c r="G3757">
        <v>3.0000000000000001E-3</v>
      </c>
      <c r="H3757">
        <v>10.49</v>
      </c>
      <c r="I3757" t="s">
        <v>15</v>
      </c>
      <c r="J3757" t="s">
        <v>15</v>
      </c>
      <c r="K3757">
        <v>1.89</v>
      </c>
      <c r="L3757">
        <v>0</v>
      </c>
    </row>
    <row r="3758" spans="1:12" x14ac:dyDescent="0.3">
      <c r="A3758" t="s">
        <v>3774</v>
      </c>
      <c r="B3758" t="s">
        <v>17</v>
      </c>
      <c r="C3758">
        <v>2298</v>
      </c>
      <c r="D3758">
        <v>36.770000000000003</v>
      </c>
      <c r="E3758">
        <v>6.62</v>
      </c>
      <c r="F3758">
        <f>COUNTIFS(mdr_rate_cleaned!$A$2:$A$10,B3758,mdr_rate_cleaned!$B$2:$B$10,"&lt;"&amp;C3758,mdr_rate_cleaned!$F$2:$F$10,"&gt;="&amp;C3758)</f>
        <v>1</v>
      </c>
      <c r="G3758">
        <v>1.6E-2</v>
      </c>
      <c r="H3758">
        <v>36.770000000000003</v>
      </c>
      <c r="I3758" t="s">
        <v>15</v>
      </c>
      <c r="J3758" t="s">
        <v>15</v>
      </c>
      <c r="K3758">
        <v>6.62</v>
      </c>
      <c r="L3758">
        <v>0</v>
      </c>
    </row>
    <row r="3759" spans="1:12" x14ac:dyDescent="0.3">
      <c r="A3759" t="s">
        <v>3775</v>
      </c>
      <c r="B3759" t="s">
        <v>21</v>
      </c>
      <c r="C3759">
        <v>2999</v>
      </c>
      <c r="D3759">
        <v>9</v>
      </c>
      <c r="E3759">
        <v>1.62</v>
      </c>
      <c r="F3759">
        <f>COUNTIFS(mdr_rate_cleaned!$A$2:$A$10,B3759,mdr_rate_cleaned!$B$2:$B$10,"&lt;"&amp;C3759,mdr_rate_cleaned!$F$2:$F$10,"&gt;="&amp;C3759)</f>
        <v>1</v>
      </c>
      <c r="G3759">
        <v>3.0000000000000001E-3</v>
      </c>
      <c r="H3759">
        <v>9</v>
      </c>
      <c r="I3759" t="s">
        <v>15</v>
      </c>
      <c r="J3759" t="s">
        <v>15</v>
      </c>
      <c r="K3759">
        <v>1.62</v>
      </c>
      <c r="L3759">
        <v>0</v>
      </c>
    </row>
    <row r="3760" spans="1:12" x14ac:dyDescent="0.3">
      <c r="A3760" t="s">
        <v>3776</v>
      </c>
      <c r="B3760" t="s">
        <v>13</v>
      </c>
      <c r="C3760">
        <v>799</v>
      </c>
      <c r="D3760">
        <v>15.18</v>
      </c>
      <c r="E3760">
        <v>2.73</v>
      </c>
      <c r="F3760">
        <f>COUNTIFS(mdr_rate_cleaned!$A$2:$A$10,B3760,mdr_rate_cleaned!$B$2:$B$10,"&lt;"&amp;C3760,mdr_rate_cleaned!$F$2:$F$10,"&gt;="&amp;C3760)</f>
        <v>1</v>
      </c>
      <c r="G3760">
        <v>1.9E-2</v>
      </c>
      <c r="H3760">
        <v>15.18</v>
      </c>
      <c r="I3760" t="s">
        <v>15</v>
      </c>
      <c r="J3760" t="s">
        <v>15</v>
      </c>
      <c r="K3760">
        <v>2.73</v>
      </c>
      <c r="L3760">
        <v>0</v>
      </c>
    </row>
    <row r="3761" spans="1:12" x14ac:dyDescent="0.3">
      <c r="A3761" t="s">
        <v>3777</v>
      </c>
      <c r="B3761" t="s">
        <v>21</v>
      </c>
      <c r="C3761">
        <v>1648</v>
      </c>
      <c r="D3761">
        <v>0</v>
      </c>
      <c r="E3761">
        <v>0</v>
      </c>
      <c r="F3761">
        <f>COUNTIFS(mdr_rate_cleaned!$A$2:$A$10,B3761,mdr_rate_cleaned!$B$2:$B$10,"&lt;"&amp;C3761,mdr_rate_cleaned!$F$2:$F$10,"&gt;="&amp;C3761)</f>
        <v>1</v>
      </c>
      <c r="G3761">
        <v>0</v>
      </c>
      <c r="H3761">
        <v>0</v>
      </c>
      <c r="I3761" t="s">
        <v>15</v>
      </c>
      <c r="J3761" t="s">
        <v>15</v>
      </c>
      <c r="K3761">
        <v>0</v>
      </c>
      <c r="L3761">
        <v>0</v>
      </c>
    </row>
    <row r="3762" spans="1:12" x14ac:dyDescent="0.3">
      <c r="A3762" t="s">
        <v>3778</v>
      </c>
      <c r="B3762" t="s">
        <v>21</v>
      </c>
      <c r="C3762">
        <v>3597</v>
      </c>
      <c r="D3762">
        <v>10.79</v>
      </c>
      <c r="E3762">
        <v>1.94</v>
      </c>
      <c r="F3762">
        <f>COUNTIFS(mdr_rate_cleaned!$A$2:$A$10,B3762,mdr_rate_cleaned!$B$2:$B$10,"&lt;"&amp;C3762,mdr_rate_cleaned!$F$2:$F$10,"&gt;="&amp;C3762)</f>
        <v>1</v>
      </c>
      <c r="G3762">
        <v>3.0000000000000001E-3</v>
      </c>
      <c r="H3762">
        <v>10.79</v>
      </c>
      <c r="I3762" t="s">
        <v>15</v>
      </c>
      <c r="J3762" t="s">
        <v>15</v>
      </c>
      <c r="K3762">
        <v>1.94</v>
      </c>
      <c r="L3762">
        <v>0</v>
      </c>
    </row>
    <row r="3763" spans="1:12" x14ac:dyDescent="0.3">
      <c r="A3763" t="s">
        <v>3779</v>
      </c>
      <c r="B3763" t="s">
        <v>13</v>
      </c>
      <c r="C3763">
        <v>5598</v>
      </c>
      <c r="D3763">
        <v>95.17</v>
      </c>
      <c r="E3763">
        <v>17.13</v>
      </c>
      <c r="F3763">
        <f>COUNTIFS(mdr_rate_cleaned!$A$2:$A$10,B3763,mdr_rate_cleaned!$B$2:$B$10,"&lt;"&amp;C3763,mdr_rate_cleaned!$F$2:$F$10,"&gt;="&amp;C3763)</f>
        <v>1</v>
      </c>
      <c r="G3763">
        <v>1.7000000000000001E-2</v>
      </c>
      <c r="H3763">
        <v>95.17</v>
      </c>
      <c r="I3763" t="s">
        <v>15</v>
      </c>
      <c r="J3763" t="s">
        <v>15</v>
      </c>
      <c r="K3763">
        <v>17.13</v>
      </c>
      <c r="L3763">
        <v>0</v>
      </c>
    </row>
    <row r="3764" spans="1:12" x14ac:dyDescent="0.3">
      <c r="A3764" t="s">
        <v>3780</v>
      </c>
      <c r="B3764" t="s">
        <v>21</v>
      </c>
      <c r="C3764">
        <v>3298</v>
      </c>
      <c r="D3764">
        <v>9.89</v>
      </c>
      <c r="E3764">
        <v>1.78</v>
      </c>
      <c r="F3764">
        <f>COUNTIFS(mdr_rate_cleaned!$A$2:$A$10,B3764,mdr_rate_cleaned!$B$2:$B$10,"&lt;"&amp;C3764,mdr_rate_cleaned!$F$2:$F$10,"&gt;="&amp;C3764)</f>
        <v>1</v>
      </c>
      <c r="G3764">
        <v>3.0000000000000001E-3</v>
      </c>
      <c r="H3764">
        <v>9.89</v>
      </c>
      <c r="I3764" t="s">
        <v>15</v>
      </c>
      <c r="J3764" t="s">
        <v>15</v>
      </c>
      <c r="K3764">
        <v>1.78</v>
      </c>
      <c r="L3764">
        <v>0</v>
      </c>
    </row>
    <row r="3765" spans="1:12" x14ac:dyDescent="0.3">
      <c r="A3765" t="s">
        <v>3781</v>
      </c>
      <c r="B3765" t="s">
        <v>21</v>
      </c>
      <c r="C3765">
        <v>6797</v>
      </c>
      <c r="D3765">
        <v>20.39</v>
      </c>
      <c r="E3765">
        <v>3.67</v>
      </c>
      <c r="F3765">
        <f>COUNTIFS(mdr_rate_cleaned!$A$2:$A$10,B3765,mdr_rate_cleaned!$B$2:$B$10,"&lt;"&amp;C3765,mdr_rate_cleaned!$F$2:$F$10,"&gt;="&amp;C3765)</f>
        <v>1</v>
      </c>
      <c r="G3765">
        <v>3.0000000000000001E-3</v>
      </c>
      <c r="H3765">
        <v>20.39</v>
      </c>
      <c r="I3765" t="s">
        <v>15</v>
      </c>
      <c r="J3765" t="s">
        <v>15</v>
      </c>
      <c r="K3765">
        <v>3.67</v>
      </c>
      <c r="L3765">
        <v>0</v>
      </c>
    </row>
    <row r="3766" spans="1:12" x14ac:dyDescent="0.3">
      <c r="A3766" t="s">
        <v>3782</v>
      </c>
      <c r="B3766" t="s">
        <v>21</v>
      </c>
      <c r="C3766">
        <v>1148</v>
      </c>
      <c r="D3766">
        <v>0</v>
      </c>
      <c r="E3766">
        <v>0</v>
      </c>
      <c r="F3766">
        <f>COUNTIFS(mdr_rate_cleaned!$A$2:$A$10,B3766,mdr_rate_cleaned!$B$2:$B$10,"&lt;"&amp;C3766,mdr_rate_cleaned!$F$2:$F$10,"&gt;="&amp;C3766)</f>
        <v>1</v>
      </c>
      <c r="G3766">
        <v>0</v>
      </c>
      <c r="H3766">
        <v>0</v>
      </c>
      <c r="I3766" t="s">
        <v>15</v>
      </c>
      <c r="J3766" t="s">
        <v>15</v>
      </c>
      <c r="K3766">
        <v>0</v>
      </c>
      <c r="L3766">
        <v>0</v>
      </c>
    </row>
    <row r="3767" spans="1:12" x14ac:dyDescent="0.3">
      <c r="A3767" t="s">
        <v>3783</v>
      </c>
      <c r="B3767" t="s">
        <v>17</v>
      </c>
      <c r="C3767">
        <v>7498</v>
      </c>
      <c r="D3767">
        <v>119.97</v>
      </c>
      <c r="E3767">
        <v>21.59</v>
      </c>
      <c r="F3767">
        <f>COUNTIFS(mdr_rate_cleaned!$A$2:$A$10,B3767,mdr_rate_cleaned!$B$2:$B$10,"&lt;"&amp;C3767,mdr_rate_cleaned!$F$2:$F$10,"&gt;="&amp;C3767)</f>
        <v>1</v>
      </c>
      <c r="G3767">
        <v>1.6E-2</v>
      </c>
      <c r="H3767">
        <v>119.97</v>
      </c>
      <c r="I3767" t="s">
        <v>15</v>
      </c>
      <c r="J3767" t="s">
        <v>15</v>
      </c>
      <c r="K3767">
        <v>21.59</v>
      </c>
      <c r="L3767">
        <v>0</v>
      </c>
    </row>
    <row r="3768" spans="1:12" x14ac:dyDescent="0.3">
      <c r="A3768" t="s">
        <v>3784</v>
      </c>
      <c r="B3768" t="s">
        <v>39</v>
      </c>
      <c r="C3768">
        <v>1298</v>
      </c>
      <c r="D3768">
        <v>19.47</v>
      </c>
      <c r="E3768">
        <v>3.5</v>
      </c>
      <c r="F3768">
        <f>COUNTIFS(mdr_rate_cleaned!$A$2:$A$10,B3768,mdr_rate_cleaned!$B$2:$B$10,"&lt;"&amp;C3768,mdr_rate_cleaned!$F$2:$F$10,"&gt;="&amp;C3768)</f>
        <v>1</v>
      </c>
      <c r="G3768">
        <v>1.4999999999999999E-2</v>
      </c>
      <c r="H3768">
        <v>19.47</v>
      </c>
      <c r="I3768" t="s">
        <v>15</v>
      </c>
      <c r="J3768" t="s">
        <v>15</v>
      </c>
      <c r="K3768">
        <v>3.5</v>
      </c>
      <c r="L3768">
        <v>0</v>
      </c>
    </row>
    <row r="3769" spans="1:12" x14ac:dyDescent="0.3">
      <c r="A3769" t="s">
        <v>3785</v>
      </c>
      <c r="B3769" t="s">
        <v>21</v>
      </c>
      <c r="C3769">
        <v>4999</v>
      </c>
      <c r="D3769">
        <v>15</v>
      </c>
      <c r="E3769">
        <v>2.7</v>
      </c>
      <c r="F3769">
        <f>COUNTIFS(mdr_rate_cleaned!$A$2:$A$10,B3769,mdr_rate_cleaned!$B$2:$B$10,"&lt;"&amp;C3769,mdr_rate_cleaned!$F$2:$F$10,"&gt;="&amp;C3769)</f>
        <v>1</v>
      </c>
      <c r="G3769">
        <v>3.0000000000000001E-3</v>
      </c>
      <c r="H3769">
        <v>15</v>
      </c>
      <c r="I3769" t="s">
        <v>15</v>
      </c>
      <c r="J3769" t="s">
        <v>15</v>
      </c>
      <c r="K3769">
        <v>2.7</v>
      </c>
      <c r="L3769">
        <v>0</v>
      </c>
    </row>
    <row r="3770" spans="1:12" x14ac:dyDescent="0.3">
      <c r="A3770" t="s">
        <v>3786</v>
      </c>
      <c r="B3770" t="s">
        <v>21</v>
      </c>
      <c r="C3770">
        <v>1499</v>
      </c>
      <c r="D3770">
        <v>0</v>
      </c>
      <c r="E3770">
        <v>0</v>
      </c>
      <c r="F3770">
        <f>COUNTIFS(mdr_rate_cleaned!$A$2:$A$10,B3770,mdr_rate_cleaned!$B$2:$B$10,"&lt;"&amp;C3770,mdr_rate_cleaned!$F$2:$F$10,"&gt;="&amp;C3770)</f>
        <v>1</v>
      </c>
      <c r="G3770">
        <v>0</v>
      </c>
      <c r="H3770">
        <v>0</v>
      </c>
      <c r="I3770" t="s">
        <v>15</v>
      </c>
      <c r="J3770" t="s">
        <v>15</v>
      </c>
      <c r="K3770">
        <v>0</v>
      </c>
      <c r="L3770">
        <v>0</v>
      </c>
    </row>
    <row r="3771" spans="1:12" x14ac:dyDescent="0.3">
      <c r="A3771" t="s">
        <v>3787</v>
      </c>
      <c r="B3771" t="s">
        <v>17</v>
      </c>
      <c r="C3771">
        <v>3499</v>
      </c>
      <c r="D3771">
        <v>55.98</v>
      </c>
      <c r="E3771">
        <v>10.08</v>
      </c>
      <c r="F3771">
        <f>COUNTIFS(mdr_rate_cleaned!$A$2:$A$10,B3771,mdr_rate_cleaned!$B$2:$B$10,"&lt;"&amp;C3771,mdr_rate_cleaned!$F$2:$F$10,"&gt;="&amp;C3771)</f>
        <v>1</v>
      </c>
      <c r="G3771">
        <v>1.6E-2</v>
      </c>
      <c r="H3771">
        <v>55.98</v>
      </c>
      <c r="I3771" t="s">
        <v>15</v>
      </c>
      <c r="J3771" t="s">
        <v>15</v>
      </c>
      <c r="K3771">
        <v>10.08</v>
      </c>
      <c r="L3771">
        <v>0</v>
      </c>
    </row>
    <row r="3772" spans="1:12" x14ac:dyDescent="0.3">
      <c r="A3772" t="s">
        <v>3788</v>
      </c>
      <c r="B3772" t="s">
        <v>17</v>
      </c>
      <c r="C3772">
        <v>5097</v>
      </c>
      <c r="D3772">
        <v>81.55</v>
      </c>
      <c r="E3772">
        <v>14.68</v>
      </c>
      <c r="F3772">
        <f>COUNTIFS(mdr_rate_cleaned!$A$2:$A$10,B3772,mdr_rate_cleaned!$B$2:$B$10,"&lt;"&amp;C3772,mdr_rate_cleaned!$F$2:$F$10,"&gt;="&amp;C3772)</f>
        <v>1</v>
      </c>
      <c r="G3772">
        <v>1.6E-2</v>
      </c>
      <c r="H3772">
        <v>81.55</v>
      </c>
      <c r="I3772" t="s">
        <v>15</v>
      </c>
      <c r="J3772" t="s">
        <v>15</v>
      </c>
      <c r="K3772">
        <v>14.68</v>
      </c>
      <c r="L3772">
        <v>0</v>
      </c>
    </row>
    <row r="3773" spans="1:12" x14ac:dyDescent="0.3">
      <c r="A3773" t="s">
        <v>3789</v>
      </c>
      <c r="B3773" t="s">
        <v>21</v>
      </c>
      <c r="C3773">
        <v>5298</v>
      </c>
      <c r="D3773">
        <v>15.89</v>
      </c>
      <c r="E3773">
        <v>2.86</v>
      </c>
      <c r="F3773">
        <f>COUNTIFS(mdr_rate_cleaned!$A$2:$A$10,B3773,mdr_rate_cleaned!$B$2:$B$10,"&lt;"&amp;C3773,mdr_rate_cleaned!$F$2:$F$10,"&gt;="&amp;C3773)</f>
        <v>1</v>
      </c>
      <c r="G3773">
        <v>3.0000000000000001E-3</v>
      </c>
      <c r="H3773">
        <v>15.89</v>
      </c>
      <c r="I3773" t="s">
        <v>15</v>
      </c>
      <c r="J3773" t="s">
        <v>15</v>
      </c>
      <c r="K3773">
        <v>2.86</v>
      </c>
      <c r="L3773">
        <v>0</v>
      </c>
    </row>
    <row r="3774" spans="1:12" x14ac:dyDescent="0.3">
      <c r="A3774" t="s">
        <v>3790</v>
      </c>
      <c r="B3774" t="s">
        <v>13</v>
      </c>
      <c r="C3774">
        <v>4147</v>
      </c>
      <c r="D3774">
        <v>70.5</v>
      </c>
      <c r="E3774">
        <v>12.69</v>
      </c>
      <c r="F3774">
        <f>COUNTIFS(mdr_rate_cleaned!$A$2:$A$10,B3774,mdr_rate_cleaned!$B$2:$B$10,"&lt;"&amp;C3774,mdr_rate_cleaned!$F$2:$F$10,"&gt;="&amp;C3774)</f>
        <v>1</v>
      </c>
      <c r="G3774">
        <v>1.7000000000000001E-2</v>
      </c>
      <c r="H3774">
        <v>70.5</v>
      </c>
      <c r="I3774" t="s">
        <v>15</v>
      </c>
      <c r="J3774" t="s">
        <v>15</v>
      </c>
      <c r="K3774">
        <v>12.69</v>
      </c>
      <c r="L3774">
        <v>0</v>
      </c>
    </row>
    <row r="3775" spans="1:12" x14ac:dyDescent="0.3">
      <c r="A3775" t="s">
        <v>3791</v>
      </c>
      <c r="B3775" t="s">
        <v>21</v>
      </c>
      <c r="C3775">
        <v>10998</v>
      </c>
      <c r="D3775">
        <v>32.99</v>
      </c>
      <c r="E3775">
        <v>5.94</v>
      </c>
      <c r="F3775">
        <f>COUNTIFS(mdr_rate_cleaned!$A$2:$A$10,B3775,mdr_rate_cleaned!$B$2:$B$10,"&lt;"&amp;C3775,mdr_rate_cleaned!$F$2:$F$10,"&gt;="&amp;C3775)</f>
        <v>1</v>
      </c>
      <c r="G3775">
        <v>3.0000000000000001E-3</v>
      </c>
      <c r="H3775">
        <v>32.99</v>
      </c>
      <c r="I3775" t="s">
        <v>15</v>
      </c>
      <c r="J3775" t="s">
        <v>15</v>
      </c>
      <c r="K3775">
        <v>5.94</v>
      </c>
      <c r="L3775">
        <v>0</v>
      </c>
    </row>
    <row r="3776" spans="1:12" x14ac:dyDescent="0.3">
      <c r="A3776" t="s">
        <v>3792</v>
      </c>
      <c r="B3776" t="s">
        <v>21</v>
      </c>
      <c r="C3776">
        <v>499</v>
      </c>
      <c r="D3776">
        <v>0</v>
      </c>
      <c r="E3776">
        <v>0</v>
      </c>
      <c r="F3776">
        <f>COUNTIFS(mdr_rate_cleaned!$A$2:$A$10,B3776,mdr_rate_cleaned!$B$2:$B$10,"&lt;"&amp;C3776,mdr_rate_cleaned!$F$2:$F$10,"&gt;="&amp;C3776)</f>
        <v>1</v>
      </c>
      <c r="G3776">
        <v>0</v>
      </c>
      <c r="H3776">
        <v>0</v>
      </c>
      <c r="I3776" t="s">
        <v>15</v>
      </c>
      <c r="J3776" t="s">
        <v>15</v>
      </c>
      <c r="K3776">
        <v>0</v>
      </c>
      <c r="L3776">
        <v>0</v>
      </c>
    </row>
    <row r="3777" spans="1:12" x14ac:dyDescent="0.3">
      <c r="A3777" t="s">
        <v>3793</v>
      </c>
      <c r="B3777" t="s">
        <v>17</v>
      </c>
      <c r="C3777">
        <v>2499</v>
      </c>
      <c r="D3777">
        <v>39.979999999999997</v>
      </c>
      <c r="E3777">
        <v>7.2</v>
      </c>
      <c r="F3777">
        <f>COUNTIFS(mdr_rate_cleaned!$A$2:$A$10,B3777,mdr_rate_cleaned!$B$2:$B$10,"&lt;"&amp;C3777,mdr_rate_cleaned!$F$2:$F$10,"&gt;="&amp;C3777)</f>
        <v>1</v>
      </c>
      <c r="G3777">
        <v>1.6E-2</v>
      </c>
      <c r="H3777">
        <v>39.979999999999997</v>
      </c>
      <c r="I3777" t="s">
        <v>15</v>
      </c>
      <c r="J3777" t="s">
        <v>15</v>
      </c>
      <c r="K3777">
        <v>7.2</v>
      </c>
      <c r="L3777">
        <v>0</v>
      </c>
    </row>
    <row r="3778" spans="1:12" x14ac:dyDescent="0.3">
      <c r="A3778" t="s">
        <v>3794</v>
      </c>
      <c r="B3778" t="s">
        <v>39</v>
      </c>
      <c r="C3778">
        <v>3499</v>
      </c>
      <c r="D3778">
        <v>41.99</v>
      </c>
      <c r="E3778">
        <v>7.56</v>
      </c>
      <c r="F3778">
        <f>COUNTIFS(mdr_rate_cleaned!$A$2:$A$10,B3778,mdr_rate_cleaned!$B$2:$B$10,"&lt;"&amp;C3778,mdr_rate_cleaned!$F$2:$F$10,"&gt;="&amp;C3778)</f>
        <v>1</v>
      </c>
      <c r="G3778">
        <v>1.2E-2</v>
      </c>
      <c r="H3778">
        <v>41.99</v>
      </c>
      <c r="I3778" t="s">
        <v>15</v>
      </c>
      <c r="J3778" t="s">
        <v>15</v>
      </c>
      <c r="K3778">
        <v>7.56</v>
      </c>
      <c r="L3778">
        <v>0</v>
      </c>
    </row>
    <row r="3779" spans="1:12" x14ac:dyDescent="0.3">
      <c r="A3779" t="s">
        <v>3795</v>
      </c>
      <c r="B3779" t="s">
        <v>17</v>
      </c>
      <c r="C3779">
        <v>2298</v>
      </c>
      <c r="D3779">
        <v>36.770000000000003</v>
      </c>
      <c r="E3779">
        <v>6.62</v>
      </c>
      <c r="F3779">
        <f>COUNTIFS(mdr_rate_cleaned!$A$2:$A$10,B3779,mdr_rate_cleaned!$B$2:$B$10,"&lt;"&amp;C3779,mdr_rate_cleaned!$F$2:$F$10,"&gt;="&amp;C3779)</f>
        <v>1</v>
      </c>
      <c r="G3779">
        <v>1.6E-2</v>
      </c>
      <c r="H3779">
        <v>36.770000000000003</v>
      </c>
      <c r="I3779" t="s">
        <v>15</v>
      </c>
      <c r="J3779" t="s">
        <v>15</v>
      </c>
      <c r="K3779">
        <v>6.62</v>
      </c>
      <c r="L3779">
        <v>0</v>
      </c>
    </row>
    <row r="3780" spans="1:12" x14ac:dyDescent="0.3">
      <c r="A3780" t="s">
        <v>3796</v>
      </c>
      <c r="B3780" t="s">
        <v>21</v>
      </c>
      <c r="C3780">
        <v>499</v>
      </c>
      <c r="D3780">
        <v>0</v>
      </c>
      <c r="E3780">
        <v>0</v>
      </c>
      <c r="F3780">
        <f>COUNTIFS(mdr_rate_cleaned!$A$2:$A$10,B3780,mdr_rate_cleaned!$B$2:$B$10,"&lt;"&amp;C3780,mdr_rate_cleaned!$F$2:$F$10,"&gt;="&amp;C3780)</f>
        <v>1</v>
      </c>
      <c r="G3780">
        <v>0</v>
      </c>
      <c r="H3780">
        <v>0</v>
      </c>
      <c r="I3780" t="s">
        <v>15</v>
      </c>
      <c r="J3780" t="s">
        <v>15</v>
      </c>
      <c r="K3780">
        <v>0</v>
      </c>
      <c r="L3780">
        <v>0</v>
      </c>
    </row>
    <row r="3781" spans="1:12" x14ac:dyDescent="0.3">
      <c r="A3781" t="s">
        <v>3797</v>
      </c>
      <c r="B3781" t="s">
        <v>39</v>
      </c>
      <c r="C3781">
        <v>7297</v>
      </c>
      <c r="D3781">
        <v>87.56</v>
      </c>
      <c r="E3781">
        <v>15.76</v>
      </c>
      <c r="F3781">
        <f>COUNTIFS(mdr_rate_cleaned!$A$2:$A$10,B3781,mdr_rate_cleaned!$B$2:$B$10,"&lt;"&amp;C3781,mdr_rate_cleaned!$F$2:$F$10,"&gt;="&amp;C3781)</f>
        <v>1</v>
      </c>
      <c r="G3781">
        <v>1.2E-2</v>
      </c>
      <c r="H3781">
        <v>87.56</v>
      </c>
      <c r="I3781" t="s">
        <v>15</v>
      </c>
      <c r="J3781" t="s">
        <v>15</v>
      </c>
      <c r="K3781">
        <v>15.76</v>
      </c>
      <c r="L3781">
        <v>0</v>
      </c>
    </row>
    <row r="3782" spans="1:12" x14ac:dyDescent="0.3">
      <c r="A3782" t="s">
        <v>3798</v>
      </c>
      <c r="B3782" t="s">
        <v>21</v>
      </c>
      <c r="C3782">
        <v>2098</v>
      </c>
      <c r="D3782">
        <v>6.29</v>
      </c>
      <c r="E3782">
        <v>1.1299999999999999</v>
      </c>
      <c r="F3782">
        <f>COUNTIFS(mdr_rate_cleaned!$A$2:$A$10,B3782,mdr_rate_cleaned!$B$2:$B$10,"&lt;"&amp;C3782,mdr_rate_cleaned!$F$2:$F$10,"&gt;="&amp;C3782)</f>
        <v>1</v>
      </c>
      <c r="G3782">
        <v>3.0000000000000001E-3</v>
      </c>
      <c r="H3782">
        <v>6.29</v>
      </c>
      <c r="I3782" t="s">
        <v>15</v>
      </c>
      <c r="J3782" t="s">
        <v>15</v>
      </c>
      <c r="K3782">
        <v>1.1299999999999999</v>
      </c>
      <c r="L3782">
        <v>0</v>
      </c>
    </row>
    <row r="3783" spans="1:12" x14ac:dyDescent="0.3">
      <c r="A3783" t="s">
        <v>3799</v>
      </c>
      <c r="B3783" t="s">
        <v>21</v>
      </c>
      <c r="C3783">
        <v>2499</v>
      </c>
      <c r="D3783">
        <v>7.5</v>
      </c>
      <c r="E3783">
        <v>1.35</v>
      </c>
      <c r="F3783">
        <f>COUNTIFS(mdr_rate_cleaned!$A$2:$A$10,B3783,mdr_rate_cleaned!$B$2:$B$10,"&lt;"&amp;C3783,mdr_rate_cleaned!$F$2:$F$10,"&gt;="&amp;C3783)</f>
        <v>1</v>
      </c>
      <c r="G3783">
        <v>3.0000000000000001E-3</v>
      </c>
      <c r="H3783">
        <v>7.5</v>
      </c>
      <c r="I3783" t="s">
        <v>15</v>
      </c>
      <c r="J3783" t="s">
        <v>15</v>
      </c>
      <c r="K3783">
        <v>1.35</v>
      </c>
      <c r="L3783">
        <v>0</v>
      </c>
    </row>
    <row r="3784" spans="1:12" x14ac:dyDescent="0.3">
      <c r="A3784" t="s">
        <v>3800</v>
      </c>
      <c r="B3784" t="s">
        <v>17</v>
      </c>
      <c r="C3784">
        <v>599</v>
      </c>
      <c r="D3784">
        <v>10.78</v>
      </c>
      <c r="E3784">
        <v>1.94</v>
      </c>
      <c r="F3784">
        <f>COUNTIFS(mdr_rate_cleaned!$A$2:$A$10,B3784,mdr_rate_cleaned!$B$2:$B$10,"&lt;"&amp;C3784,mdr_rate_cleaned!$F$2:$F$10,"&gt;="&amp;C3784)</f>
        <v>1</v>
      </c>
      <c r="G3784">
        <v>1.7999999999999999E-2</v>
      </c>
      <c r="H3784">
        <v>10.78</v>
      </c>
      <c r="I3784" t="s">
        <v>15</v>
      </c>
      <c r="J3784" t="s">
        <v>15</v>
      </c>
      <c r="K3784">
        <v>1.94</v>
      </c>
      <c r="L3784">
        <v>0</v>
      </c>
    </row>
    <row r="3785" spans="1:12" x14ac:dyDescent="0.3">
      <c r="A3785" t="s">
        <v>3801</v>
      </c>
      <c r="B3785" t="s">
        <v>17</v>
      </c>
      <c r="C3785">
        <v>4098</v>
      </c>
      <c r="D3785">
        <v>65.569999999999993</v>
      </c>
      <c r="E3785">
        <v>11.8</v>
      </c>
      <c r="F3785">
        <f>COUNTIFS(mdr_rate_cleaned!$A$2:$A$10,B3785,mdr_rate_cleaned!$B$2:$B$10,"&lt;"&amp;C3785,mdr_rate_cleaned!$F$2:$F$10,"&gt;="&amp;C3785)</f>
        <v>1</v>
      </c>
      <c r="G3785">
        <v>1.6E-2</v>
      </c>
      <c r="H3785">
        <v>65.569999999999993</v>
      </c>
      <c r="I3785" t="s">
        <v>15</v>
      </c>
      <c r="J3785" t="s">
        <v>15</v>
      </c>
      <c r="K3785">
        <v>11.8</v>
      </c>
      <c r="L3785">
        <v>0</v>
      </c>
    </row>
    <row r="3786" spans="1:12" x14ac:dyDescent="0.3">
      <c r="A3786" t="s">
        <v>3802</v>
      </c>
      <c r="B3786" t="s">
        <v>21</v>
      </c>
      <c r="C3786">
        <v>3297</v>
      </c>
      <c r="D3786">
        <v>9.89</v>
      </c>
      <c r="E3786">
        <v>1.78</v>
      </c>
      <c r="F3786">
        <f>COUNTIFS(mdr_rate_cleaned!$A$2:$A$10,B3786,mdr_rate_cleaned!$B$2:$B$10,"&lt;"&amp;C3786,mdr_rate_cleaned!$F$2:$F$10,"&gt;="&amp;C3786)</f>
        <v>1</v>
      </c>
      <c r="G3786">
        <v>3.0000000000000001E-3</v>
      </c>
      <c r="H3786">
        <v>9.89</v>
      </c>
      <c r="I3786" t="s">
        <v>15</v>
      </c>
      <c r="J3786" t="s">
        <v>15</v>
      </c>
      <c r="K3786">
        <v>1.78</v>
      </c>
      <c r="L3786">
        <v>0</v>
      </c>
    </row>
    <row r="3787" spans="1:12" x14ac:dyDescent="0.3">
      <c r="A3787" t="s">
        <v>3803</v>
      </c>
      <c r="B3787" t="s">
        <v>17</v>
      </c>
      <c r="C3787">
        <v>299</v>
      </c>
      <c r="D3787">
        <v>5.38</v>
      </c>
      <c r="E3787">
        <v>0.97</v>
      </c>
      <c r="F3787">
        <f>COUNTIFS(mdr_rate_cleaned!$A$2:$A$10,B3787,mdr_rate_cleaned!$B$2:$B$10,"&lt;"&amp;C3787,mdr_rate_cleaned!$F$2:$F$10,"&gt;="&amp;C3787)</f>
        <v>1</v>
      </c>
      <c r="G3787">
        <v>1.7999999999999999E-2</v>
      </c>
      <c r="H3787">
        <v>5.38</v>
      </c>
      <c r="I3787" t="s">
        <v>15</v>
      </c>
      <c r="J3787" t="s">
        <v>15</v>
      </c>
      <c r="K3787">
        <v>0.97</v>
      </c>
      <c r="L3787">
        <v>0</v>
      </c>
    </row>
    <row r="3788" spans="1:12" x14ac:dyDescent="0.3">
      <c r="A3788" t="s">
        <v>3804</v>
      </c>
      <c r="B3788" t="s">
        <v>21</v>
      </c>
      <c r="C3788">
        <v>499</v>
      </c>
      <c r="D3788">
        <v>0</v>
      </c>
      <c r="E3788">
        <v>0</v>
      </c>
      <c r="F3788">
        <f>COUNTIFS(mdr_rate_cleaned!$A$2:$A$10,B3788,mdr_rate_cleaned!$B$2:$B$10,"&lt;"&amp;C3788,mdr_rate_cleaned!$F$2:$F$10,"&gt;="&amp;C3788)</f>
        <v>1</v>
      </c>
      <c r="G3788">
        <v>0</v>
      </c>
      <c r="H3788">
        <v>0</v>
      </c>
      <c r="I3788" t="s">
        <v>15</v>
      </c>
      <c r="J3788" t="s">
        <v>15</v>
      </c>
      <c r="K3788">
        <v>0</v>
      </c>
      <c r="L3788">
        <v>0</v>
      </c>
    </row>
    <row r="3789" spans="1:12" x14ac:dyDescent="0.3">
      <c r="A3789" t="s">
        <v>3805</v>
      </c>
      <c r="B3789" t="s">
        <v>21</v>
      </c>
      <c r="C3789">
        <v>2999</v>
      </c>
      <c r="D3789">
        <v>9</v>
      </c>
      <c r="E3789">
        <v>1.62</v>
      </c>
      <c r="F3789">
        <f>COUNTIFS(mdr_rate_cleaned!$A$2:$A$10,B3789,mdr_rate_cleaned!$B$2:$B$10,"&lt;"&amp;C3789,mdr_rate_cleaned!$F$2:$F$10,"&gt;="&amp;C3789)</f>
        <v>1</v>
      </c>
      <c r="G3789">
        <v>3.0000000000000001E-3</v>
      </c>
      <c r="H3789">
        <v>9</v>
      </c>
      <c r="I3789" t="s">
        <v>15</v>
      </c>
      <c r="J3789" t="s">
        <v>15</v>
      </c>
      <c r="K3789">
        <v>1.62</v>
      </c>
      <c r="L3789">
        <v>0</v>
      </c>
    </row>
    <row r="3790" spans="1:12" x14ac:dyDescent="0.3">
      <c r="A3790" t="s">
        <v>3806</v>
      </c>
      <c r="B3790" t="s">
        <v>21</v>
      </c>
      <c r="C3790">
        <v>8598</v>
      </c>
      <c r="D3790">
        <v>25.79</v>
      </c>
      <c r="E3790">
        <v>4.6399999999999997</v>
      </c>
      <c r="F3790">
        <f>COUNTIFS(mdr_rate_cleaned!$A$2:$A$10,B3790,mdr_rate_cleaned!$B$2:$B$10,"&lt;"&amp;C3790,mdr_rate_cleaned!$F$2:$F$10,"&gt;="&amp;C3790)</f>
        <v>1</v>
      </c>
      <c r="G3790">
        <v>3.0000000000000001E-3</v>
      </c>
      <c r="H3790">
        <v>25.79</v>
      </c>
      <c r="I3790" t="s">
        <v>15</v>
      </c>
      <c r="J3790" t="s">
        <v>15</v>
      </c>
      <c r="K3790">
        <v>4.6399999999999997</v>
      </c>
      <c r="L3790">
        <v>0</v>
      </c>
    </row>
    <row r="3791" spans="1:12" x14ac:dyDescent="0.3">
      <c r="A3791" t="s">
        <v>3807</v>
      </c>
      <c r="B3791" t="s">
        <v>21</v>
      </c>
      <c r="C3791">
        <v>9998</v>
      </c>
      <c r="D3791">
        <v>29.99</v>
      </c>
      <c r="E3791">
        <v>5.4</v>
      </c>
      <c r="F3791">
        <f>COUNTIFS(mdr_rate_cleaned!$A$2:$A$10,B3791,mdr_rate_cleaned!$B$2:$B$10,"&lt;"&amp;C3791,mdr_rate_cleaned!$F$2:$F$10,"&gt;="&amp;C3791)</f>
        <v>1</v>
      </c>
      <c r="G3791">
        <v>3.0000000000000001E-3</v>
      </c>
      <c r="H3791">
        <v>29.99</v>
      </c>
      <c r="I3791" t="s">
        <v>15</v>
      </c>
      <c r="J3791" t="s">
        <v>15</v>
      </c>
      <c r="K3791">
        <v>5.4</v>
      </c>
      <c r="L3791">
        <v>0</v>
      </c>
    </row>
    <row r="3792" spans="1:12" x14ac:dyDescent="0.3">
      <c r="A3792" t="s">
        <v>3808</v>
      </c>
      <c r="B3792" t="s">
        <v>21</v>
      </c>
      <c r="C3792">
        <v>4999</v>
      </c>
      <c r="D3792">
        <v>15</v>
      </c>
      <c r="E3792">
        <v>2.7</v>
      </c>
      <c r="F3792">
        <f>COUNTIFS(mdr_rate_cleaned!$A$2:$A$10,B3792,mdr_rate_cleaned!$B$2:$B$10,"&lt;"&amp;C3792,mdr_rate_cleaned!$F$2:$F$10,"&gt;="&amp;C3792)</f>
        <v>1</v>
      </c>
      <c r="G3792">
        <v>3.0000000000000001E-3</v>
      </c>
      <c r="H3792">
        <v>15</v>
      </c>
      <c r="I3792" t="s">
        <v>15</v>
      </c>
      <c r="J3792" t="s">
        <v>15</v>
      </c>
      <c r="K3792">
        <v>2.7</v>
      </c>
      <c r="L3792">
        <v>0</v>
      </c>
    </row>
    <row r="3793" spans="1:12" x14ac:dyDescent="0.3">
      <c r="A3793" t="s">
        <v>3809</v>
      </c>
      <c r="B3793" t="s">
        <v>17</v>
      </c>
      <c r="C3793">
        <v>3798</v>
      </c>
      <c r="D3793">
        <v>60.77</v>
      </c>
      <c r="E3793">
        <v>10.94</v>
      </c>
      <c r="F3793">
        <f>COUNTIFS(mdr_rate_cleaned!$A$2:$A$10,B3793,mdr_rate_cleaned!$B$2:$B$10,"&lt;"&amp;C3793,mdr_rate_cleaned!$F$2:$F$10,"&gt;="&amp;C3793)</f>
        <v>1</v>
      </c>
      <c r="G3793">
        <v>1.6E-2</v>
      </c>
      <c r="H3793">
        <v>60.77</v>
      </c>
      <c r="I3793" t="s">
        <v>15</v>
      </c>
      <c r="J3793" t="s">
        <v>15</v>
      </c>
      <c r="K3793">
        <v>10.94</v>
      </c>
      <c r="L3793">
        <v>0</v>
      </c>
    </row>
    <row r="3794" spans="1:12" x14ac:dyDescent="0.3">
      <c r="A3794" t="s">
        <v>3810</v>
      </c>
      <c r="B3794" t="s">
        <v>21</v>
      </c>
      <c r="C3794">
        <v>1499</v>
      </c>
      <c r="D3794">
        <v>0</v>
      </c>
      <c r="E3794">
        <v>0</v>
      </c>
      <c r="F3794">
        <f>COUNTIFS(mdr_rate_cleaned!$A$2:$A$10,B3794,mdr_rate_cleaned!$B$2:$B$10,"&lt;"&amp;C3794,mdr_rate_cleaned!$F$2:$F$10,"&gt;="&amp;C3794)</f>
        <v>1</v>
      </c>
      <c r="G3794">
        <v>0</v>
      </c>
      <c r="H3794">
        <v>0</v>
      </c>
      <c r="I3794" t="s">
        <v>15</v>
      </c>
      <c r="J3794" t="s">
        <v>15</v>
      </c>
      <c r="K3794">
        <v>0</v>
      </c>
      <c r="L3794">
        <v>0</v>
      </c>
    </row>
    <row r="3795" spans="1:12" x14ac:dyDescent="0.3">
      <c r="A3795" t="s">
        <v>3811</v>
      </c>
      <c r="B3795" t="s">
        <v>17</v>
      </c>
      <c r="C3795">
        <v>999</v>
      </c>
      <c r="D3795">
        <v>17.98</v>
      </c>
      <c r="E3795">
        <v>3.24</v>
      </c>
      <c r="F3795">
        <f>COUNTIFS(mdr_rate_cleaned!$A$2:$A$10,B3795,mdr_rate_cleaned!$B$2:$B$10,"&lt;"&amp;C3795,mdr_rate_cleaned!$F$2:$F$10,"&gt;="&amp;C3795)</f>
        <v>1</v>
      </c>
      <c r="G3795">
        <v>1.7999999999999999E-2</v>
      </c>
      <c r="H3795">
        <v>17.98</v>
      </c>
      <c r="I3795" t="s">
        <v>15</v>
      </c>
      <c r="J3795" t="s">
        <v>15</v>
      </c>
      <c r="K3795">
        <v>3.24</v>
      </c>
      <c r="L3795">
        <v>0</v>
      </c>
    </row>
    <row r="3796" spans="1:12" x14ac:dyDescent="0.3">
      <c r="A3796" t="s">
        <v>3812</v>
      </c>
      <c r="B3796" t="s">
        <v>39</v>
      </c>
      <c r="C3796">
        <v>1299</v>
      </c>
      <c r="D3796">
        <v>19.489999999999998</v>
      </c>
      <c r="E3796">
        <v>3.51</v>
      </c>
      <c r="F3796">
        <f>COUNTIFS(mdr_rate_cleaned!$A$2:$A$10,B3796,mdr_rate_cleaned!$B$2:$B$10,"&lt;"&amp;C3796,mdr_rate_cleaned!$F$2:$F$10,"&gt;="&amp;C3796)</f>
        <v>1</v>
      </c>
      <c r="G3796">
        <v>1.4999999999999999E-2</v>
      </c>
      <c r="H3796">
        <v>19.489999999999998</v>
      </c>
      <c r="I3796" t="s">
        <v>15</v>
      </c>
      <c r="J3796" t="s">
        <v>15</v>
      </c>
      <c r="K3796">
        <v>3.51</v>
      </c>
      <c r="L3796">
        <v>0</v>
      </c>
    </row>
    <row r="3797" spans="1:12" x14ac:dyDescent="0.3">
      <c r="A3797" t="s">
        <v>3813</v>
      </c>
      <c r="B3797" t="s">
        <v>17</v>
      </c>
      <c r="C3797">
        <v>3098</v>
      </c>
      <c r="D3797">
        <v>49.57</v>
      </c>
      <c r="E3797">
        <v>8.92</v>
      </c>
      <c r="F3797">
        <f>COUNTIFS(mdr_rate_cleaned!$A$2:$A$10,B3797,mdr_rate_cleaned!$B$2:$B$10,"&lt;"&amp;C3797,mdr_rate_cleaned!$F$2:$F$10,"&gt;="&amp;C3797)</f>
        <v>1</v>
      </c>
      <c r="G3797">
        <v>1.6E-2</v>
      </c>
      <c r="H3797">
        <v>49.57</v>
      </c>
      <c r="I3797" t="s">
        <v>15</v>
      </c>
      <c r="J3797" t="s">
        <v>15</v>
      </c>
      <c r="K3797">
        <v>8.92</v>
      </c>
      <c r="L3797">
        <v>0</v>
      </c>
    </row>
    <row r="3798" spans="1:12" x14ac:dyDescent="0.3">
      <c r="A3798" t="s">
        <v>3814</v>
      </c>
      <c r="B3798" t="s">
        <v>21</v>
      </c>
      <c r="C3798">
        <v>10998</v>
      </c>
      <c r="D3798">
        <v>32.99</v>
      </c>
      <c r="E3798">
        <v>5.94</v>
      </c>
      <c r="F3798">
        <f>COUNTIFS(mdr_rate_cleaned!$A$2:$A$10,B3798,mdr_rate_cleaned!$B$2:$B$10,"&lt;"&amp;C3798,mdr_rate_cleaned!$F$2:$F$10,"&gt;="&amp;C3798)</f>
        <v>1</v>
      </c>
      <c r="G3798">
        <v>3.0000000000000001E-3</v>
      </c>
      <c r="H3798">
        <v>32.99</v>
      </c>
      <c r="I3798" t="s">
        <v>15</v>
      </c>
      <c r="J3798" t="s">
        <v>15</v>
      </c>
      <c r="K3798">
        <v>5.94</v>
      </c>
      <c r="L3798">
        <v>0</v>
      </c>
    </row>
    <row r="3799" spans="1:12" x14ac:dyDescent="0.3">
      <c r="A3799" t="s">
        <v>3815</v>
      </c>
      <c r="B3799" t="s">
        <v>17</v>
      </c>
      <c r="C3799">
        <v>1598</v>
      </c>
      <c r="D3799">
        <v>28.76</v>
      </c>
      <c r="E3799">
        <v>5.18</v>
      </c>
      <c r="F3799">
        <f>COUNTIFS(mdr_rate_cleaned!$A$2:$A$10,B3799,mdr_rate_cleaned!$B$2:$B$10,"&lt;"&amp;C3799,mdr_rate_cleaned!$F$2:$F$10,"&gt;="&amp;C3799)</f>
        <v>1</v>
      </c>
      <c r="G3799">
        <v>1.7999999999999999E-2</v>
      </c>
      <c r="H3799">
        <v>28.76</v>
      </c>
      <c r="I3799" t="s">
        <v>15</v>
      </c>
      <c r="J3799" t="s">
        <v>15</v>
      </c>
      <c r="K3799">
        <v>5.18</v>
      </c>
      <c r="L3799">
        <v>0</v>
      </c>
    </row>
    <row r="3800" spans="1:12" x14ac:dyDescent="0.3">
      <c r="A3800" t="s">
        <v>3816</v>
      </c>
      <c r="B3800" t="s">
        <v>21</v>
      </c>
      <c r="C3800">
        <v>7999</v>
      </c>
      <c r="D3800">
        <v>24</v>
      </c>
      <c r="E3800">
        <v>4.32</v>
      </c>
      <c r="F3800">
        <f>COUNTIFS(mdr_rate_cleaned!$A$2:$A$10,B3800,mdr_rate_cleaned!$B$2:$B$10,"&lt;"&amp;C3800,mdr_rate_cleaned!$F$2:$F$10,"&gt;="&amp;C3800)</f>
        <v>1</v>
      </c>
      <c r="G3800">
        <v>3.0000000000000001E-3</v>
      </c>
      <c r="H3800">
        <v>24</v>
      </c>
      <c r="I3800" t="s">
        <v>15</v>
      </c>
      <c r="J3800" t="s">
        <v>15</v>
      </c>
      <c r="K3800">
        <v>4.32</v>
      </c>
      <c r="L3800">
        <v>0</v>
      </c>
    </row>
    <row r="3801" spans="1:12" x14ac:dyDescent="0.3">
      <c r="A3801" t="s">
        <v>3817</v>
      </c>
      <c r="B3801" t="s">
        <v>21</v>
      </c>
      <c r="C3801">
        <v>4999</v>
      </c>
      <c r="D3801">
        <v>15</v>
      </c>
      <c r="E3801">
        <v>2.7</v>
      </c>
      <c r="F3801">
        <f>COUNTIFS(mdr_rate_cleaned!$A$2:$A$10,B3801,mdr_rate_cleaned!$B$2:$B$10,"&lt;"&amp;C3801,mdr_rate_cleaned!$F$2:$F$10,"&gt;="&amp;C3801)</f>
        <v>1</v>
      </c>
      <c r="G3801">
        <v>3.0000000000000001E-3</v>
      </c>
      <c r="H3801">
        <v>15</v>
      </c>
      <c r="I3801" t="s">
        <v>15</v>
      </c>
      <c r="J3801" t="s">
        <v>15</v>
      </c>
      <c r="K3801">
        <v>2.7</v>
      </c>
      <c r="L3801">
        <v>0</v>
      </c>
    </row>
    <row r="3802" spans="1:12" x14ac:dyDescent="0.3">
      <c r="A3802" t="s">
        <v>3818</v>
      </c>
      <c r="B3802" t="s">
        <v>21</v>
      </c>
      <c r="C3802">
        <v>7999</v>
      </c>
      <c r="D3802">
        <v>24</v>
      </c>
      <c r="E3802">
        <v>4.32</v>
      </c>
      <c r="F3802">
        <f>COUNTIFS(mdr_rate_cleaned!$A$2:$A$10,B3802,mdr_rate_cleaned!$B$2:$B$10,"&lt;"&amp;C3802,mdr_rate_cleaned!$F$2:$F$10,"&gt;="&amp;C3802)</f>
        <v>1</v>
      </c>
      <c r="G3802">
        <v>3.0000000000000001E-3</v>
      </c>
      <c r="H3802">
        <v>24</v>
      </c>
      <c r="I3802" t="s">
        <v>15</v>
      </c>
      <c r="J3802" t="s">
        <v>15</v>
      </c>
      <c r="K3802">
        <v>4.32</v>
      </c>
      <c r="L3802">
        <v>0</v>
      </c>
    </row>
    <row r="3803" spans="1:12" x14ac:dyDescent="0.3">
      <c r="A3803" t="s">
        <v>3819</v>
      </c>
      <c r="B3803" t="s">
        <v>39</v>
      </c>
      <c r="C3803">
        <v>10998</v>
      </c>
      <c r="D3803">
        <v>98.98</v>
      </c>
      <c r="E3803">
        <v>17.82</v>
      </c>
      <c r="F3803">
        <f>COUNTIFS(mdr_rate_cleaned!$A$2:$A$10,B3803,mdr_rate_cleaned!$B$2:$B$10,"&lt;"&amp;C3803,mdr_rate_cleaned!$F$2:$F$10,"&gt;="&amp;C3803)</f>
        <v>1</v>
      </c>
      <c r="G3803">
        <v>8.9999999999999993E-3</v>
      </c>
      <c r="H3803">
        <v>98.98</v>
      </c>
      <c r="I3803" t="s">
        <v>15</v>
      </c>
      <c r="J3803" t="s">
        <v>15</v>
      </c>
      <c r="K3803">
        <v>17.82</v>
      </c>
      <c r="L3803">
        <v>0</v>
      </c>
    </row>
    <row r="3804" spans="1:12" x14ac:dyDescent="0.3">
      <c r="A3804" t="s">
        <v>3820</v>
      </c>
      <c r="B3804" t="s">
        <v>21</v>
      </c>
      <c r="C3804">
        <v>8497</v>
      </c>
      <c r="D3804">
        <v>25.49</v>
      </c>
      <c r="E3804">
        <v>4.59</v>
      </c>
      <c r="F3804">
        <f>COUNTIFS(mdr_rate_cleaned!$A$2:$A$10,B3804,mdr_rate_cleaned!$B$2:$B$10,"&lt;"&amp;C3804,mdr_rate_cleaned!$F$2:$F$10,"&gt;="&amp;C3804)</f>
        <v>1</v>
      </c>
      <c r="G3804">
        <v>3.0000000000000001E-3</v>
      </c>
      <c r="H3804">
        <v>25.49</v>
      </c>
      <c r="I3804" t="s">
        <v>15</v>
      </c>
      <c r="J3804" t="s">
        <v>15</v>
      </c>
      <c r="K3804">
        <v>4.59</v>
      </c>
      <c r="L3804">
        <v>0</v>
      </c>
    </row>
    <row r="3805" spans="1:12" x14ac:dyDescent="0.3">
      <c r="A3805" t="s">
        <v>3821</v>
      </c>
      <c r="B3805" t="s">
        <v>17</v>
      </c>
      <c r="C3805">
        <v>8498</v>
      </c>
      <c r="D3805">
        <v>135.97</v>
      </c>
      <c r="E3805">
        <v>24.47</v>
      </c>
      <c r="F3805">
        <f>COUNTIFS(mdr_rate_cleaned!$A$2:$A$10,B3805,mdr_rate_cleaned!$B$2:$B$10,"&lt;"&amp;C3805,mdr_rate_cleaned!$F$2:$F$10,"&gt;="&amp;C3805)</f>
        <v>1</v>
      </c>
      <c r="G3805">
        <v>1.6E-2</v>
      </c>
      <c r="H3805">
        <v>135.97</v>
      </c>
      <c r="I3805" t="s">
        <v>15</v>
      </c>
      <c r="J3805" t="s">
        <v>15</v>
      </c>
      <c r="K3805">
        <v>24.47</v>
      </c>
      <c r="L3805">
        <v>0</v>
      </c>
    </row>
    <row r="3806" spans="1:12" x14ac:dyDescent="0.3">
      <c r="A3806" t="s">
        <v>3822</v>
      </c>
      <c r="B3806" t="s">
        <v>21</v>
      </c>
      <c r="C3806">
        <v>299</v>
      </c>
      <c r="D3806">
        <v>0</v>
      </c>
      <c r="E3806">
        <v>0</v>
      </c>
      <c r="F3806">
        <f>COUNTIFS(mdr_rate_cleaned!$A$2:$A$10,B3806,mdr_rate_cleaned!$B$2:$B$10,"&lt;"&amp;C3806,mdr_rate_cleaned!$F$2:$F$10,"&gt;="&amp;C3806)</f>
        <v>1</v>
      </c>
      <c r="G3806">
        <v>0</v>
      </c>
      <c r="H3806">
        <v>0</v>
      </c>
      <c r="I3806" t="s">
        <v>15</v>
      </c>
      <c r="J3806" t="s">
        <v>15</v>
      </c>
      <c r="K3806">
        <v>0</v>
      </c>
      <c r="L3806">
        <v>0</v>
      </c>
    </row>
    <row r="3807" spans="1:12" x14ac:dyDescent="0.3">
      <c r="A3807" t="s">
        <v>3823</v>
      </c>
      <c r="B3807" t="s">
        <v>17</v>
      </c>
      <c r="C3807">
        <v>3897</v>
      </c>
      <c r="D3807">
        <v>62.35</v>
      </c>
      <c r="E3807">
        <v>11.22</v>
      </c>
      <c r="F3807">
        <f>COUNTIFS(mdr_rate_cleaned!$A$2:$A$10,B3807,mdr_rate_cleaned!$B$2:$B$10,"&lt;"&amp;C3807,mdr_rate_cleaned!$F$2:$F$10,"&gt;="&amp;C3807)</f>
        <v>1</v>
      </c>
      <c r="G3807">
        <v>1.6E-2</v>
      </c>
      <c r="H3807">
        <v>62.35</v>
      </c>
      <c r="I3807" t="s">
        <v>15</v>
      </c>
      <c r="J3807" t="s">
        <v>15</v>
      </c>
      <c r="K3807">
        <v>11.22</v>
      </c>
      <c r="L3807">
        <v>0</v>
      </c>
    </row>
    <row r="3808" spans="1:12" x14ac:dyDescent="0.3">
      <c r="A3808" t="s">
        <v>3824</v>
      </c>
      <c r="B3808" t="s">
        <v>21</v>
      </c>
      <c r="C3808">
        <v>1799</v>
      </c>
      <c r="D3808">
        <v>0</v>
      </c>
      <c r="E3808">
        <v>0</v>
      </c>
      <c r="F3808">
        <f>COUNTIFS(mdr_rate_cleaned!$A$2:$A$10,B3808,mdr_rate_cleaned!$B$2:$B$10,"&lt;"&amp;C3808,mdr_rate_cleaned!$F$2:$F$10,"&gt;="&amp;C3808)</f>
        <v>1</v>
      </c>
      <c r="G3808">
        <v>0</v>
      </c>
      <c r="H3808">
        <v>0</v>
      </c>
      <c r="I3808" t="s">
        <v>15</v>
      </c>
      <c r="J3808" t="s">
        <v>15</v>
      </c>
      <c r="K3808">
        <v>0</v>
      </c>
      <c r="L3808">
        <v>0</v>
      </c>
    </row>
    <row r="3809" spans="1:12" x14ac:dyDescent="0.3">
      <c r="A3809" t="s">
        <v>3825</v>
      </c>
      <c r="B3809" t="s">
        <v>21</v>
      </c>
      <c r="C3809">
        <v>349</v>
      </c>
      <c r="D3809">
        <v>0</v>
      </c>
      <c r="E3809">
        <v>0</v>
      </c>
      <c r="F3809">
        <f>COUNTIFS(mdr_rate_cleaned!$A$2:$A$10,B3809,mdr_rate_cleaned!$B$2:$B$10,"&lt;"&amp;C3809,mdr_rate_cleaned!$F$2:$F$10,"&gt;="&amp;C3809)</f>
        <v>1</v>
      </c>
      <c r="G3809">
        <v>0</v>
      </c>
      <c r="H3809">
        <v>0</v>
      </c>
      <c r="I3809" t="s">
        <v>15</v>
      </c>
      <c r="J3809" t="s">
        <v>15</v>
      </c>
      <c r="K3809">
        <v>0</v>
      </c>
      <c r="L3809">
        <v>0</v>
      </c>
    </row>
    <row r="3810" spans="1:12" x14ac:dyDescent="0.3">
      <c r="A3810" t="s">
        <v>3826</v>
      </c>
      <c r="B3810" t="s">
        <v>21</v>
      </c>
      <c r="C3810">
        <v>4298</v>
      </c>
      <c r="D3810">
        <v>12.89</v>
      </c>
      <c r="E3810">
        <v>2.3199999999999998</v>
      </c>
      <c r="F3810">
        <f>COUNTIFS(mdr_rate_cleaned!$A$2:$A$10,B3810,mdr_rate_cleaned!$B$2:$B$10,"&lt;"&amp;C3810,mdr_rate_cleaned!$F$2:$F$10,"&gt;="&amp;C3810)</f>
        <v>1</v>
      </c>
      <c r="G3810">
        <v>3.0000000000000001E-3</v>
      </c>
      <c r="H3810">
        <v>12.89</v>
      </c>
      <c r="I3810" t="s">
        <v>15</v>
      </c>
      <c r="J3810" t="s">
        <v>15</v>
      </c>
      <c r="K3810">
        <v>2.3199999999999998</v>
      </c>
      <c r="L3810">
        <v>0</v>
      </c>
    </row>
    <row r="3811" spans="1:12" x14ac:dyDescent="0.3">
      <c r="A3811" t="s">
        <v>3827</v>
      </c>
      <c r="B3811" t="s">
        <v>17</v>
      </c>
      <c r="C3811">
        <v>299</v>
      </c>
      <c r="D3811">
        <v>5.38</v>
      </c>
      <c r="E3811">
        <v>0.97</v>
      </c>
      <c r="F3811">
        <f>COUNTIFS(mdr_rate_cleaned!$A$2:$A$10,B3811,mdr_rate_cleaned!$B$2:$B$10,"&lt;"&amp;C3811,mdr_rate_cleaned!$F$2:$F$10,"&gt;="&amp;C3811)</f>
        <v>1</v>
      </c>
      <c r="G3811">
        <v>1.7999999999999999E-2</v>
      </c>
      <c r="H3811">
        <v>5.38</v>
      </c>
      <c r="I3811" t="s">
        <v>15</v>
      </c>
      <c r="J3811" t="s">
        <v>15</v>
      </c>
      <c r="K3811">
        <v>0.97</v>
      </c>
      <c r="L3811">
        <v>0</v>
      </c>
    </row>
    <row r="3812" spans="1:12" x14ac:dyDescent="0.3">
      <c r="A3812" t="s">
        <v>3828</v>
      </c>
      <c r="B3812" t="s">
        <v>39</v>
      </c>
      <c r="C3812">
        <v>8998</v>
      </c>
      <c r="D3812">
        <v>107.98</v>
      </c>
      <c r="E3812">
        <v>19.440000000000001</v>
      </c>
      <c r="F3812">
        <f>COUNTIFS(mdr_rate_cleaned!$A$2:$A$10,B3812,mdr_rate_cleaned!$B$2:$B$10,"&lt;"&amp;C3812,mdr_rate_cleaned!$F$2:$F$10,"&gt;="&amp;C3812)</f>
        <v>1</v>
      </c>
      <c r="G3812">
        <v>1.2E-2</v>
      </c>
      <c r="H3812">
        <v>107.98</v>
      </c>
      <c r="I3812" t="s">
        <v>15</v>
      </c>
      <c r="J3812" t="s">
        <v>15</v>
      </c>
      <c r="K3812">
        <v>19.440000000000001</v>
      </c>
      <c r="L3812">
        <v>0</v>
      </c>
    </row>
    <row r="3813" spans="1:12" x14ac:dyDescent="0.3">
      <c r="A3813" t="s">
        <v>3829</v>
      </c>
      <c r="B3813" t="s">
        <v>21</v>
      </c>
      <c r="C3813">
        <v>4999</v>
      </c>
      <c r="D3813">
        <v>15</v>
      </c>
      <c r="E3813">
        <v>2.7</v>
      </c>
      <c r="F3813">
        <f>COUNTIFS(mdr_rate_cleaned!$A$2:$A$10,B3813,mdr_rate_cleaned!$B$2:$B$10,"&lt;"&amp;C3813,mdr_rate_cleaned!$F$2:$F$10,"&gt;="&amp;C3813)</f>
        <v>1</v>
      </c>
      <c r="G3813">
        <v>3.0000000000000001E-3</v>
      </c>
      <c r="H3813">
        <v>15</v>
      </c>
      <c r="I3813" t="s">
        <v>15</v>
      </c>
      <c r="J3813" t="s">
        <v>15</v>
      </c>
      <c r="K3813">
        <v>2.7</v>
      </c>
      <c r="L3813">
        <v>0</v>
      </c>
    </row>
    <row r="3814" spans="1:12" x14ac:dyDescent="0.3">
      <c r="A3814" t="s">
        <v>3830</v>
      </c>
      <c r="B3814" t="s">
        <v>17</v>
      </c>
      <c r="C3814">
        <v>848</v>
      </c>
      <c r="D3814">
        <v>15.26</v>
      </c>
      <c r="E3814">
        <v>2.75</v>
      </c>
      <c r="F3814">
        <f>COUNTIFS(mdr_rate_cleaned!$A$2:$A$10,B3814,mdr_rate_cleaned!$B$2:$B$10,"&lt;"&amp;C3814,mdr_rate_cleaned!$F$2:$F$10,"&gt;="&amp;C3814)</f>
        <v>1</v>
      </c>
      <c r="G3814">
        <v>1.7999999999999999E-2</v>
      </c>
      <c r="H3814">
        <v>15.26</v>
      </c>
      <c r="I3814" t="s">
        <v>15</v>
      </c>
      <c r="J3814" t="s">
        <v>15</v>
      </c>
      <c r="K3814">
        <v>2.75</v>
      </c>
      <c r="L3814">
        <v>0</v>
      </c>
    </row>
    <row r="3815" spans="1:12" x14ac:dyDescent="0.3">
      <c r="A3815" t="s">
        <v>3831</v>
      </c>
      <c r="B3815" t="s">
        <v>21</v>
      </c>
      <c r="C3815">
        <v>2098</v>
      </c>
      <c r="D3815">
        <v>6.29</v>
      </c>
      <c r="E3815">
        <v>1.1299999999999999</v>
      </c>
      <c r="F3815">
        <f>COUNTIFS(mdr_rate_cleaned!$A$2:$A$10,B3815,mdr_rate_cleaned!$B$2:$B$10,"&lt;"&amp;C3815,mdr_rate_cleaned!$F$2:$F$10,"&gt;="&amp;C3815)</f>
        <v>1</v>
      </c>
      <c r="G3815">
        <v>3.0000000000000001E-3</v>
      </c>
      <c r="H3815">
        <v>6.29</v>
      </c>
      <c r="I3815" t="s">
        <v>15</v>
      </c>
      <c r="J3815" t="s">
        <v>15</v>
      </c>
      <c r="K3815">
        <v>1.1299999999999999</v>
      </c>
      <c r="L3815">
        <v>0</v>
      </c>
    </row>
    <row r="3816" spans="1:12" x14ac:dyDescent="0.3">
      <c r="A3816" t="s">
        <v>3832</v>
      </c>
      <c r="B3816" t="s">
        <v>21</v>
      </c>
      <c r="C3816">
        <v>11498</v>
      </c>
      <c r="D3816">
        <v>34.49</v>
      </c>
      <c r="E3816">
        <v>6.21</v>
      </c>
      <c r="F3816">
        <f>COUNTIFS(mdr_rate_cleaned!$A$2:$A$10,B3816,mdr_rate_cleaned!$B$2:$B$10,"&lt;"&amp;C3816,mdr_rate_cleaned!$F$2:$F$10,"&gt;="&amp;C3816)</f>
        <v>1</v>
      </c>
      <c r="G3816">
        <v>3.0000000000000001E-3</v>
      </c>
      <c r="H3816">
        <v>34.49</v>
      </c>
      <c r="I3816" t="s">
        <v>15</v>
      </c>
      <c r="J3816" t="s">
        <v>15</v>
      </c>
      <c r="K3816">
        <v>6.21</v>
      </c>
      <c r="L3816">
        <v>0</v>
      </c>
    </row>
    <row r="3817" spans="1:12" x14ac:dyDescent="0.3">
      <c r="A3817" t="s">
        <v>3833</v>
      </c>
      <c r="B3817" t="s">
        <v>17</v>
      </c>
      <c r="C3817">
        <v>2798</v>
      </c>
      <c r="D3817">
        <v>44.77</v>
      </c>
      <c r="E3817">
        <v>8.06</v>
      </c>
      <c r="F3817">
        <f>COUNTIFS(mdr_rate_cleaned!$A$2:$A$10,B3817,mdr_rate_cleaned!$B$2:$B$10,"&lt;"&amp;C3817,mdr_rate_cleaned!$F$2:$F$10,"&gt;="&amp;C3817)</f>
        <v>1</v>
      </c>
      <c r="G3817">
        <v>1.6E-2</v>
      </c>
      <c r="H3817">
        <v>44.77</v>
      </c>
      <c r="I3817" t="s">
        <v>15</v>
      </c>
      <c r="J3817" t="s">
        <v>15</v>
      </c>
      <c r="K3817">
        <v>8.06</v>
      </c>
      <c r="L3817">
        <v>0</v>
      </c>
    </row>
    <row r="3818" spans="1:12" x14ac:dyDescent="0.3">
      <c r="A3818" t="s">
        <v>3834</v>
      </c>
      <c r="B3818" t="s">
        <v>17</v>
      </c>
      <c r="C3818">
        <v>8998</v>
      </c>
      <c r="D3818">
        <v>143.97</v>
      </c>
      <c r="E3818">
        <v>25.91</v>
      </c>
      <c r="F3818">
        <f>COUNTIFS(mdr_rate_cleaned!$A$2:$A$10,B3818,mdr_rate_cleaned!$B$2:$B$10,"&lt;"&amp;C3818,mdr_rate_cleaned!$F$2:$F$10,"&gt;="&amp;C3818)</f>
        <v>1</v>
      </c>
      <c r="G3818">
        <v>1.6E-2</v>
      </c>
      <c r="H3818">
        <v>143.97</v>
      </c>
      <c r="I3818" t="s">
        <v>15</v>
      </c>
      <c r="J3818" t="s">
        <v>15</v>
      </c>
      <c r="K3818">
        <v>25.91</v>
      </c>
      <c r="L3818">
        <v>0</v>
      </c>
    </row>
    <row r="3819" spans="1:12" x14ac:dyDescent="0.3">
      <c r="A3819" t="s">
        <v>3835</v>
      </c>
      <c r="B3819" t="s">
        <v>21</v>
      </c>
      <c r="C3819">
        <v>9298</v>
      </c>
      <c r="D3819">
        <v>27.89</v>
      </c>
      <c r="E3819">
        <v>5.0199999999999996</v>
      </c>
      <c r="F3819">
        <f>COUNTIFS(mdr_rate_cleaned!$A$2:$A$10,B3819,mdr_rate_cleaned!$B$2:$B$10,"&lt;"&amp;C3819,mdr_rate_cleaned!$F$2:$F$10,"&gt;="&amp;C3819)</f>
        <v>1</v>
      </c>
      <c r="G3819">
        <v>3.0000000000000001E-3</v>
      </c>
      <c r="H3819">
        <v>27.89</v>
      </c>
      <c r="I3819" t="s">
        <v>15</v>
      </c>
      <c r="J3819" t="s">
        <v>15</v>
      </c>
      <c r="K3819">
        <v>5.0199999999999996</v>
      </c>
      <c r="L3819">
        <v>0</v>
      </c>
    </row>
    <row r="3820" spans="1:12" x14ac:dyDescent="0.3">
      <c r="A3820" t="s">
        <v>3836</v>
      </c>
      <c r="B3820" t="s">
        <v>21</v>
      </c>
      <c r="C3820">
        <v>1499</v>
      </c>
      <c r="D3820">
        <v>0</v>
      </c>
      <c r="E3820">
        <v>0</v>
      </c>
      <c r="F3820">
        <f>COUNTIFS(mdr_rate_cleaned!$A$2:$A$10,B3820,mdr_rate_cleaned!$B$2:$B$10,"&lt;"&amp;C3820,mdr_rate_cleaned!$F$2:$F$10,"&gt;="&amp;C3820)</f>
        <v>1</v>
      </c>
      <c r="G3820">
        <v>0</v>
      </c>
      <c r="H3820">
        <v>0</v>
      </c>
      <c r="I3820" t="s">
        <v>15</v>
      </c>
      <c r="J3820" t="s">
        <v>15</v>
      </c>
      <c r="K3820">
        <v>0</v>
      </c>
      <c r="L3820">
        <v>0</v>
      </c>
    </row>
    <row r="3821" spans="1:12" x14ac:dyDescent="0.3">
      <c r="A3821" t="s">
        <v>3837</v>
      </c>
      <c r="B3821" t="s">
        <v>17</v>
      </c>
      <c r="C3821">
        <v>1598</v>
      </c>
      <c r="D3821">
        <v>28.76</v>
      </c>
      <c r="E3821">
        <v>5.18</v>
      </c>
      <c r="F3821">
        <f>COUNTIFS(mdr_rate_cleaned!$A$2:$A$10,B3821,mdr_rate_cleaned!$B$2:$B$10,"&lt;"&amp;C3821,mdr_rate_cleaned!$F$2:$F$10,"&gt;="&amp;C3821)</f>
        <v>1</v>
      </c>
      <c r="G3821">
        <v>1.7999999999999999E-2</v>
      </c>
      <c r="H3821">
        <v>28.76</v>
      </c>
      <c r="I3821" t="s">
        <v>15</v>
      </c>
      <c r="J3821" t="s">
        <v>15</v>
      </c>
      <c r="K3821">
        <v>5.18</v>
      </c>
      <c r="L3821">
        <v>0</v>
      </c>
    </row>
    <row r="3822" spans="1:12" x14ac:dyDescent="0.3">
      <c r="A3822" t="s">
        <v>3838</v>
      </c>
      <c r="B3822" t="s">
        <v>21</v>
      </c>
      <c r="C3822">
        <v>7999</v>
      </c>
      <c r="D3822">
        <v>24</v>
      </c>
      <c r="E3822">
        <v>4.32</v>
      </c>
      <c r="F3822">
        <f>COUNTIFS(mdr_rate_cleaned!$A$2:$A$10,B3822,mdr_rate_cleaned!$B$2:$B$10,"&lt;"&amp;C3822,mdr_rate_cleaned!$F$2:$F$10,"&gt;="&amp;C3822)</f>
        <v>1</v>
      </c>
      <c r="G3822">
        <v>3.0000000000000001E-3</v>
      </c>
      <c r="H3822">
        <v>24</v>
      </c>
      <c r="I3822" t="s">
        <v>15</v>
      </c>
      <c r="J3822" t="s">
        <v>15</v>
      </c>
      <c r="K3822">
        <v>4.32</v>
      </c>
      <c r="L3822">
        <v>0</v>
      </c>
    </row>
    <row r="3823" spans="1:12" x14ac:dyDescent="0.3">
      <c r="A3823" t="s">
        <v>3839</v>
      </c>
      <c r="B3823" t="s">
        <v>21</v>
      </c>
      <c r="C3823">
        <v>1647</v>
      </c>
      <c r="D3823">
        <v>0</v>
      </c>
      <c r="E3823">
        <v>0</v>
      </c>
      <c r="F3823">
        <f>COUNTIFS(mdr_rate_cleaned!$A$2:$A$10,B3823,mdr_rate_cleaned!$B$2:$B$10,"&lt;"&amp;C3823,mdr_rate_cleaned!$F$2:$F$10,"&gt;="&amp;C3823)</f>
        <v>1</v>
      </c>
      <c r="G3823">
        <v>0</v>
      </c>
      <c r="H3823">
        <v>0</v>
      </c>
      <c r="I3823" t="s">
        <v>15</v>
      </c>
      <c r="J3823" t="s">
        <v>15</v>
      </c>
      <c r="K3823">
        <v>0</v>
      </c>
      <c r="L3823">
        <v>0</v>
      </c>
    </row>
    <row r="3824" spans="1:12" x14ac:dyDescent="0.3">
      <c r="A3824" t="s">
        <v>3840</v>
      </c>
      <c r="B3824" t="s">
        <v>21</v>
      </c>
      <c r="C3824">
        <v>2797</v>
      </c>
      <c r="D3824">
        <v>8.39</v>
      </c>
      <c r="E3824">
        <v>1.51</v>
      </c>
      <c r="F3824">
        <f>COUNTIFS(mdr_rate_cleaned!$A$2:$A$10,B3824,mdr_rate_cleaned!$B$2:$B$10,"&lt;"&amp;C3824,mdr_rate_cleaned!$F$2:$F$10,"&gt;="&amp;C3824)</f>
        <v>1</v>
      </c>
      <c r="G3824">
        <v>3.0000000000000001E-3</v>
      </c>
      <c r="H3824">
        <v>8.39</v>
      </c>
      <c r="I3824" t="s">
        <v>15</v>
      </c>
      <c r="J3824" t="s">
        <v>15</v>
      </c>
      <c r="K3824">
        <v>1.51</v>
      </c>
      <c r="L3824">
        <v>0</v>
      </c>
    </row>
    <row r="3825" spans="1:12" x14ac:dyDescent="0.3">
      <c r="A3825" t="s">
        <v>3841</v>
      </c>
      <c r="B3825" t="s">
        <v>21</v>
      </c>
      <c r="C3825">
        <v>1499</v>
      </c>
      <c r="D3825">
        <v>0</v>
      </c>
      <c r="E3825">
        <v>0</v>
      </c>
      <c r="F3825">
        <f>COUNTIFS(mdr_rate_cleaned!$A$2:$A$10,B3825,mdr_rate_cleaned!$B$2:$B$10,"&lt;"&amp;C3825,mdr_rate_cleaned!$F$2:$F$10,"&gt;="&amp;C3825)</f>
        <v>1</v>
      </c>
      <c r="G3825">
        <v>0</v>
      </c>
      <c r="H3825">
        <v>0</v>
      </c>
      <c r="I3825" t="s">
        <v>15</v>
      </c>
      <c r="J3825" t="s">
        <v>15</v>
      </c>
      <c r="K3825">
        <v>0</v>
      </c>
      <c r="L3825">
        <v>0</v>
      </c>
    </row>
    <row r="3826" spans="1:12" x14ac:dyDescent="0.3">
      <c r="A3826" t="s">
        <v>3842</v>
      </c>
      <c r="B3826" t="s">
        <v>21</v>
      </c>
      <c r="C3826">
        <v>1499</v>
      </c>
      <c r="D3826">
        <v>0</v>
      </c>
      <c r="E3826">
        <v>0</v>
      </c>
      <c r="F3826">
        <f>COUNTIFS(mdr_rate_cleaned!$A$2:$A$10,B3826,mdr_rate_cleaned!$B$2:$B$10,"&lt;"&amp;C3826,mdr_rate_cleaned!$F$2:$F$10,"&gt;="&amp;C3826)</f>
        <v>1</v>
      </c>
      <c r="G3826">
        <v>0</v>
      </c>
      <c r="H3826">
        <v>0</v>
      </c>
      <c r="I3826" t="s">
        <v>15</v>
      </c>
      <c r="J3826" t="s">
        <v>15</v>
      </c>
      <c r="K3826">
        <v>0</v>
      </c>
      <c r="L3826">
        <v>0</v>
      </c>
    </row>
    <row r="3827" spans="1:12" x14ac:dyDescent="0.3">
      <c r="A3827" t="s">
        <v>3843</v>
      </c>
      <c r="B3827" t="s">
        <v>21</v>
      </c>
      <c r="C3827">
        <v>8597</v>
      </c>
      <c r="D3827">
        <v>25.79</v>
      </c>
      <c r="E3827">
        <v>4.6399999999999997</v>
      </c>
      <c r="F3827">
        <f>COUNTIFS(mdr_rate_cleaned!$A$2:$A$10,B3827,mdr_rate_cleaned!$B$2:$B$10,"&lt;"&amp;C3827,mdr_rate_cleaned!$F$2:$F$10,"&gt;="&amp;C3827)</f>
        <v>1</v>
      </c>
      <c r="G3827">
        <v>3.0000000000000001E-3</v>
      </c>
      <c r="H3827">
        <v>25.79</v>
      </c>
      <c r="I3827" t="s">
        <v>15</v>
      </c>
      <c r="J3827" t="s">
        <v>15</v>
      </c>
      <c r="K3827">
        <v>4.6399999999999997</v>
      </c>
      <c r="L3827">
        <v>0</v>
      </c>
    </row>
    <row r="3828" spans="1:12" x14ac:dyDescent="0.3">
      <c r="A3828" t="s">
        <v>3844</v>
      </c>
      <c r="B3828" t="s">
        <v>21</v>
      </c>
      <c r="C3828">
        <v>1299</v>
      </c>
      <c r="D3828">
        <v>0</v>
      </c>
      <c r="E3828">
        <v>0</v>
      </c>
      <c r="F3828">
        <f>COUNTIFS(mdr_rate_cleaned!$A$2:$A$10,B3828,mdr_rate_cleaned!$B$2:$B$10,"&lt;"&amp;C3828,mdr_rate_cleaned!$F$2:$F$10,"&gt;="&amp;C3828)</f>
        <v>1</v>
      </c>
      <c r="G3828">
        <v>0</v>
      </c>
      <c r="H3828">
        <v>0</v>
      </c>
      <c r="I3828" t="s">
        <v>15</v>
      </c>
      <c r="J3828" t="s">
        <v>15</v>
      </c>
      <c r="K3828">
        <v>0</v>
      </c>
      <c r="L3828">
        <v>0</v>
      </c>
    </row>
    <row r="3829" spans="1:12" x14ac:dyDescent="0.3">
      <c r="A3829" t="s">
        <v>3845</v>
      </c>
      <c r="B3829" t="s">
        <v>17</v>
      </c>
      <c r="C3829">
        <v>2297</v>
      </c>
      <c r="D3829">
        <v>36.75</v>
      </c>
      <c r="E3829">
        <v>6.62</v>
      </c>
      <c r="F3829">
        <f>COUNTIFS(mdr_rate_cleaned!$A$2:$A$10,B3829,mdr_rate_cleaned!$B$2:$B$10,"&lt;"&amp;C3829,mdr_rate_cleaned!$F$2:$F$10,"&gt;="&amp;C3829)</f>
        <v>1</v>
      </c>
      <c r="G3829">
        <v>1.6E-2</v>
      </c>
      <c r="H3829">
        <v>36.75</v>
      </c>
      <c r="I3829" t="s">
        <v>15</v>
      </c>
      <c r="J3829" t="s">
        <v>15</v>
      </c>
      <c r="K3829">
        <v>6.62</v>
      </c>
      <c r="L3829">
        <v>0</v>
      </c>
    </row>
    <row r="3830" spans="1:12" x14ac:dyDescent="0.3">
      <c r="A3830" t="s">
        <v>3846</v>
      </c>
      <c r="B3830" t="s">
        <v>39</v>
      </c>
      <c r="C3830">
        <v>1598</v>
      </c>
      <c r="D3830">
        <v>23.97</v>
      </c>
      <c r="E3830">
        <v>4.3099999999999996</v>
      </c>
      <c r="F3830">
        <f>COUNTIFS(mdr_rate_cleaned!$A$2:$A$10,B3830,mdr_rate_cleaned!$B$2:$B$10,"&lt;"&amp;C3830,mdr_rate_cleaned!$F$2:$F$10,"&gt;="&amp;C3830)</f>
        <v>1</v>
      </c>
      <c r="G3830">
        <v>1.4999999999999999E-2</v>
      </c>
      <c r="H3830">
        <v>23.97</v>
      </c>
      <c r="I3830" t="s">
        <v>15</v>
      </c>
      <c r="J3830" t="s">
        <v>15</v>
      </c>
      <c r="K3830">
        <v>4.3099999999999996</v>
      </c>
      <c r="L3830">
        <v>0</v>
      </c>
    </row>
    <row r="3831" spans="1:12" x14ac:dyDescent="0.3">
      <c r="A3831" t="s">
        <v>3847</v>
      </c>
      <c r="B3831" t="s">
        <v>17</v>
      </c>
      <c r="C3831">
        <v>1799</v>
      </c>
      <c r="D3831">
        <v>32.380000000000003</v>
      </c>
      <c r="E3831">
        <v>5.83</v>
      </c>
      <c r="F3831">
        <f>COUNTIFS(mdr_rate_cleaned!$A$2:$A$10,B3831,mdr_rate_cleaned!$B$2:$B$10,"&lt;"&amp;C3831,mdr_rate_cleaned!$F$2:$F$10,"&gt;="&amp;C3831)</f>
        <v>1</v>
      </c>
      <c r="G3831">
        <v>1.7999999999999999E-2</v>
      </c>
      <c r="H3831">
        <v>32.380000000000003</v>
      </c>
      <c r="I3831" t="s">
        <v>15</v>
      </c>
      <c r="J3831" t="s">
        <v>15</v>
      </c>
      <c r="K3831">
        <v>5.83</v>
      </c>
      <c r="L3831">
        <v>0</v>
      </c>
    </row>
    <row r="3832" spans="1:12" x14ac:dyDescent="0.3">
      <c r="A3832" t="s">
        <v>3848</v>
      </c>
      <c r="B3832" t="s">
        <v>21</v>
      </c>
      <c r="C3832">
        <v>5298</v>
      </c>
      <c r="D3832">
        <v>15.89</v>
      </c>
      <c r="E3832">
        <v>2.86</v>
      </c>
      <c r="F3832">
        <f>COUNTIFS(mdr_rate_cleaned!$A$2:$A$10,B3832,mdr_rate_cleaned!$B$2:$B$10,"&lt;"&amp;C3832,mdr_rate_cleaned!$F$2:$F$10,"&gt;="&amp;C3832)</f>
        <v>1</v>
      </c>
      <c r="G3832">
        <v>3.0000000000000001E-3</v>
      </c>
      <c r="H3832">
        <v>15.89</v>
      </c>
      <c r="I3832" t="s">
        <v>15</v>
      </c>
      <c r="J3832" t="s">
        <v>15</v>
      </c>
      <c r="K3832">
        <v>2.86</v>
      </c>
      <c r="L3832">
        <v>0</v>
      </c>
    </row>
    <row r="3833" spans="1:12" x14ac:dyDescent="0.3">
      <c r="A3833" t="s">
        <v>3849</v>
      </c>
      <c r="B3833" t="s">
        <v>39</v>
      </c>
      <c r="C3833">
        <v>2298</v>
      </c>
      <c r="D3833">
        <v>27.58</v>
      </c>
      <c r="E3833">
        <v>4.96</v>
      </c>
      <c r="F3833">
        <f>COUNTIFS(mdr_rate_cleaned!$A$2:$A$10,B3833,mdr_rate_cleaned!$B$2:$B$10,"&lt;"&amp;C3833,mdr_rate_cleaned!$F$2:$F$10,"&gt;="&amp;C3833)</f>
        <v>1</v>
      </c>
      <c r="G3833">
        <v>1.2E-2</v>
      </c>
      <c r="H3833">
        <v>27.58</v>
      </c>
      <c r="I3833" t="s">
        <v>15</v>
      </c>
      <c r="J3833" t="s">
        <v>15</v>
      </c>
      <c r="K3833">
        <v>4.96</v>
      </c>
      <c r="L3833">
        <v>0</v>
      </c>
    </row>
    <row r="3834" spans="1:12" x14ac:dyDescent="0.3">
      <c r="A3834" t="s">
        <v>3850</v>
      </c>
      <c r="B3834" t="s">
        <v>13</v>
      </c>
      <c r="C3834">
        <v>599</v>
      </c>
      <c r="D3834">
        <v>11.38</v>
      </c>
      <c r="E3834">
        <v>2.0499999999999998</v>
      </c>
      <c r="F3834">
        <f>COUNTIFS(mdr_rate_cleaned!$A$2:$A$10,B3834,mdr_rate_cleaned!$B$2:$B$10,"&lt;"&amp;C3834,mdr_rate_cleaned!$F$2:$F$10,"&gt;="&amp;C3834)</f>
        <v>1</v>
      </c>
      <c r="G3834">
        <v>1.9E-2</v>
      </c>
      <c r="H3834">
        <v>11.38</v>
      </c>
      <c r="I3834" t="s">
        <v>15</v>
      </c>
      <c r="J3834" t="s">
        <v>15</v>
      </c>
      <c r="K3834">
        <v>2.0499999999999998</v>
      </c>
      <c r="L3834">
        <v>0</v>
      </c>
    </row>
    <row r="3835" spans="1:12" x14ac:dyDescent="0.3">
      <c r="A3835" t="s">
        <v>3851</v>
      </c>
      <c r="B3835" t="s">
        <v>17</v>
      </c>
      <c r="C3835">
        <v>999</v>
      </c>
      <c r="D3835">
        <v>17.98</v>
      </c>
      <c r="E3835">
        <v>3.24</v>
      </c>
      <c r="F3835">
        <f>COUNTIFS(mdr_rate_cleaned!$A$2:$A$10,B3835,mdr_rate_cleaned!$B$2:$B$10,"&lt;"&amp;C3835,mdr_rate_cleaned!$F$2:$F$10,"&gt;="&amp;C3835)</f>
        <v>1</v>
      </c>
      <c r="G3835">
        <v>1.7999999999999999E-2</v>
      </c>
      <c r="H3835">
        <v>17.98</v>
      </c>
      <c r="I3835" t="s">
        <v>15</v>
      </c>
      <c r="J3835" t="s">
        <v>15</v>
      </c>
      <c r="K3835">
        <v>3.24</v>
      </c>
      <c r="L3835">
        <v>0</v>
      </c>
    </row>
    <row r="3836" spans="1:12" x14ac:dyDescent="0.3">
      <c r="A3836" t="s">
        <v>3852</v>
      </c>
      <c r="B3836" t="s">
        <v>21</v>
      </c>
      <c r="C3836">
        <v>1398</v>
      </c>
      <c r="D3836">
        <v>0</v>
      </c>
      <c r="E3836">
        <v>0</v>
      </c>
      <c r="F3836">
        <f>COUNTIFS(mdr_rate_cleaned!$A$2:$A$10,B3836,mdr_rate_cleaned!$B$2:$B$10,"&lt;"&amp;C3836,mdr_rate_cleaned!$F$2:$F$10,"&gt;="&amp;C3836)</f>
        <v>1</v>
      </c>
      <c r="G3836">
        <v>0</v>
      </c>
      <c r="H3836">
        <v>0</v>
      </c>
      <c r="I3836" t="s">
        <v>15</v>
      </c>
      <c r="J3836" t="s">
        <v>15</v>
      </c>
      <c r="K3836">
        <v>0</v>
      </c>
      <c r="L3836">
        <v>0</v>
      </c>
    </row>
    <row r="3837" spans="1:12" x14ac:dyDescent="0.3">
      <c r="A3837" t="s">
        <v>3853</v>
      </c>
      <c r="B3837" t="s">
        <v>13</v>
      </c>
      <c r="C3837">
        <v>499</v>
      </c>
      <c r="D3837">
        <v>9.48</v>
      </c>
      <c r="E3837">
        <v>1.71</v>
      </c>
      <c r="F3837">
        <f>COUNTIFS(mdr_rate_cleaned!$A$2:$A$10,B3837,mdr_rate_cleaned!$B$2:$B$10,"&lt;"&amp;C3837,mdr_rate_cleaned!$F$2:$F$10,"&gt;="&amp;C3837)</f>
        <v>1</v>
      </c>
      <c r="G3837">
        <v>1.9E-2</v>
      </c>
      <c r="H3837">
        <v>9.48</v>
      </c>
      <c r="I3837" t="s">
        <v>15</v>
      </c>
      <c r="J3837" t="s">
        <v>15</v>
      </c>
      <c r="K3837">
        <v>1.71</v>
      </c>
      <c r="L3837">
        <v>0</v>
      </c>
    </row>
    <row r="3838" spans="1:12" x14ac:dyDescent="0.3">
      <c r="A3838" t="s">
        <v>3854</v>
      </c>
      <c r="B3838" t="s">
        <v>21</v>
      </c>
      <c r="C3838">
        <v>799</v>
      </c>
      <c r="D3838">
        <v>0</v>
      </c>
      <c r="E3838">
        <v>0</v>
      </c>
      <c r="F3838">
        <f>COUNTIFS(mdr_rate_cleaned!$A$2:$A$10,B3838,mdr_rate_cleaned!$B$2:$B$10,"&lt;"&amp;C3838,mdr_rate_cleaned!$F$2:$F$10,"&gt;="&amp;C3838)</f>
        <v>1</v>
      </c>
      <c r="G3838">
        <v>0</v>
      </c>
      <c r="H3838">
        <v>0</v>
      </c>
      <c r="I3838" t="s">
        <v>15</v>
      </c>
      <c r="J3838" t="s">
        <v>15</v>
      </c>
      <c r="K3838">
        <v>0</v>
      </c>
      <c r="L3838">
        <v>0</v>
      </c>
    </row>
    <row r="3839" spans="1:12" x14ac:dyDescent="0.3">
      <c r="A3839" t="s">
        <v>3855</v>
      </c>
      <c r="B3839" t="s">
        <v>13</v>
      </c>
      <c r="C3839">
        <v>6498</v>
      </c>
      <c r="D3839">
        <v>110.47</v>
      </c>
      <c r="E3839">
        <v>19.88</v>
      </c>
      <c r="F3839">
        <f>COUNTIFS(mdr_rate_cleaned!$A$2:$A$10,B3839,mdr_rate_cleaned!$B$2:$B$10,"&lt;"&amp;C3839,mdr_rate_cleaned!$F$2:$F$10,"&gt;="&amp;C3839)</f>
        <v>1</v>
      </c>
      <c r="G3839">
        <v>1.7000000000000001E-2</v>
      </c>
      <c r="H3839">
        <v>110.47</v>
      </c>
      <c r="I3839" t="s">
        <v>15</v>
      </c>
      <c r="J3839" t="s">
        <v>15</v>
      </c>
      <c r="K3839">
        <v>19.88</v>
      </c>
      <c r="L3839">
        <v>0</v>
      </c>
    </row>
    <row r="3840" spans="1:12" x14ac:dyDescent="0.3">
      <c r="A3840" t="s">
        <v>3856</v>
      </c>
      <c r="B3840" t="s">
        <v>21</v>
      </c>
      <c r="C3840">
        <v>4797</v>
      </c>
      <c r="D3840">
        <v>14.39</v>
      </c>
      <c r="E3840">
        <v>2.59</v>
      </c>
      <c r="F3840">
        <f>COUNTIFS(mdr_rate_cleaned!$A$2:$A$10,B3840,mdr_rate_cleaned!$B$2:$B$10,"&lt;"&amp;C3840,mdr_rate_cleaned!$F$2:$F$10,"&gt;="&amp;C3840)</f>
        <v>1</v>
      </c>
      <c r="G3840">
        <v>3.0000000000000001E-3</v>
      </c>
      <c r="H3840">
        <v>14.39</v>
      </c>
      <c r="I3840" t="s">
        <v>15</v>
      </c>
      <c r="J3840" t="s">
        <v>15</v>
      </c>
      <c r="K3840">
        <v>2.59</v>
      </c>
      <c r="L3840">
        <v>0</v>
      </c>
    </row>
    <row r="3841" spans="1:12" x14ac:dyDescent="0.3">
      <c r="A3841" t="s">
        <v>3857</v>
      </c>
      <c r="B3841" t="s">
        <v>21</v>
      </c>
      <c r="C3841">
        <v>1799</v>
      </c>
      <c r="D3841">
        <v>0</v>
      </c>
      <c r="E3841">
        <v>0</v>
      </c>
      <c r="F3841">
        <f>COUNTIFS(mdr_rate_cleaned!$A$2:$A$10,B3841,mdr_rate_cleaned!$B$2:$B$10,"&lt;"&amp;C3841,mdr_rate_cleaned!$F$2:$F$10,"&gt;="&amp;C3841)</f>
        <v>1</v>
      </c>
      <c r="G3841">
        <v>0</v>
      </c>
      <c r="H3841">
        <v>0</v>
      </c>
      <c r="I3841" t="s">
        <v>15</v>
      </c>
      <c r="J3841" t="s">
        <v>15</v>
      </c>
      <c r="K3841">
        <v>0</v>
      </c>
      <c r="L3841">
        <v>0</v>
      </c>
    </row>
    <row r="3842" spans="1:12" x14ac:dyDescent="0.3">
      <c r="A3842" t="s">
        <v>3858</v>
      </c>
      <c r="B3842" t="s">
        <v>21</v>
      </c>
      <c r="C3842">
        <v>4498</v>
      </c>
      <c r="D3842">
        <v>13.49</v>
      </c>
      <c r="E3842">
        <v>2.4300000000000002</v>
      </c>
      <c r="F3842">
        <f>COUNTIFS(mdr_rate_cleaned!$A$2:$A$10,B3842,mdr_rate_cleaned!$B$2:$B$10,"&lt;"&amp;C3842,mdr_rate_cleaned!$F$2:$F$10,"&gt;="&amp;C3842)</f>
        <v>1</v>
      </c>
      <c r="G3842">
        <v>3.0000000000000001E-3</v>
      </c>
      <c r="H3842">
        <v>13.49</v>
      </c>
      <c r="I3842" t="s">
        <v>15</v>
      </c>
      <c r="J3842" t="s">
        <v>15</v>
      </c>
      <c r="K3842">
        <v>2.4300000000000002</v>
      </c>
      <c r="L3842">
        <v>0</v>
      </c>
    </row>
    <row r="3843" spans="1:12" x14ac:dyDescent="0.3">
      <c r="A3843" t="s">
        <v>3859</v>
      </c>
      <c r="B3843" t="s">
        <v>39</v>
      </c>
      <c r="C3843">
        <v>1898</v>
      </c>
      <c r="D3843">
        <v>28.47</v>
      </c>
      <c r="E3843">
        <v>5.12</v>
      </c>
      <c r="F3843">
        <f>COUNTIFS(mdr_rate_cleaned!$A$2:$A$10,B3843,mdr_rate_cleaned!$B$2:$B$10,"&lt;"&amp;C3843,mdr_rate_cleaned!$F$2:$F$10,"&gt;="&amp;C3843)</f>
        <v>1</v>
      </c>
      <c r="G3843">
        <v>1.4999999999999999E-2</v>
      </c>
      <c r="H3843">
        <v>28.47</v>
      </c>
      <c r="I3843" t="s">
        <v>15</v>
      </c>
      <c r="J3843" t="s">
        <v>15</v>
      </c>
      <c r="K3843">
        <v>5.12</v>
      </c>
      <c r="L3843">
        <v>0</v>
      </c>
    </row>
    <row r="3844" spans="1:12" x14ac:dyDescent="0.3">
      <c r="A3844" t="s">
        <v>3860</v>
      </c>
      <c r="B3844" t="s">
        <v>13</v>
      </c>
      <c r="C3844">
        <v>6498</v>
      </c>
      <c r="D3844">
        <v>110.47</v>
      </c>
      <c r="E3844">
        <v>19.88</v>
      </c>
      <c r="F3844">
        <f>COUNTIFS(mdr_rate_cleaned!$A$2:$A$10,B3844,mdr_rate_cleaned!$B$2:$B$10,"&lt;"&amp;C3844,mdr_rate_cleaned!$F$2:$F$10,"&gt;="&amp;C3844)</f>
        <v>1</v>
      </c>
      <c r="G3844">
        <v>1.7000000000000001E-2</v>
      </c>
      <c r="H3844">
        <v>110.47</v>
      </c>
      <c r="I3844" t="s">
        <v>15</v>
      </c>
      <c r="J3844" t="s">
        <v>15</v>
      </c>
      <c r="K3844">
        <v>19.88</v>
      </c>
      <c r="L3844">
        <v>0</v>
      </c>
    </row>
    <row r="3845" spans="1:12" x14ac:dyDescent="0.3">
      <c r="A3845" t="s">
        <v>3861</v>
      </c>
      <c r="B3845" t="s">
        <v>21</v>
      </c>
      <c r="C3845">
        <v>2499</v>
      </c>
      <c r="D3845">
        <v>7.5</v>
      </c>
      <c r="E3845">
        <v>1.35</v>
      </c>
      <c r="F3845">
        <f>COUNTIFS(mdr_rate_cleaned!$A$2:$A$10,B3845,mdr_rate_cleaned!$B$2:$B$10,"&lt;"&amp;C3845,mdr_rate_cleaned!$F$2:$F$10,"&gt;="&amp;C3845)</f>
        <v>1</v>
      </c>
      <c r="G3845">
        <v>3.0000000000000001E-3</v>
      </c>
      <c r="H3845">
        <v>7.5</v>
      </c>
      <c r="I3845" t="s">
        <v>15</v>
      </c>
      <c r="J3845" t="s">
        <v>15</v>
      </c>
      <c r="K3845">
        <v>1.35</v>
      </c>
      <c r="L3845">
        <v>0</v>
      </c>
    </row>
    <row r="3846" spans="1:12" x14ac:dyDescent="0.3">
      <c r="A3846" t="s">
        <v>3862</v>
      </c>
      <c r="B3846" t="s">
        <v>21</v>
      </c>
      <c r="C3846">
        <v>299</v>
      </c>
      <c r="D3846">
        <v>0</v>
      </c>
      <c r="E3846">
        <v>0</v>
      </c>
      <c r="F3846">
        <f>COUNTIFS(mdr_rate_cleaned!$A$2:$A$10,B3846,mdr_rate_cleaned!$B$2:$B$10,"&lt;"&amp;C3846,mdr_rate_cleaned!$F$2:$F$10,"&gt;="&amp;C3846)</f>
        <v>1</v>
      </c>
      <c r="G3846">
        <v>0</v>
      </c>
      <c r="H3846">
        <v>0</v>
      </c>
      <c r="I3846" t="s">
        <v>15</v>
      </c>
      <c r="J3846" t="s">
        <v>15</v>
      </c>
      <c r="K3846">
        <v>0</v>
      </c>
      <c r="L3846">
        <v>0</v>
      </c>
    </row>
    <row r="3847" spans="1:12" x14ac:dyDescent="0.3">
      <c r="A3847" t="s">
        <v>3863</v>
      </c>
      <c r="B3847" t="s">
        <v>21</v>
      </c>
      <c r="C3847">
        <v>599</v>
      </c>
      <c r="D3847">
        <v>0</v>
      </c>
      <c r="E3847">
        <v>0</v>
      </c>
      <c r="F3847">
        <f>COUNTIFS(mdr_rate_cleaned!$A$2:$A$10,B3847,mdr_rate_cleaned!$B$2:$B$10,"&lt;"&amp;C3847,mdr_rate_cleaned!$F$2:$F$10,"&gt;="&amp;C3847)</f>
        <v>1</v>
      </c>
      <c r="G3847">
        <v>0</v>
      </c>
      <c r="H3847">
        <v>0</v>
      </c>
      <c r="I3847" t="s">
        <v>15</v>
      </c>
      <c r="J3847" t="s">
        <v>15</v>
      </c>
      <c r="K3847">
        <v>0</v>
      </c>
      <c r="L3847">
        <v>0</v>
      </c>
    </row>
    <row r="3848" spans="1:12" x14ac:dyDescent="0.3">
      <c r="A3848" t="s">
        <v>3864</v>
      </c>
      <c r="B3848" t="s">
        <v>21</v>
      </c>
      <c r="C3848">
        <v>3499</v>
      </c>
      <c r="D3848">
        <v>10.5</v>
      </c>
      <c r="E3848">
        <v>1.89</v>
      </c>
      <c r="F3848">
        <f>COUNTIFS(mdr_rate_cleaned!$A$2:$A$10,B3848,mdr_rate_cleaned!$B$2:$B$10,"&lt;"&amp;C3848,mdr_rate_cleaned!$F$2:$F$10,"&gt;="&amp;C3848)</f>
        <v>1</v>
      </c>
      <c r="G3848">
        <v>3.0000000000000001E-3</v>
      </c>
      <c r="H3848">
        <v>10.5</v>
      </c>
      <c r="I3848" t="s">
        <v>15</v>
      </c>
      <c r="J3848" t="s">
        <v>15</v>
      </c>
      <c r="K3848">
        <v>1.89</v>
      </c>
      <c r="L3848">
        <v>0</v>
      </c>
    </row>
    <row r="3849" spans="1:12" x14ac:dyDescent="0.3">
      <c r="A3849" t="s">
        <v>3865</v>
      </c>
      <c r="B3849" t="s">
        <v>17</v>
      </c>
      <c r="C3849">
        <v>1499</v>
      </c>
      <c r="D3849">
        <v>26.98</v>
      </c>
      <c r="E3849">
        <v>4.8600000000000003</v>
      </c>
      <c r="F3849">
        <f>COUNTIFS(mdr_rate_cleaned!$A$2:$A$10,B3849,mdr_rate_cleaned!$B$2:$B$10,"&lt;"&amp;C3849,mdr_rate_cleaned!$F$2:$F$10,"&gt;="&amp;C3849)</f>
        <v>1</v>
      </c>
      <c r="G3849">
        <v>1.7999999999999999E-2</v>
      </c>
      <c r="H3849">
        <v>26.98</v>
      </c>
      <c r="I3849" t="s">
        <v>15</v>
      </c>
      <c r="J3849" t="s">
        <v>15</v>
      </c>
      <c r="K3849">
        <v>4.8600000000000003</v>
      </c>
      <c r="L3849">
        <v>0</v>
      </c>
    </row>
    <row r="3850" spans="1:12" x14ac:dyDescent="0.3">
      <c r="A3850" t="s">
        <v>3866</v>
      </c>
      <c r="B3850" t="s">
        <v>17</v>
      </c>
      <c r="C3850">
        <v>3097</v>
      </c>
      <c r="D3850">
        <v>49.55</v>
      </c>
      <c r="E3850">
        <v>8.92</v>
      </c>
      <c r="F3850">
        <f>COUNTIFS(mdr_rate_cleaned!$A$2:$A$10,B3850,mdr_rate_cleaned!$B$2:$B$10,"&lt;"&amp;C3850,mdr_rate_cleaned!$F$2:$F$10,"&gt;="&amp;C3850)</f>
        <v>1</v>
      </c>
      <c r="G3850">
        <v>1.6E-2</v>
      </c>
      <c r="H3850">
        <v>49.55</v>
      </c>
      <c r="I3850" t="s">
        <v>15</v>
      </c>
      <c r="J3850" t="s">
        <v>15</v>
      </c>
      <c r="K3850">
        <v>8.92</v>
      </c>
      <c r="L3850">
        <v>0</v>
      </c>
    </row>
    <row r="3851" spans="1:12" x14ac:dyDescent="0.3">
      <c r="A3851" t="s">
        <v>3867</v>
      </c>
      <c r="B3851" t="s">
        <v>17</v>
      </c>
      <c r="C3851">
        <v>3847</v>
      </c>
      <c r="D3851">
        <v>61.55</v>
      </c>
      <c r="E3851">
        <v>11.08</v>
      </c>
      <c r="F3851">
        <f>COUNTIFS(mdr_rate_cleaned!$A$2:$A$10,B3851,mdr_rate_cleaned!$B$2:$B$10,"&lt;"&amp;C3851,mdr_rate_cleaned!$F$2:$F$10,"&gt;="&amp;C3851)</f>
        <v>1</v>
      </c>
      <c r="G3851">
        <v>1.6E-2</v>
      </c>
      <c r="H3851">
        <v>61.55</v>
      </c>
      <c r="I3851" t="s">
        <v>15</v>
      </c>
      <c r="J3851" t="s">
        <v>15</v>
      </c>
      <c r="K3851">
        <v>11.08</v>
      </c>
      <c r="L3851">
        <v>0</v>
      </c>
    </row>
    <row r="3852" spans="1:12" x14ac:dyDescent="0.3">
      <c r="A3852" t="s">
        <v>3868</v>
      </c>
      <c r="B3852" t="s">
        <v>21</v>
      </c>
      <c r="C3852">
        <v>8498</v>
      </c>
      <c r="D3852">
        <v>25.49</v>
      </c>
      <c r="E3852">
        <v>4.59</v>
      </c>
      <c r="F3852">
        <f>COUNTIFS(mdr_rate_cleaned!$A$2:$A$10,B3852,mdr_rate_cleaned!$B$2:$B$10,"&lt;"&amp;C3852,mdr_rate_cleaned!$F$2:$F$10,"&gt;="&amp;C3852)</f>
        <v>1</v>
      </c>
      <c r="G3852">
        <v>3.0000000000000001E-3</v>
      </c>
      <c r="H3852">
        <v>25.49</v>
      </c>
      <c r="I3852" t="s">
        <v>15</v>
      </c>
      <c r="J3852" t="s">
        <v>15</v>
      </c>
      <c r="K3852">
        <v>4.59</v>
      </c>
      <c r="L3852">
        <v>0</v>
      </c>
    </row>
    <row r="3853" spans="1:12" x14ac:dyDescent="0.3">
      <c r="A3853" t="s">
        <v>3869</v>
      </c>
      <c r="B3853" t="s">
        <v>17</v>
      </c>
      <c r="C3853">
        <v>2499</v>
      </c>
      <c r="D3853">
        <v>39.979999999999997</v>
      </c>
      <c r="E3853">
        <v>7.2</v>
      </c>
      <c r="F3853">
        <f>COUNTIFS(mdr_rate_cleaned!$A$2:$A$10,B3853,mdr_rate_cleaned!$B$2:$B$10,"&lt;"&amp;C3853,mdr_rate_cleaned!$F$2:$F$10,"&gt;="&amp;C3853)</f>
        <v>1</v>
      </c>
      <c r="G3853">
        <v>1.6E-2</v>
      </c>
      <c r="H3853">
        <v>39.979999999999997</v>
      </c>
      <c r="I3853" t="s">
        <v>15</v>
      </c>
      <c r="J3853" t="s">
        <v>15</v>
      </c>
      <c r="K3853">
        <v>7.2</v>
      </c>
      <c r="L3853">
        <v>0</v>
      </c>
    </row>
    <row r="3854" spans="1:12" x14ac:dyDescent="0.3">
      <c r="A3854" t="s">
        <v>3870</v>
      </c>
      <c r="B3854" t="s">
        <v>21</v>
      </c>
      <c r="C3854">
        <v>7999</v>
      </c>
      <c r="D3854">
        <v>24</v>
      </c>
      <c r="E3854">
        <v>4.32</v>
      </c>
      <c r="F3854">
        <f>COUNTIFS(mdr_rate_cleaned!$A$2:$A$10,B3854,mdr_rate_cleaned!$B$2:$B$10,"&lt;"&amp;C3854,mdr_rate_cleaned!$F$2:$F$10,"&gt;="&amp;C3854)</f>
        <v>1</v>
      </c>
      <c r="G3854">
        <v>3.0000000000000001E-3</v>
      </c>
      <c r="H3854">
        <v>24</v>
      </c>
      <c r="I3854" t="s">
        <v>15</v>
      </c>
      <c r="J3854" t="s">
        <v>15</v>
      </c>
      <c r="K3854">
        <v>4.32</v>
      </c>
      <c r="L3854">
        <v>0</v>
      </c>
    </row>
    <row r="3855" spans="1:12" x14ac:dyDescent="0.3">
      <c r="A3855" t="s">
        <v>3871</v>
      </c>
      <c r="B3855" t="s">
        <v>17</v>
      </c>
      <c r="C3855">
        <v>1299</v>
      </c>
      <c r="D3855">
        <v>23.38</v>
      </c>
      <c r="E3855">
        <v>4.21</v>
      </c>
      <c r="F3855">
        <f>COUNTIFS(mdr_rate_cleaned!$A$2:$A$10,B3855,mdr_rate_cleaned!$B$2:$B$10,"&lt;"&amp;C3855,mdr_rate_cleaned!$F$2:$F$10,"&gt;="&amp;C3855)</f>
        <v>1</v>
      </c>
      <c r="G3855">
        <v>1.7999999999999999E-2</v>
      </c>
      <c r="H3855">
        <v>23.38</v>
      </c>
      <c r="I3855" t="s">
        <v>15</v>
      </c>
      <c r="J3855" t="s">
        <v>15</v>
      </c>
      <c r="K3855">
        <v>4.21</v>
      </c>
      <c r="L3855">
        <v>0</v>
      </c>
    </row>
    <row r="3856" spans="1:12" x14ac:dyDescent="0.3">
      <c r="A3856" t="s">
        <v>3872</v>
      </c>
      <c r="B3856" t="s">
        <v>21</v>
      </c>
      <c r="C3856">
        <v>5298</v>
      </c>
      <c r="D3856">
        <v>15.89</v>
      </c>
      <c r="E3856">
        <v>2.86</v>
      </c>
      <c r="F3856">
        <f>COUNTIFS(mdr_rate_cleaned!$A$2:$A$10,B3856,mdr_rate_cleaned!$B$2:$B$10,"&lt;"&amp;C3856,mdr_rate_cleaned!$F$2:$F$10,"&gt;="&amp;C3856)</f>
        <v>1</v>
      </c>
      <c r="G3856">
        <v>3.0000000000000001E-3</v>
      </c>
      <c r="H3856">
        <v>15.89</v>
      </c>
      <c r="I3856" t="s">
        <v>15</v>
      </c>
      <c r="J3856" t="s">
        <v>15</v>
      </c>
      <c r="K3856">
        <v>2.86</v>
      </c>
      <c r="L3856">
        <v>0</v>
      </c>
    </row>
    <row r="3857" spans="1:12" x14ac:dyDescent="0.3">
      <c r="A3857" t="s">
        <v>3873</v>
      </c>
      <c r="B3857" t="s">
        <v>17</v>
      </c>
      <c r="C3857">
        <v>799</v>
      </c>
      <c r="D3857">
        <v>14.38</v>
      </c>
      <c r="E3857">
        <v>2.59</v>
      </c>
      <c r="F3857">
        <f>COUNTIFS(mdr_rate_cleaned!$A$2:$A$10,B3857,mdr_rate_cleaned!$B$2:$B$10,"&lt;"&amp;C3857,mdr_rate_cleaned!$F$2:$F$10,"&gt;="&amp;C3857)</f>
        <v>1</v>
      </c>
      <c r="G3857">
        <v>1.7999999999999999E-2</v>
      </c>
      <c r="H3857">
        <v>14.38</v>
      </c>
      <c r="I3857" t="s">
        <v>15</v>
      </c>
      <c r="J3857" t="s">
        <v>15</v>
      </c>
      <c r="K3857">
        <v>2.59</v>
      </c>
      <c r="L3857">
        <v>0</v>
      </c>
    </row>
    <row r="3858" spans="1:12" x14ac:dyDescent="0.3">
      <c r="A3858" t="s">
        <v>3874</v>
      </c>
      <c r="B3858" t="s">
        <v>21</v>
      </c>
      <c r="C3858">
        <v>999</v>
      </c>
      <c r="D3858">
        <v>0</v>
      </c>
      <c r="E3858">
        <v>0</v>
      </c>
      <c r="F3858">
        <f>COUNTIFS(mdr_rate_cleaned!$A$2:$A$10,B3858,mdr_rate_cleaned!$B$2:$B$10,"&lt;"&amp;C3858,mdr_rate_cleaned!$F$2:$F$10,"&gt;="&amp;C3858)</f>
        <v>1</v>
      </c>
      <c r="G3858">
        <v>0</v>
      </c>
      <c r="H3858">
        <v>0</v>
      </c>
      <c r="I3858" t="s">
        <v>15</v>
      </c>
      <c r="J3858" t="s">
        <v>15</v>
      </c>
      <c r="K3858">
        <v>0</v>
      </c>
      <c r="L3858">
        <v>0</v>
      </c>
    </row>
    <row r="3859" spans="1:12" x14ac:dyDescent="0.3">
      <c r="A3859" t="s">
        <v>3875</v>
      </c>
      <c r="B3859" t="s">
        <v>21</v>
      </c>
      <c r="C3859">
        <v>3499</v>
      </c>
      <c r="D3859">
        <v>10.5</v>
      </c>
      <c r="E3859">
        <v>1.89</v>
      </c>
      <c r="F3859">
        <f>COUNTIFS(mdr_rate_cleaned!$A$2:$A$10,B3859,mdr_rate_cleaned!$B$2:$B$10,"&lt;"&amp;C3859,mdr_rate_cleaned!$F$2:$F$10,"&gt;="&amp;C3859)</f>
        <v>1</v>
      </c>
      <c r="G3859">
        <v>3.0000000000000001E-3</v>
      </c>
      <c r="H3859">
        <v>10.5</v>
      </c>
      <c r="I3859" t="s">
        <v>15</v>
      </c>
      <c r="J3859" t="s">
        <v>15</v>
      </c>
      <c r="K3859">
        <v>1.89</v>
      </c>
      <c r="L3859">
        <v>0</v>
      </c>
    </row>
    <row r="3860" spans="1:12" x14ac:dyDescent="0.3">
      <c r="A3860" t="s">
        <v>3876</v>
      </c>
      <c r="B3860" t="s">
        <v>21</v>
      </c>
      <c r="C3860">
        <v>4897</v>
      </c>
      <c r="D3860">
        <v>14.69</v>
      </c>
      <c r="E3860">
        <v>2.64</v>
      </c>
      <c r="F3860">
        <f>COUNTIFS(mdr_rate_cleaned!$A$2:$A$10,B3860,mdr_rate_cleaned!$B$2:$B$10,"&lt;"&amp;C3860,mdr_rate_cleaned!$F$2:$F$10,"&gt;="&amp;C3860)</f>
        <v>1</v>
      </c>
      <c r="G3860">
        <v>3.0000000000000001E-3</v>
      </c>
      <c r="H3860">
        <v>14.69</v>
      </c>
      <c r="I3860" t="s">
        <v>15</v>
      </c>
      <c r="J3860" t="s">
        <v>15</v>
      </c>
      <c r="K3860">
        <v>2.64</v>
      </c>
      <c r="L3860">
        <v>0</v>
      </c>
    </row>
    <row r="3861" spans="1:12" x14ac:dyDescent="0.3">
      <c r="A3861" t="s">
        <v>3877</v>
      </c>
      <c r="B3861" t="s">
        <v>21</v>
      </c>
      <c r="C3861">
        <v>5647</v>
      </c>
      <c r="D3861">
        <v>16.940000000000001</v>
      </c>
      <c r="E3861">
        <v>3.05</v>
      </c>
      <c r="F3861">
        <f>COUNTIFS(mdr_rate_cleaned!$A$2:$A$10,B3861,mdr_rate_cleaned!$B$2:$B$10,"&lt;"&amp;C3861,mdr_rate_cleaned!$F$2:$F$10,"&gt;="&amp;C3861)</f>
        <v>1</v>
      </c>
      <c r="G3861">
        <v>3.0000000000000001E-3</v>
      </c>
      <c r="H3861">
        <v>16.940000000000001</v>
      </c>
      <c r="I3861" t="s">
        <v>15</v>
      </c>
      <c r="J3861" t="s">
        <v>15</v>
      </c>
      <c r="K3861">
        <v>3.05</v>
      </c>
      <c r="L3861">
        <v>0</v>
      </c>
    </row>
    <row r="3862" spans="1:12" x14ac:dyDescent="0.3">
      <c r="A3862" t="s">
        <v>3878</v>
      </c>
      <c r="B3862" t="s">
        <v>21</v>
      </c>
      <c r="C3862">
        <v>499</v>
      </c>
      <c r="D3862">
        <v>0</v>
      </c>
      <c r="E3862">
        <v>0</v>
      </c>
      <c r="F3862">
        <f>COUNTIFS(mdr_rate_cleaned!$A$2:$A$10,B3862,mdr_rate_cleaned!$B$2:$B$10,"&lt;"&amp;C3862,mdr_rate_cleaned!$F$2:$F$10,"&gt;="&amp;C3862)</f>
        <v>1</v>
      </c>
      <c r="G3862">
        <v>0</v>
      </c>
      <c r="H3862">
        <v>0</v>
      </c>
      <c r="I3862" t="s">
        <v>15</v>
      </c>
      <c r="J3862" t="s">
        <v>15</v>
      </c>
      <c r="K3862">
        <v>0</v>
      </c>
      <c r="L3862">
        <v>0</v>
      </c>
    </row>
    <row r="3863" spans="1:12" x14ac:dyDescent="0.3">
      <c r="A3863" t="s">
        <v>3879</v>
      </c>
      <c r="B3863" t="s">
        <v>21</v>
      </c>
      <c r="C3863">
        <v>2298</v>
      </c>
      <c r="D3863">
        <v>6.89</v>
      </c>
      <c r="E3863">
        <v>1.24</v>
      </c>
      <c r="F3863">
        <f>COUNTIFS(mdr_rate_cleaned!$A$2:$A$10,B3863,mdr_rate_cleaned!$B$2:$B$10,"&lt;"&amp;C3863,mdr_rate_cleaned!$F$2:$F$10,"&gt;="&amp;C3863)</f>
        <v>1</v>
      </c>
      <c r="G3863">
        <v>3.0000000000000001E-3</v>
      </c>
      <c r="H3863">
        <v>6.89</v>
      </c>
      <c r="I3863" t="s">
        <v>15</v>
      </c>
      <c r="J3863" t="s">
        <v>15</v>
      </c>
      <c r="K3863">
        <v>1.24</v>
      </c>
      <c r="L3863">
        <v>0</v>
      </c>
    </row>
    <row r="3864" spans="1:12" x14ac:dyDescent="0.3">
      <c r="A3864" t="s">
        <v>3880</v>
      </c>
      <c r="B3864" t="s">
        <v>39</v>
      </c>
      <c r="C3864">
        <v>8598</v>
      </c>
      <c r="D3864">
        <v>103.18</v>
      </c>
      <c r="E3864">
        <v>18.57</v>
      </c>
      <c r="F3864">
        <f>COUNTIFS(mdr_rate_cleaned!$A$2:$A$10,B3864,mdr_rate_cleaned!$B$2:$B$10,"&lt;"&amp;C3864,mdr_rate_cleaned!$F$2:$F$10,"&gt;="&amp;C3864)</f>
        <v>1</v>
      </c>
      <c r="G3864">
        <v>1.2E-2</v>
      </c>
      <c r="H3864">
        <v>103.18</v>
      </c>
      <c r="I3864" t="s">
        <v>15</v>
      </c>
      <c r="J3864" t="s">
        <v>15</v>
      </c>
      <c r="K3864">
        <v>18.57</v>
      </c>
      <c r="L3864">
        <v>0</v>
      </c>
    </row>
    <row r="3865" spans="1:12" x14ac:dyDescent="0.3">
      <c r="A3865" t="s">
        <v>3881</v>
      </c>
      <c r="B3865" t="s">
        <v>21</v>
      </c>
      <c r="C3865">
        <v>2999</v>
      </c>
      <c r="D3865">
        <v>9</v>
      </c>
      <c r="E3865">
        <v>1.62</v>
      </c>
      <c r="F3865">
        <f>COUNTIFS(mdr_rate_cleaned!$A$2:$A$10,B3865,mdr_rate_cleaned!$B$2:$B$10,"&lt;"&amp;C3865,mdr_rate_cleaned!$F$2:$F$10,"&gt;="&amp;C3865)</f>
        <v>1</v>
      </c>
      <c r="G3865">
        <v>3.0000000000000001E-3</v>
      </c>
      <c r="H3865">
        <v>9</v>
      </c>
      <c r="I3865" t="s">
        <v>15</v>
      </c>
      <c r="J3865" t="s">
        <v>15</v>
      </c>
      <c r="K3865">
        <v>1.62</v>
      </c>
      <c r="L3865">
        <v>0</v>
      </c>
    </row>
    <row r="3866" spans="1:12" x14ac:dyDescent="0.3">
      <c r="A3866" t="s">
        <v>3882</v>
      </c>
      <c r="B3866" t="s">
        <v>17</v>
      </c>
      <c r="C3866">
        <v>4797</v>
      </c>
      <c r="D3866">
        <v>76.75</v>
      </c>
      <c r="E3866">
        <v>13.82</v>
      </c>
      <c r="F3866">
        <f>COUNTIFS(mdr_rate_cleaned!$A$2:$A$10,B3866,mdr_rate_cleaned!$B$2:$B$10,"&lt;"&amp;C3866,mdr_rate_cleaned!$F$2:$F$10,"&gt;="&amp;C3866)</f>
        <v>1</v>
      </c>
      <c r="G3866">
        <v>1.6E-2</v>
      </c>
      <c r="H3866">
        <v>76.75</v>
      </c>
      <c r="I3866" t="s">
        <v>15</v>
      </c>
      <c r="J3866" t="s">
        <v>15</v>
      </c>
      <c r="K3866">
        <v>13.82</v>
      </c>
      <c r="L3866">
        <v>0</v>
      </c>
    </row>
    <row r="3867" spans="1:12" x14ac:dyDescent="0.3">
      <c r="A3867" t="s">
        <v>3883</v>
      </c>
      <c r="B3867" t="s">
        <v>21</v>
      </c>
      <c r="C3867">
        <v>2298</v>
      </c>
      <c r="D3867">
        <v>6.89</v>
      </c>
      <c r="E3867">
        <v>1.24</v>
      </c>
      <c r="F3867">
        <f>COUNTIFS(mdr_rate_cleaned!$A$2:$A$10,B3867,mdr_rate_cleaned!$B$2:$B$10,"&lt;"&amp;C3867,mdr_rate_cleaned!$F$2:$F$10,"&gt;="&amp;C3867)</f>
        <v>1</v>
      </c>
      <c r="G3867">
        <v>3.0000000000000001E-3</v>
      </c>
      <c r="H3867">
        <v>6.89</v>
      </c>
      <c r="I3867" t="s">
        <v>15</v>
      </c>
      <c r="J3867" t="s">
        <v>15</v>
      </c>
      <c r="K3867">
        <v>1.24</v>
      </c>
      <c r="L3867">
        <v>0</v>
      </c>
    </row>
    <row r="3868" spans="1:12" x14ac:dyDescent="0.3">
      <c r="A3868" t="s">
        <v>3884</v>
      </c>
      <c r="B3868" t="s">
        <v>21</v>
      </c>
      <c r="C3868">
        <v>10498</v>
      </c>
      <c r="D3868">
        <v>31.49</v>
      </c>
      <c r="E3868">
        <v>5.67</v>
      </c>
      <c r="F3868">
        <f>COUNTIFS(mdr_rate_cleaned!$A$2:$A$10,B3868,mdr_rate_cleaned!$B$2:$B$10,"&lt;"&amp;C3868,mdr_rate_cleaned!$F$2:$F$10,"&gt;="&amp;C3868)</f>
        <v>1</v>
      </c>
      <c r="G3868">
        <v>3.0000000000000001E-3</v>
      </c>
      <c r="H3868">
        <v>31.49</v>
      </c>
      <c r="I3868" t="s">
        <v>15</v>
      </c>
      <c r="J3868" t="s">
        <v>15</v>
      </c>
      <c r="K3868">
        <v>5.67</v>
      </c>
      <c r="L3868">
        <v>0</v>
      </c>
    </row>
    <row r="3869" spans="1:12" x14ac:dyDescent="0.3">
      <c r="A3869" t="s">
        <v>3885</v>
      </c>
      <c r="B3869" t="s">
        <v>21</v>
      </c>
      <c r="C3869">
        <v>9347</v>
      </c>
      <c r="D3869">
        <v>28.04</v>
      </c>
      <c r="E3869">
        <v>5.05</v>
      </c>
      <c r="F3869">
        <f>COUNTIFS(mdr_rate_cleaned!$A$2:$A$10,B3869,mdr_rate_cleaned!$B$2:$B$10,"&lt;"&amp;C3869,mdr_rate_cleaned!$F$2:$F$10,"&gt;="&amp;C3869)</f>
        <v>1</v>
      </c>
      <c r="G3869">
        <v>3.0000000000000001E-3</v>
      </c>
      <c r="H3869">
        <v>28.04</v>
      </c>
      <c r="I3869" t="s">
        <v>15</v>
      </c>
      <c r="J3869" t="s">
        <v>15</v>
      </c>
      <c r="K3869">
        <v>5.05</v>
      </c>
      <c r="L3869">
        <v>0</v>
      </c>
    </row>
    <row r="3870" spans="1:12" x14ac:dyDescent="0.3">
      <c r="A3870" t="s">
        <v>3886</v>
      </c>
      <c r="B3870" t="s">
        <v>39</v>
      </c>
      <c r="C3870">
        <v>499</v>
      </c>
      <c r="D3870">
        <v>7.49</v>
      </c>
      <c r="E3870">
        <v>1.35</v>
      </c>
      <c r="F3870">
        <f>COUNTIFS(mdr_rate_cleaned!$A$2:$A$10,B3870,mdr_rate_cleaned!$B$2:$B$10,"&lt;"&amp;C3870,mdr_rate_cleaned!$F$2:$F$10,"&gt;="&amp;C3870)</f>
        <v>1</v>
      </c>
      <c r="G3870">
        <v>1.4999999999999999E-2</v>
      </c>
      <c r="H3870">
        <v>7.49</v>
      </c>
      <c r="I3870" t="s">
        <v>15</v>
      </c>
      <c r="J3870" t="s">
        <v>15</v>
      </c>
      <c r="K3870">
        <v>1.35</v>
      </c>
      <c r="L3870">
        <v>0</v>
      </c>
    </row>
    <row r="3871" spans="1:12" x14ac:dyDescent="0.3">
      <c r="A3871" t="s">
        <v>3887</v>
      </c>
      <c r="B3871" t="s">
        <v>17</v>
      </c>
      <c r="C3871">
        <v>2999</v>
      </c>
      <c r="D3871">
        <v>47.98</v>
      </c>
      <c r="E3871">
        <v>8.64</v>
      </c>
      <c r="F3871">
        <f>COUNTIFS(mdr_rate_cleaned!$A$2:$A$10,B3871,mdr_rate_cleaned!$B$2:$B$10,"&lt;"&amp;C3871,mdr_rate_cleaned!$F$2:$F$10,"&gt;="&amp;C3871)</f>
        <v>1</v>
      </c>
      <c r="G3871">
        <v>1.6E-2</v>
      </c>
      <c r="H3871">
        <v>47.98</v>
      </c>
      <c r="I3871" t="s">
        <v>15</v>
      </c>
      <c r="J3871" t="s">
        <v>15</v>
      </c>
      <c r="K3871">
        <v>8.64</v>
      </c>
      <c r="L3871">
        <v>0</v>
      </c>
    </row>
    <row r="3872" spans="1:12" x14ac:dyDescent="0.3">
      <c r="A3872" t="s">
        <v>3888</v>
      </c>
      <c r="B3872" t="s">
        <v>21</v>
      </c>
      <c r="C3872">
        <v>4999</v>
      </c>
      <c r="D3872">
        <v>15</v>
      </c>
      <c r="E3872">
        <v>2.7</v>
      </c>
      <c r="F3872">
        <f>COUNTIFS(mdr_rate_cleaned!$A$2:$A$10,B3872,mdr_rate_cleaned!$B$2:$B$10,"&lt;"&amp;C3872,mdr_rate_cleaned!$F$2:$F$10,"&gt;="&amp;C3872)</f>
        <v>1</v>
      </c>
      <c r="G3872">
        <v>3.0000000000000001E-3</v>
      </c>
      <c r="H3872">
        <v>15</v>
      </c>
      <c r="I3872" t="s">
        <v>15</v>
      </c>
      <c r="J3872" t="s">
        <v>15</v>
      </c>
      <c r="K3872">
        <v>2.7</v>
      </c>
      <c r="L3872">
        <v>0</v>
      </c>
    </row>
    <row r="3873" spans="1:12" x14ac:dyDescent="0.3">
      <c r="A3873" t="s">
        <v>3889</v>
      </c>
      <c r="B3873" t="s">
        <v>17</v>
      </c>
      <c r="C3873">
        <v>5998</v>
      </c>
      <c r="D3873">
        <v>95.97</v>
      </c>
      <c r="E3873">
        <v>17.27</v>
      </c>
      <c r="F3873">
        <f>COUNTIFS(mdr_rate_cleaned!$A$2:$A$10,B3873,mdr_rate_cleaned!$B$2:$B$10,"&lt;"&amp;C3873,mdr_rate_cleaned!$F$2:$F$10,"&gt;="&amp;C3873)</f>
        <v>1</v>
      </c>
      <c r="G3873">
        <v>1.6E-2</v>
      </c>
      <c r="H3873">
        <v>95.97</v>
      </c>
      <c r="I3873" t="s">
        <v>15</v>
      </c>
      <c r="J3873" t="s">
        <v>15</v>
      </c>
      <c r="K3873">
        <v>17.27</v>
      </c>
      <c r="L3873">
        <v>0</v>
      </c>
    </row>
    <row r="3874" spans="1:12" x14ac:dyDescent="0.3">
      <c r="A3874" t="s">
        <v>3890</v>
      </c>
      <c r="B3874" t="s">
        <v>21</v>
      </c>
      <c r="C3874">
        <v>4999</v>
      </c>
      <c r="D3874">
        <v>15</v>
      </c>
      <c r="E3874">
        <v>2.7</v>
      </c>
      <c r="F3874">
        <f>COUNTIFS(mdr_rate_cleaned!$A$2:$A$10,B3874,mdr_rate_cleaned!$B$2:$B$10,"&lt;"&amp;C3874,mdr_rate_cleaned!$F$2:$F$10,"&gt;="&amp;C3874)</f>
        <v>1</v>
      </c>
      <c r="G3874">
        <v>3.0000000000000001E-3</v>
      </c>
      <c r="H3874">
        <v>15</v>
      </c>
      <c r="I3874" t="s">
        <v>15</v>
      </c>
      <c r="J3874" t="s">
        <v>15</v>
      </c>
      <c r="K3874">
        <v>2.7</v>
      </c>
      <c r="L3874">
        <v>0</v>
      </c>
    </row>
    <row r="3875" spans="1:12" x14ac:dyDescent="0.3">
      <c r="A3875" t="s">
        <v>3891</v>
      </c>
      <c r="B3875" t="s">
        <v>21</v>
      </c>
      <c r="C3875">
        <v>3297</v>
      </c>
      <c r="D3875">
        <v>9.89</v>
      </c>
      <c r="E3875">
        <v>1.78</v>
      </c>
      <c r="F3875">
        <f>COUNTIFS(mdr_rate_cleaned!$A$2:$A$10,B3875,mdr_rate_cleaned!$B$2:$B$10,"&lt;"&amp;C3875,mdr_rate_cleaned!$F$2:$F$10,"&gt;="&amp;C3875)</f>
        <v>1</v>
      </c>
      <c r="G3875">
        <v>3.0000000000000001E-3</v>
      </c>
      <c r="H3875">
        <v>9.89</v>
      </c>
      <c r="I3875" t="s">
        <v>15</v>
      </c>
      <c r="J3875" t="s">
        <v>15</v>
      </c>
      <c r="K3875">
        <v>1.78</v>
      </c>
      <c r="L3875">
        <v>0</v>
      </c>
    </row>
    <row r="3876" spans="1:12" x14ac:dyDescent="0.3">
      <c r="A3876" t="s">
        <v>3892</v>
      </c>
      <c r="B3876" t="s">
        <v>21</v>
      </c>
      <c r="C3876">
        <v>999</v>
      </c>
      <c r="D3876">
        <v>0</v>
      </c>
      <c r="E3876">
        <v>0</v>
      </c>
      <c r="F3876">
        <f>COUNTIFS(mdr_rate_cleaned!$A$2:$A$10,B3876,mdr_rate_cleaned!$B$2:$B$10,"&lt;"&amp;C3876,mdr_rate_cleaned!$F$2:$F$10,"&gt;="&amp;C3876)</f>
        <v>1</v>
      </c>
      <c r="G3876">
        <v>0</v>
      </c>
      <c r="H3876">
        <v>0</v>
      </c>
      <c r="I3876" t="s">
        <v>15</v>
      </c>
      <c r="J3876" t="s">
        <v>15</v>
      </c>
      <c r="K3876">
        <v>0</v>
      </c>
      <c r="L3876">
        <v>0</v>
      </c>
    </row>
    <row r="3877" spans="1:12" x14ac:dyDescent="0.3">
      <c r="A3877" t="s">
        <v>3893</v>
      </c>
      <c r="B3877" t="s">
        <v>17</v>
      </c>
      <c r="C3877">
        <v>3097</v>
      </c>
      <c r="D3877">
        <v>49.55</v>
      </c>
      <c r="E3877">
        <v>8.92</v>
      </c>
      <c r="F3877">
        <f>COUNTIFS(mdr_rate_cleaned!$A$2:$A$10,B3877,mdr_rate_cleaned!$B$2:$B$10,"&lt;"&amp;C3877,mdr_rate_cleaned!$F$2:$F$10,"&gt;="&amp;C3877)</f>
        <v>1</v>
      </c>
      <c r="G3877">
        <v>1.6E-2</v>
      </c>
      <c r="H3877">
        <v>49.55</v>
      </c>
      <c r="I3877" t="s">
        <v>15</v>
      </c>
      <c r="J3877" t="s">
        <v>15</v>
      </c>
      <c r="K3877">
        <v>8.92</v>
      </c>
      <c r="L3877">
        <v>0</v>
      </c>
    </row>
    <row r="3878" spans="1:12" x14ac:dyDescent="0.3">
      <c r="A3878" t="s">
        <v>3894</v>
      </c>
      <c r="B3878" t="s">
        <v>17</v>
      </c>
      <c r="C3878">
        <v>499</v>
      </c>
      <c r="D3878">
        <v>8.98</v>
      </c>
      <c r="E3878">
        <v>1.62</v>
      </c>
      <c r="F3878">
        <f>COUNTIFS(mdr_rate_cleaned!$A$2:$A$10,B3878,mdr_rate_cleaned!$B$2:$B$10,"&lt;"&amp;C3878,mdr_rate_cleaned!$F$2:$F$10,"&gt;="&amp;C3878)</f>
        <v>1</v>
      </c>
      <c r="G3878">
        <v>1.7999999999999999E-2</v>
      </c>
      <c r="H3878">
        <v>8.98</v>
      </c>
      <c r="I3878" t="s">
        <v>15</v>
      </c>
      <c r="J3878" t="s">
        <v>15</v>
      </c>
      <c r="K3878">
        <v>1.62</v>
      </c>
      <c r="L3878">
        <v>0</v>
      </c>
    </row>
    <row r="3879" spans="1:12" x14ac:dyDescent="0.3">
      <c r="A3879" t="s">
        <v>3895</v>
      </c>
      <c r="B3879" t="s">
        <v>21</v>
      </c>
      <c r="C3879">
        <v>599</v>
      </c>
      <c r="D3879">
        <v>0</v>
      </c>
      <c r="E3879">
        <v>0</v>
      </c>
      <c r="F3879">
        <f>COUNTIFS(mdr_rate_cleaned!$A$2:$A$10,B3879,mdr_rate_cleaned!$B$2:$B$10,"&lt;"&amp;C3879,mdr_rate_cleaned!$F$2:$F$10,"&gt;="&amp;C3879)</f>
        <v>1</v>
      </c>
      <c r="G3879">
        <v>0</v>
      </c>
      <c r="H3879">
        <v>0</v>
      </c>
      <c r="I3879" t="s">
        <v>15</v>
      </c>
      <c r="J3879" t="s">
        <v>15</v>
      </c>
      <c r="K3879">
        <v>0</v>
      </c>
      <c r="L3879">
        <v>0</v>
      </c>
    </row>
    <row r="3880" spans="1:12" x14ac:dyDescent="0.3">
      <c r="A3880" t="s">
        <v>3896</v>
      </c>
      <c r="B3880" t="s">
        <v>21</v>
      </c>
      <c r="C3880">
        <v>798</v>
      </c>
      <c r="D3880">
        <v>0</v>
      </c>
      <c r="E3880">
        <v>0</v>
      </c>
      <c r="F3880">
        <f>COUNTIFS(mdr_rate_cleaned!$A$2:$A$10,B3880,mdr_rate_cleaned!$B$2:$B$10,"&lt;"&amp;C3880,mdr_rate_cleaned!$F$2:$F$10,"&gt;="&amp;C3880)</f>
        <v>1</v>
      </c>
      <c r="G3880">
        <v>0</v>
      </c>
      <c r="H3880">
        <v>0</v>
      </c>
      <c r="I3880" t="s">
        <v>15</v>
      </c>
      <c r="J3880" t="s">
        <v>15</v>
      </c>
      <c r="K3880">
        <v>0</v>
      </c>
      <c r="L3880">
        <v>0</v>
      </c>
    </row>
    <row r="3881" spans="1:12" x14ac:dyDescent="0.3">
      <c r="A3881" t="s">
        <v>3897</v>
      </c>
      <c r="B3881" t="s">
        <v>13</v>
      </c>
      <c r="C3881">
        <v>6798</v>
      </c>
      <c r="D3881">
        <v>115.57</v>
      </c>
      <c r="E3881">
        <v>20.8</v>
      </c>
      <c r="F3881">
        <f>COUNTIFS(mdr_rate_cleaned!$A$2:$A$10,B3881,mdr_rate_cleaned!$B$2:$B$10,"&lt;"&amp;C3881,mdr_rate_cleaned!$F$2:$F$10,"&gt;="&amp;C3881)</f>
        <v>1</v>
      </c>
      <c r="G3881">
        <v>1.7000000000000001E-2</v>
      </c>
      <c r="H3881">
        <v>115.57</v>
      </c>
      <c r="I3881" t="s">
        <v>15</v>
      </c>
      <c r="J3881" t="s">
        <v>15</v>
      </c>
      <c r="K3881">
        <v>20.8</v>
      </c>
      <c r="L3881">
        <v>0</v>
      </c>
    </row>
    <row r="3882" spans="1:12" x14ac:dyDescent="0.3">
      <c r="A3882" t="s">
        <v>3898</v>
      </c>
      <c r="B3882" t="s">
        <v>21</v>
      </c>
      <c r="C3882">
        <v>8998</v>
      </c>
      <c r="D3882">
        <v>26.99</v>
      </c>
      <c r="E3882">
        <v>4.8600000000000003</v>
      </c>
      <c r="F3882">
        <f>COUNTIFS(mdr_rate_cleaned!$A$2:$A$10,B3882,mdr_rate_cleaned!$B$2:$B$10,"&lt;"&amp;C3882,mdr_rate_cleaned!$F$2:$F$10,"&gt;="&amp;C3882)</f>
        <v>1</v>
      </c>
      <c r="G3882">
        <v>3.0000000000000001E-3</v>
      </c>
      <c r="H3882">
        <v>26.99</v>
      </c>
      <c r="I3882" t="s">
        <v>15</v>
      </c>
      <c r="J3882" t="s">
        <v>15</v>
      </c>
      <c r="K3882">
        <v>4.8600000000000003</v>
      </c>
      <c r="L3882">
        <v>0</v>
      </c>
    </row>
    <row r="3883" spans="1:12" x14ac:dyDescent="0.3">
      <c r="A3883" t="s">
        <v>3899</v>
      </c>
      <c r="B3883" t="s">
        <v>17</v>
      </c>
      <c r="C3883">
        <v>499</v>
      </c>
      <c r="D3883">
        <v>8.98</v>
      </c>
      <c r="E3883">
        <v>1.62</v>
      </c>
      <c r="F3883">
        <f>COUNTIFS(mdr_rate_cleaned!$A$2:$A$10,B3883,mdr_rate_cleaned!$B$2:$B$10,"&lt;"&amp;C3883,mdr_rate_cleaned!$F$2:$F$10,"&gt;="&amp;C3883)</f>
        <v>1</v>
      </c>
      <c r="G3883">
        <v>1.7999999999999999E-2</v>
      </c>
      <c r="H3883">
        <v>8.98</v>
      </c>
      <c r="I3883" t="s">
        <v>15</v>
      </c>
      <c r="J3883" t="s">
        <v>15</v>
      </c>
      <c r="K3883">
        <v>1.62</v>
      </c>
      <c r="L3883">
        <v>0</v>
      </c>
    </row>
    <row r="3884" spans="1:12" x14ac:dyDescent="0.3">
      <c r="A3884" t="s">
        <v>3900</v>
      </c>
      <c r="B3884" t="s">
        <v>17</v>
      </c>
      <c r="C3884">
        <v>1799</v>
      </c>
      <c r="D3884">
        <v>32.380000000000003</v>
      </c>
      <c r="E3884">
        <v>5.83</v>
      </c>
      <c r="F3884">
        <f>COUNTIFS(mdr_rate_cleaned!$A$2:$A$10,B3884,mdr_rate_cleaned!$B$2:$B$10,"&lt;"&amp;C3884,mdr_rate_cleaned!$F$2:$F$10,"&gt;="&amp;C3884)</f>
        <v>1</v>
      </c>
      <c r="G3884">
        <v>1.7999999999999999E-2</v>
      </c>
      <c r="H3884">
        <v>32.380000000000003</v>
      </c>
      <c r="I3884" t="s">
        <v>15</v>
      </c>
      <c r="J3884" t="s">
        <v>15</v>
      </c>
      <c r="K3884">
        <v>5.83</v>
      </c>
      <c r="L3884">
        <v>0</v>
      </c>
    </row>
    <row r="3885" spans="1:12" x14ac:dyDescent="0.3">
      <c r="A3885" t="s">
        <v>3901</v>
      </c>
      <c r="B3885" t="s">
        <v>17</v>
      </c>
      <c r="C3885">
        <v>1947</v>
      </c>
      <c r="D3885">
        <v>35.049999999999997</v>
      </c>
      <c r="E3885">
        <v>6.31</v>
      </c>
      <c r="F3885">
        <f>COUNTIFS(mdr_rate_cleaned!$A$2:$A$10,B3885,mdr_rate_cleaned!$B$2:$B$10,"&lt;"&amp;C3885,mdr_rate_cleaned!$F$2:$F$10,"&gt;="&amp;C3885)</f>
        <v>1</v>
      </c>
      <c r="G3885">
        <v>1.7999999999999999E-2</v>
      </c>
      <c r="H3885">
        <v>35.049999999999997</v>
      </c>
      <c r="I3885" t="s">
        <v>15</v>
      </c>
      <c r="J3885" t="s">
        <v>15</v>
      </c>
      <c r="K3885">
        <v>6.31</v>
      </c>
      <c r="L3885">
        <v>0</v>
      </c>
    </row>
    <row r="3886" spans="1:12" x14ac:dyDescent="0.3">
      <c r="A3886" t="s">
        <v>3902</v>
      </c>
      <c r="B3886" t="s">
        <v>21</v>
      </c>
      <c r="C3886">
        <v>499</v>
      </c>
      <c r="D3886">
        <v>0</v>
      </c>
      <c r="E3886">
        <v>0</v>
      </c>
      <c r="F3886">
        <f>COUNTIFS(mdr_rate_cleaned!$A$2:$A$10,B3886,mdr_rate_cleaned!$B$2:$B$10,"&lt;"&amp;C3886,mdr_rate_cleaned!$F$2:$F$10,"&gt;="&amp;C3886)</f>
        <v>1</v>
      </c>
      <c r="G3886">
        <v>0</v>
      </c>
      <c r="H3886">
        <v>0</v>
      </c>
      <c r="I3886" t="s">
        <v>15</v>
      </c>
      <c r="J3886" t="s">
        <v>15</v>
      </c>
      <c r="K3886">
        <v>0</v>
      </c>
      <c r="L3886">
        <v>0</v>
      </c>
    </row>
    <row r="3887" spans="1:12" x14ac:dyDescent="0.3">
      <c r="A3887" t="s">
        <v>3903</v>
      </c>
      <c r="B3887" t="s">
        <v>13</v>
      </c>
      <c r="C3887">
        <v>1997</v>
      </c>
      <c r="D3887">
        <v>37.94</v>
      </c>
      <c r="E3887">
        <v>6.83</v>
      </c>
      <c r="F3887">
        <f>COUNTIFS(mdr_rate_cleaned!$A$2:$A$10,B3887,mdr_rate_cleaned!$B$2:$B$10,"&lt;"&amp;C3887,mdr_rate_cleaned!$F$2:$F$10,"&gt;="&amp;C3887)</f>
        <v>1</v>
      </c>
      <c r="G3887">
        <v>1.9E-2</v>
      </c>
      <c r="H3887">
        <v>37.94</v>
      </c>
      <c r="I3887" t="s">
        <v>15</v>
      </c>
      <c r="J3887" t="s">
        <v>15</v>
      </c>
      <c r="K3887">
        <v>6.83</v>
      </c>
      <c r="L3887">
        <v>0</v>
      </c>
    </row>
    <row r="3888" spans="1:12" x14ac:dyDescent="0.3">
      <c r="A3888" t="s">
        <v>3904</v>
      </c>
      <c r="B3888" t="s">
        <v>21</v>
      </c>
      <c r="C3888">
        <v>11297</v>
      </c>
      <c r="D3888">
        <v>33.89</v>
      </c>
      <c r="E3888">
        <v>6.1</v>
      </c>
      <c r="F3888">
        <f>COUNTIFS(mdr_rate_cleaned!$A$2:$A$10,B3888,mdr_rate_cleaned!$B$2:$B$10,"&lt;"&amp;C3888,mdr_rate_cleaned!$F$2:$F$10,"&gt;="&amp;C3888)</f>
        <v>1</v>
      </c>
      <c r="G3888">
        <v>3.0000000000000001E-3</v>
      </c>
      <c r="H3888">
        <v>33.89</v>
      </c>
      <c r="I3888" t="s">
        <v>15</v>
      </c>
      <c r="J3888" t="s">
        <v>15</v>
      </c>
      <c r="K3888">
        <v>6.1</v>
      </c>
      <c r="L3888">
        <v>0</v>
      </c>
    </row>
    <row r="3889" spans="1:12" x14ac:dyDescent="0.3">
      <c r="A3889" t="s">
        <v>3905</v>
      </c>
      <c r="B3889" t="s">
        <v>13</v>
      </c>
      <c r="C3889">
        <v>3348</v>
      </c>
      <c r="D3889">
        <v>80.349999999999994</v>
      </c>
      <c r="E3889">
        <v>14.46</v>
      </c>
      <c r="F3889">
        <f>COUNTIFS(mdr_rate_cleaned!$A$2:$A$10,B3889,mdr_rate_cleaned!$B$2:$B$10,"&lt;"&amp;C3889,mdr_rate_cleaned!$F$2:$F$10,"&gt;="&amp;C3889)</f>
        <v>1</v>
      </c>
      <c r="G3889">
        <v>1.7000000000000001E-2</v>
      </c>
      <c r="H3889">
        <v>56.92</v>
      </c>
      <c r="I3889" t="s">
        <v>14</v>
      </c>
      <c r="J3889" t="s">
        <v>15</v>
      </c>
      <c r="K3889">
        <v>10.25</v>
      </c>
      <c r="L3889">
        <v>27.64</v>
      </c>
    </row>
    <row r="3890" spans="1:12" x14ac:dyDescent="0.3">
      <c r="A3890" t="s">
        <v>3906</v>
      </c>
      <c r="B3890" t="s">
        <v>21</v>
      </c>
      <c r="C3890">
        <v>1648</v>
      </c>
      <c r="D3890">
        <v>0</v>
      </c>
      <c r="E3890">
        <v>0</v>
      </c>
      <c r="F3890">
        <f>COUNTIFS(mdr_rate_cleaned!$A$2:$A$10,B3890,mdr_rate_cleaned!$B$2:$B$10,"&lt;"&amp;C3890,mdr_rate_cleaned!$F$2:$F$10,"&gt;="&amp;C3890)</f>
        <v>1</v>
      </c>
      <c r="G3890">
        <v>0</v>
      </c>
      <c r="H3890">
        <v>0</v>
      </c>
      <c r="I3890" t="s">
        <v>15</v>
      </c>
      <c r="J3890" t="s">
        <v>15</v>
      </c>
      <c r="K3890">
        <v>0</v>
      </c>
      <c r="L3890">
        <v>0</v>
      </c>
    </row>
    <row r="3891" spans="1:12" x14ac:dyDescent="0.3">
      <c r="A3891" t="s">
        <v>3907</v>
      </c>
      <c r="B3891" t="s">
        <v>21</v>
      </c>
      <c r="C3891">
        <v>948</v>
      </c>
      <c r="D3891">
        <v>0</v>
      </c>
      <c r="E3891">
        <v>0</v>
      </c>
      <c r="F3891">
        <f>COUNTIFS(mdr_rate_cleaned!$A$2:$A$10,B3891,mdr_rate_cleaned!$B$2:$B$10,"&lt;"&amp;C3891,mdr_rate_cleaned!$F$2:$F$10,"&gt;="&amp;C3891)</f>
        <v>1</v>
      </c>
      <c r="G3891">
        <v>0</v>
      </c>
      <c r="H3891">
        <v>0</v>
      </c>
      <c r="I3891" t="s">
        <v>15</v>
      </c>
      <c r="J3891" t="s">
        <v>15</v>
      </c>
      <c r="K3891">
        <v>0</v>
      </c>
      <c r="L3891">
        <v>0</v>
      </c>
    </row>
    <row r="3892" spans="1:12" x14ac:dyDescent="0.3">
      <c r="A3892" t="s">
        <v>3908</v>
      </c>
      <c r="B3892" t="s">
        <v>21</v>
      </c>
      <c r="C3892">
        <v>9847</v>
      </c>
      <c r="D3892">
        <v>29.54</v>
      </c>
      <c r="E3892">
        <v>5.32</v>
      </c>
      <c r="F3892">
        <f>COUNTIFS(mdr_rate_cleaned!$A$2:$A$10,B3892,mdr_rate_cleaned!$B$2:$B$10,"&lt;"&amp;C3892,mdr_rate_cleaned!$F$2:$F$10,"&gt;="&amp;C3892)</f>
        <v>1</v>
      </c>
      <c r="G3892">
        <v>3.0000000000000001E-3</v>
      </c>
      <c r="H3892">
        <v>29.54</v>
      </c>
      <c r="I3892" t="s">
        <v>15</v>
      </c>
      <c r="J3892" t="s">
        <v>15</v>
      </c>
      <c r="K3892">
        <v>5.32</v>
      </c>
      <c r="L3892">
        <v>0</v>
      </c>
    </row>
    <row r="3893" spans="1:12" x14ac:dyDescent="0.3">
      <c r="A3893" t="s">
        <v>3909</v>
      </c>
      <c r="B3893" t="s">
        <v>17</v>
      </c>
      <c r="C3893">
        <v>3348</v>
      </c>
      <c r="D3893">
        <v>53.57</v>
      </c>
      <c r="E3893">
        <v>9.64</v>
      </c>
      <c r="F3893">
        <f>COUNTIFS(mdr_rate_cleaned!$A$2:$A$10,B3893,mdr_rate_cleaned!$B$2:$B$10,"&lt;"&amp;C3893,mdr_rate_cleaned!$F$2:$F$10,"&gt;="&amp;C3893)</f>
        <v>1</v>
      </c>
      <c r="G3893">
        <v>1.6E-2</v>
      </c>
      <c r="H3893">
        <v>53.57</v>
      </c>
      <c r="I3893" t="s">
        <v>15</v>
      </c>
      <c r="J3893" t="s">
        <v>15</v>
      </c>
      <c r="K3893">
        <v>9.64</v>
      </c>
      <c r="L3893">
        <v>0</v>
      </c>
    </row>
    <row r="3894" spans="1:12" x14ac:dyDescent="0.3">
      <c r="A3894" t="s">
        <v>3910</v>
      </c>
      <c r="B3894" t="s">
        <v>21</v>
      </c>
      <c r="C3894">
        <v>8298</v>
      </c>
      <c r="D3894">
        <v>24.89</v>
      </c>
      <c r="E3894">
        <v>4.4800000000000004</v>
      </c>
      <c r="F3894">
        <f>COUNTIFS(mdr_rate_cleaned!$A$2:$A$10,B3894,mdr_rate_cleaned!$B$2:$B$10,"&lt;"&amp;C3894,mdr_rate_cleaned!$F$2:$F$10,"&gt;="&amp;C3894)</f>
        <v>1</v>
      </c>
      <c r="G3894">
        <v>3.0000000000000001E-3</v>
      </c>
      <c r="H3894">
        <v>24.89</v>
      </c>
      <c r="I3894" t="s">
        <v>15</v>
      </c>
      <c r="J3894" t="s">
        <v>15</v>
      </c>
      <c r="K3894">
        <v>4.4800000000000004</v>
      </c>
      <c r="L3894">
        <v>0</v>
      </c>
    </row>
    <row r="3895" spans="1:12" x14ac:dyDescent="0.3">
      <c r="A3895" t="s">
        <v>3911</v>
      </c>
      <c r="B3895" t="s">
        <v>21</v>
      </c>
      <c r="C3895">
        <v>7999</v>
      </c>
      <c r="D3895">
        <v>24</v>
      </c>
      <c r="E3895">
        <v>4.32</v>
      </c>
      <c r="F3895">
        <f>COUNTIFS(mdr_rate_cleaned!$A$2:$A$10,B3895,mdr_rate_cleaned!$B$2:$B$10,"&lt;"&amp;C3895,mdr_rate_cleaned!$F$2:$F$10,"&gt;="&amp;C3895)</f>
        <v>1</v>
      </c>
      <c r="G3895">
        <v>3.0000000000000001E-3</v>
      </c>
      <c r="H3895">
        <v>24</v>
      </c>
      <c r="I3895" t="s">
        <v>15</v>
      </c>
      <c r="J3895" t="s">
        <v>15</v>
      </c>
      <c r="K3895">
        <v>4.32</v>
      </c>
      <c r="L3895">
        <v>0</v>
      </c>
    </row>
    <row r="3896" spans="1:12" x14ac:dyDescent="0.3">
      <c r="A3896" t="s">
        <v>3912</v>
      </c>
      <c r="B3896" t="s">
        <v>17</v>
      </c>
      <c r="C3896">
        <v>1299</v>
      </c>
      <c r="D3896">
        <v>23.38</v>
      </c>
      <c r="E3896">
        <v>4.21</v>
      </c>
      <c r="F3896">
        <f>COUNTIFS(mdr_rate_cleaned!$A$2:$A$10,B3896,mdr_rate_cleaned!$B$2:$B$10,"&lt;"&amp;C3896,mdr_rate_cleaned!$F$2:$F$10,"&gt;="&amp;C3896)</f>
        <v>1</v>
      </c>
      <c r="G3896">
        <v>1.7999999999999999E-2</v>
      </c>
      <c r="H3896">
        <v>23.38</v>
      </c>
      <c r="I3896" t="s">
        <v>15</v>
      </c>
      <c r="J3896" t="s">
        <v>15</v>
      </c>
      <c r="K3896">
        <v>4.21</v>
      </c>
      <c r="L3896">
        <v>0</v>
      </c>
    </row>
    <row r="3897" spans="1:12" x14ac:dyDescent="0.3">
      <c r="A3897" t="s">
        <v>3913</v>
      </c>
      <c r="B3897" t="s">
        <v>17</v>
      </c>
      <c r="C3897">
        <v>999</v>
      </c>
      <c r="D3897">
        <v>17.98</v>
      </c>
      <c r="E3897">
        <v>3.24</v>
      </c>
      <c r="F3897">
        <f>COUNTIFS(mdr_rate_cleaned!$A$2:$A$10,B3897,mdr_rate_cleaned!$B$2:$B$10,"&lt;"&amp;C3897,mdr_rate_cleaned!$F$2:$F$10,"&gt;="&amp;C3897)</f>
        <v>1</v>
      </c>
      <c r="G3897">
        <v>1.7999999999999999E-2</v>
      </c>
      <c r="H3897">
        <v>17.98</v>
      </c>
      <c r="I3897" t="s">
        <v>15</v>
      </c>
      <c r="J3897" t="s">
        <v>15</v>
      </c>
      <c r="K3897">
        <v>3.24</v>
      </c>
      <c r="L3897">
        <v>0</v>
      </c>
    </row>
    <row r="3898" spans="1:12" x14ac:dyDescent="0.3">
      <c r="A3898" t="s">
        <v>3914</v>
      </c>
      <c r="B3898" t="s">
        <v>21</v>
      </c>
      <c r="C3898">
        <v>1098</v>
      </c>
      <c r="D3898">
        <v>0</v>
      </c>
      <c r="E3898">
        <v>0</v>
      </c>
      <c r="F3898">
        <f>COUNTIFS(mdr_rate_cleaned!$A$2:$A$10,B3898,mdr_rate_cleaned!$B$2:$B$10,"&lt;"&amp;C3898,mdr_rate_cleaned!$F$2:$F$10,"&gt;="&amp;C3898)</f>
        <v>1</v>
      </c>
      <c r="G3898">
        <v>0</v>
      </c>
      <c r="H3898">
        <v>0</v>
      </c>
      <c r="I3898" t="s">
        <v>15</v>
      </c>
      <c r="J3898" t="s">
        <v>15</v>
      </c>
      <c r="K3898">
        <v>0</v>
      </c>
      <c r="L3898">
        <v>0</v>
      </c>
    </row>
    <row r="3899" spans="1:12" x14ac:dyDescent="0.3">
      <c r="A3899" t="s">
        <v>3915</v>
      </c>
      <c r="B3899" t="s">
        <v>17</v>
      </c>
      <c r="C3899">
        <v>2798</v>
      </c>
      <c r="D3899">
        <v>44.77</v>
      </c>
      <c r="E3899">
        <v>8.06</v>
      </c>
      <c r="F3899">
        <f>COUNTIFS(mdr_rate_cleaned!$A$2:$A$10,B3899,mdr_rate_cleaned!$B$2:$B$10,"&lt;"&amp;C3899,mdr_rate_cleaned!$F$2:$F$10,"&gt;="&amp;C3899)</f>
        <v>1</v>
      </c>
      <c r="G3899">
        <v>1.6E-2</v>
      </c>
      <c r="H3899">
        <v>44.77</v>
      </c>
      <c r="I3899" t="s">
        <v>15</v>
      </c>
      <c r="J3899" t="s">
        <v>15</v>
      </c>
      <c r="K3899">
        <v>8.06</v>
      </c>
      <c r="L3899">
        <v>0</v>
      </c>
    </row>
    <row r="3900" spans="1:12" x14ac:dyDescent="0.3">
      <c r="A3900" t="s">
        <v>3916</v>
      </c>
      <c r="B3900" t="s">
        <v>21</v>
      </c>
      <c r="C3900">
        <v>7797</v>
      </c>
      <c r="D3900">
        <v>23.39</v>
      </c>
      <c r="E3900">
        <v>4.21</v>
      </c>
      <c r="F3900">
        <f>COUNTIFS(mdr_rate_cleaned!$A$2:$A$10,B3900,mdr_rate_cleaned!$B$2:$B$10,"&lt;"&amp;C3900,mdr_rate_cleaned!$F$2:$F$10,"&gt;="&amp;C3900)</f>
        <v>1</v>
      </c>
      <c r="G3900">
        <v>3.0000000000000001E-3</v>
      </c>
      <c r="H3900">
        <v>23.39</v>
      </c>
      <c r="I3900" t="s">
        <v>15</v>
      </c>
      <c r="J3900" t="s">
        <v>15</v>
      </c>
      <c r="K3900">
        <v>4.21</v>
      </c>
      <c r="L3900">
        <v>0</v>
      </c>
    </row>
    <row r="3901" spans="1:12" x14ac:dyDescent="0.3">
      <c r="A3901" t="s">
        <v>3917</v>
      </c>
      <c r="B3901" t="s">
        <v>21</v>
      </c>
      <c r="C3901">
        <v>1998</v>
      </c>
      <c r="D3901">
        <v>0</v>
      </c>
      <c r="E3901">
        <v>0</v>
      </c>
      <c r="F3901">
        <f>COUNTIFS(mdr_rate_cleaned!$A$2:$A$10,B3901,mdr_rate_cleaned!$B$2:$B$10,"&lt;"&amp;C3901,mdr_rate_cleaned!$F$2:$F$10,"&gt;="&amp;C3901)</f>
        <v>1</v>
      </c>
      <c r="G3901">
        <v>0</v>
      </c>
      <c r="H3901">
        <v>0</v>
      </c>
      <c r="I3901" t="s">
        <v>15</v>
      </c>
      <c r="J3901" t="s">
        <v>15</v>
      </c>
      <c r="K3901">
        <v>0</v>
      </c>
      <c r="L3901">
        <v>0</v>
      </c>
    </row>
    <row r="3902" spans="1:12" x14ac:dyDescent="0.3">
      <c r="A3902" t="s">
        <v>3918</v>
      </c>
      <c r="B3902" t="s">
        <v>17</v>
      </c>
      <c r="C3902">
        <v>8798</v>
      </c>
      <c r="D3902">
        <v>140.77000000000001</v>
      </c>
      <c r="E3902">
        <v>25.34</v>
      </c>
      <c r="F3902">
        <f>COUNTIFS(mdr_rate_cleaned!$A$2:$A$10,B3902,mdr_rate_cleaned!$B$2:$B$10,"&lt;"&amp;C3902,mdr_rate_cleaned!$F$2:$F$10,"&gt;="&amp;C3902)</f>
        <v>1</v>
      </c>
      <c r="G3902">
        <v>1.6E-2</v>
      </c>
      <c r="H3902">
        <v>140.77000000000001</v>
      </c>
      <c r="I3902" t="s">
        <v>15</v>
      </c>
      <c r="J3902" t="s">
        <v>15</v>
      </c>
      <c r="K3902">
        <v>25.34</v>
      </c>
      <c r="L3902">
        <v>0</v>
      </c>
    </row>
    <row r="3903" spans="1:12" x14ac:dyDescent="0.3">
      <c r="A3903" t="s">
        <v>3919</v>
      </c>
      <c r="B3903" t="s">
        <v>21</v>
      </c>
      <c r="C3903">
        <v>2598</v>
      </c>
      <c r="D3903">
        <v>7.79</v>
      </c>
      <c r="E3903">
        <v>1.4</v>
      </c>
      <c r="F3903">
        <f>COUNTIFS(mdr_rate_cleaned!$A$2:$A$10,B3903,mdr_rate_cleaned!$B$2:$B$10,"&lt;"&amp;C3903,mdr_rate_cleaned!$F$2:$F$10,"&gt;="&amp;C3903)</f>
        <v>1</v>
      </c>
      <c r="G3903">
        <v>3.0000000000000001E-3</v>
      </c>
      <c r="H3903">
        <v>7.79</v>
      </c>
      <c r="I3903" t="s">
        <v>15</v>
      </c>
      <c r="J3903" t="s">
        <v>15</v>
      </c>
      <c r="K3903">
        <v>1.4</v>
      </c>
      <c r="L3903">
        <v>0</v>
      </c>
    </row>
    <row r="3904" spans="1:12" x14ac:dyDescent="0.3">
      <c r="A3904" t="s">
        <v>3920</v>
      </c>
      <c r="B3904" t="s">
        <v>21</v>
      </c>
      <c r="C3904">
        <v>3947</v>
      </c>
      <c r="D3904">
        <v>11.84</v>
      </c>
      <c r="E3904">
        <v>2.13</v>
      </c>
      <c r="F3904">
        <f>COUNTIFS(mdr_rate_cleaned!$A$2:$A$10,B3904,mdr_rate_cleaned!$B$2:$B$10,"&lt;"&amp;C3904,mdr_rate_cleaned!$F$2:$F$10,"&gt;="&amp;C3904)</f>
        <v>1</v>
      </c>
      <c r="G3904">
        <v>3.0000000000000001E-3</v>
      </c>
      <c r="H3904">
        <v>11.84</v>
      </c>
      <c r="I3904" t="s">
        <v>15</v>
      </c>
      <c r="J3904" t="s">
        <v>15</v>
      </c>
      <c r="K3904">
        <v>2.13</v>
      </c>
      <c r="L3904">
        <v>0</v>
      </c>
    </row>
    <row r="3905" spans="1:12" x14ac:dyDescent="0.3">
      <c r="A3905" t="s">
        <v>3921</v>
      </c>
      <c r="B3905" t="s">
        <v>13</v>
      </c>
      <c r="C3905">
        <v>4298</v>
      </c>
      <c r="D3905">
        <v>73.069999999999993</v>
      </c>
      <c r="E3905">
        <v>13.15</v>
      </c>
      <c r="F3905">
        <f>COUNTIFS(mdr_rate_cleaned!$A$2:$A$10,B3905,mdr_rate_cleaned!$B$2:$B$10,"&lt;"&amp;C3905,mdr_rate_cleaned!$F$2:$F$10,"&gt;="&amp;C3905)</f>
        <v>1</v>
      </c>
      <c r="G3905">
        <v>1.7000000000000001E-2</v>
      </c>
      <c r="H3905">
        <v>73.069999999999993</v>
      </c>
      <c r="I3905" t="s">
        <v>15</v>
      </c>
      <c r="J3905" t="s">
        <v>15</v>
      </c>
      <c r="K3905">
        <v>13.15</v>
      </c>
      <c r="L3905">
        <v>0</v>
      </c>
    </row>
    <row r="3906" spans="1:12" x14ac:dyDescent="0.3">
      <c r="A3906" t="s">
        <v>3922</v>
      </c>
      <c r="B3906" t="s">
        <v>21</v>
      </c>
      <c r="C3906">
        <v>999</v>
      </c>
      <c r="D3906">
        <v>0</v>
      </c>
      <c r="E3906">
        <v>0</v>
      </c>
      <c r="F3906">
        <f>COUNTIFS(mdr_rate_cleaned!$A$2:$A$10,B3906,mdr_rate_cleaned!$B$2:$B$10,"&lt;"&amp;C3906,mdr_rate_cleaned!$F$2:$F$10,"&gt;="&amp;C3906)</f>
        <v>1</v>
      </c>
      <c r="G3906">
        <v>0</v>
      </c>
      <c r="H3906">
        <v>0</v>
      </c>
      <c r="I3906" t="s">
        <v>15</v>
      </c>
      <c r="J3906" t="s">
        <v>15</v>
      </c>
      <c r="K3906">
        <v>0</v>
      </c>
      <c r="L3906">
        <v>0</v>
      </c>
    </row>
    <row r="3907" spans="1:12" x14ac:dyDescent="0.3">
      <c r="A3907" t="s">
        <v>3923</v>
      </c>
      <c r="B3907" t="s">
        <v>17</v>
      </c>
      <c r="C3907">
        <v>1299</v>
      </c>
      <c r="D3907">
        <v>23.38</v>
      </c>
      <c r="E3907">
        <v>4.21</v>
      </c>
      <c r="F3907">
        <f>COUNTIFS(mdr_rate_cleaned!$A$2:$A$10,B3907,mdr_rate_cleaned!$B$2:$B$10,"&lt;"&amp;C3907,mdr_rate_cleaned!$F$2:$F$10,"&gt;="&amp;C3907)</f>
        <v>1</v>
      </c>
      <c r="G3907">
        <v>1.7999999999999999E-2</v>
      </c>
      <c r="H3907">
        <v>23.38</v>
      </c>
      <c r="I3907" t="s">
        <v>15</v>
      </c>
      <c r="J3907" t="s">
        <v>15</v>
      </c>
      <c r="K3907">
        <v>4.21</v>
      </c>
      <c r="L3907">
        <v>0</v>
      </c>
    </row>
    <row r="3908" spans="1:12" x14ac:dyDescent="0.3">
      <c r="A3908" t="s">
        <v>3924</v>
      </c>
      <c r="B3908" t="s">
        <v>21</v>
      </c>
      <c r="C3908">
        <v>2298</v>
      </c>
      <c r="D3908">
        <v>6.89</v>
      </c>
      <c r="E3908">
        <v>1.24</v>
      </c>
      <c r="F3908">
        <f>COUNTIFS(mdr_rate_cleaned!$A$2:$A$10,B3908,mdr_rate_cleaned!$B$2:$B$10,"&lt;"&amp;C3908,mdr_rate_cleaned!$F$2:$F$10,"&gt;="&amp;C3908)</f>
        <v>1</v>
      </c>
      <c r="G3908">
        <v>3.0000000000000001E-3</v>
      </c>
      <c r="H3908">
        <v>6.89</v>
      </c>
      <c r="I3908" t="s">
        <v>15</v>
      </c>
      <c r="J3908" t="s">
        <v>15</v>
      </c>
      <c r="K3908">
        <v>1.24</v>
      </c>
      <c r="L3908">
        <v>0</v>
      </c>
    </row>
    <row r="3909" spans="1:12" x14ac:dyDescent="0.3">
      <c r="A3909" t="s">
        <v>3925</v>
      </c>
      <c r="B3909" t="s">
        <v>17</v>
      </c>
      <c r="C3909">
        <v>9997</v>
      </c>
      <c r="D3909">
        <v>159.94999999999999</v>
      </c>
      <c r="E3909">
        <v>28.79</v>
      </c>
      <c r="F3909">
        <f>COUNTIFS(mdr_rate_cleaned!$A$2:$A$10,B3909,mdr_rate_cleaned!$B$2:$B$10,"&lt;"&amp;C3909,mdr_rate_cleaned!$F$2:$F$10,"&gt;="&amp;C3909)</f>
        <v>1</v>
      </c>
      <c r="G3909">
        <v>1.6E-2</v>
      </c>
      <c r="H3909">
        <v>159.94999999999999</v>
      </c>
      <c r="I3909" t="s">
        <v>15</v>
      </c>
      <c r="J3909" t="s">
        <v>15</v>
      </c>
      <c r="K3909">
        <v>28.79</v>
      </c>
      <c r="L3909">
        <v>0</v>
      </c>
    </row>
    <row r="3910" spans="1:12" x14ac:dyDescent="0.3">
      <c r="A3910" t="s">
        <v>3926</v>
      </c>
      <c r="B3910" t="s">
        <v>21</v>
      </c>
      <c r="C3910">
        <v>1499</v>
      </c>
      <c r="D3910">
        <v>0</v>
      </c>
      <c r="E3910">
        <v>0</v>
      </c>
      <c r="F3910">
        <f>COUNTIFS(mdr_rate_cleaned!$A$2:$A$10,B3910,mdr_rate_cleaned!$B$2:$B$10,"&lt;"&amp;C3910,mdr_rate_cleaned!$F$2:$F$10,"&gt;="&amp;C3910)</f>
        <v>1</v>
      </c>
      <c r="G3910">
        <v>0</v>
      </c>
      <c r="H3910">
        <v>0</v>
      </c>
      <c r="I3910" t="s">
        <v>15</v>
      </c>
      <c r="J3910" t="s">
        <v>15</v>
      </c>
      <c r="K3910">
        <v>0</v>
      </c>
      <c r="L3910">
        <v>0</v>
      </c>
    </row>
    <row r="3911" spans="1:12" x14ac:dyDescent="0.3">
      <c r="A3911" t="s">
        <v>3927</v>
      </c>
      <c r="B3911" t="s">
        <v>17</v>
      </c>
      <c r="C3911">
        <v>1299</v>
      </c>
      <c r="D3911">
        <v>23.38</v>
      </c>
      <c r="E3911">
        <v>4.21</v>
      </c>
      <c r="F3911">
        <f>COUNTIFS(mdr_rate_cleaned!$A$2:$A$10,B3911,mdr_rate_cleaned!$B$2:$B$10,"&lt;"&amp;C3911,mdr_rate_cleaned!$F$2:$F$10,"&gt;="&amp;C3911)</f>
        <v>1</v>
      </c>
      <c r="G3911">
        <v>1.7999999999999999E-2</v>
      </c>
      <c r="H3911">
        <v>23.38</v>
      </c>
      <c r="I3911" t="s">
        <v>15</v>
      </c>
      <c r="J3911" t="s">
        <v>15</v>
      </c>
      <c r="K3911">
        <v>4.21</v>
      </c>
      <c r="L3911">
        <v>0</v>
      </c>
    </row>
    <row r="3912" spans="1:12" x14ac:dyDescent="0.3">
      <c r="A3912" t="s">
        <v>3928</v>
      </c>
      <c r="B3912" t="s">
        <v>21</v>
      </c>
      <c r="C3912">
        <v>8497</v>
      </c>
      <c r="D3912">
        <v>25.49</v>
      </c>
      <c r="E3912">
        <v>4.59</v>
      </c>
      <c r="F3912">
        <f>COUNTIFS(mdr_rate_cleaned!$A$2:$A$10,B3912,mdr_rate_cleaned!$B$2:$B$10,"&lt;"&amp;C3912,mdr_rate_cleaned!$F$2:$F$10,"&gt;="&amp;C3912)</f>
        <v>1</v>
      </c>
      <c r="G3912">
        <v>3.0000000000000001E-3</v>
      </c>
      <c r="H3912">
        <v>25.49</v>
      </c>
      <c r="I3912" t="s">
        <v>15</v>
      </c>
      <c r="J3912" t="s">
        <v>15</v>
      </c>
      <c r="K3912">
        <v>4.59</v>
      </c>
      <c r="L3912">
        <v>0</v>
      </c>
    </row>
    <row r="3913" spans="1:12" x14ac:dyDescent="0.3">
      <c r="A3913" t="s">
        <v>3929</v>
      </c>
      <c r="B3913" t="s">
        <v>21</v>
      </c>
      <c r="C3913">
        <v>648</v>
      </c>
      <c r="D3913">
        <v>1.94</v>
      </c>
      <c r="E3913">
        <v>0.35</v>
      </c>
      <c r="F3913">
        <f>COUNTIFS(mdr_rate_cleaned!$A$2:$A$10,B3913,mdr_rate_cleaned!$B$2:$B$10,"&lt;"&amp;C3913,mdr_rate_cleaned!$F$2:$F$10,"&gt;="&amp;C3913)</f>
        <v>1</v>
      </c>
      <c r="G3913">
        <v>0</v>
      </c>
      <c r="H3913">
        <v>0</v>
      </c>
      <c r="I3913" t="s">
        <v>14</v>
      </c>
      <c r="J3913" t="s">
        <v>15</v>
      </c>
      <c r="K3913">
        <v>0</v>
      </c>
      <c r="L3913">
        <v>2.29</v>
      </c>
    </row>
    <row r="3914" spans="1:12" x14ac:dyDescent="0.3">
      <c r="A3914" t="s">
        <v>3930</v>
      </c>
      <c r="B3914" t="s">
        <v>17</v>
      </c>
      <c r="C3914">
        <v>3647</v>
      </c>
      <c r="D3914">
        <v>58.35</v>
      </c>
      <c r="E3914">
        <v>10.5</v>
      </c>
      <c r="F3914">
        <f>COUNTIFS(mdr_rate_cleaned!$A$2:$A$10,B3914,mdr_rate_cleaned!$B$2:$B$10,"&lt;"&amp;C3914,mdr_rate_cleaned!$F$2:$F$10,"&gt;="&amp;C3914)</f>
        <v>1</v>
      </c>
      <c r="G3914">
        <v>1.6E-2</v>
      </c>
      <c r="H3914">
        <v>58.35</v>
      </c>
      <c r="I3914" t="s">
        <v>15</v>
      </c>
      <c r="J3914" t="s">
        <v>15</v>
      </c>
      <c r="K3914">
        <v>10.5</v>
      </c>
      <c r="L3914">
        <v>0</v>
      </c>
    </row>
    <row r="3915" spans="1:12" x14ac:dyDescent="0.3">
      <c r="A3915" t="s">
        <v>3931</v>
      </c>
      <c r="B3915" t="s">
        <v>21</v>
      </c>
      <c r="C3915">
        <v>1299</v>
      </c>
      <c r="D3915">
        <v>0</v>
      </c>
      <c r="E3915">
        <v>0</v>
      </c>
      <c r="F3915">
        <f>COUNTIFS(mdr_rate_cleaned!$A$2:$A$10,B3915,mdr_rate_cleaned!$B$2:$B$10,"&lt;"&amp;C3915,mdr_rate_cleaned!$F$2:$F$10,"&gt;="&amp;C3915)</f>
        <v>1</v>
      </c>
      <c r="G3915">
        <v>0</v>
      </c>
      <c r="H3915">
        <v>0</v>
      </c>
      <c r="I3915" t="s">
        <v>15</v>
      </c>
      <c r="J3915" t="s">
        <v>15</v>
      </c>
      <c r="K3915">
        <v>0</v>
      </c>
      <c r="L3915">
        <v>0</v>
      </c>
    </row>
    <row r="3916" spans="1:12" x14ac:dyDescent="0.3">
      <c r="A3916" t="s">
        <v>3932</v>
      </c>
      <c r="B3916" t="s">
        <v>13</v>
      </c>
      <c r="C3916">
        <v>11797</v>
      </c>
      <c r="D3916">
        <v>200.55</v>
      </c>
      <c r="E3916">
        <v>36.1</v>
      </c>
      <c r="F3916">
        <f>COUNTIFS(mdr_rate_cleaned!$A$2:$A$10,B3916,mdr_rate_cleaned!$B$2:$B$10,"&lt;"&amp;C3916,mdr_rate_cleaned!$F$2:$F$10,"&gt;="&amp;C3916)</f>
        <v>1</v>
      </c>
      <c r="G3916">
        <v>1.7000000000000001E-2</v>
      </c>
      <c r="H3916">
        <v>200.55</v>
      </c>
      <c r="I3916" t="s">
        <v>15</v>
      </c>
      <c r="J3916" t="s">
        <v>15</v>
      </c>
      <c r="K3916">
        <v>36.1</v>
      </c>
      <c r="L3916">
        <v>0</v>
      </c>
    </row>
    <row r="3917" spans="1:12" x14ac:dyDescent="0.3">
      <c r="A3917" t="s">
        <v>3933</v>
      </c>
      <c r="B3917" t="s">
        <v>17</v>
      </c>
      <c r="C3917">
        <v>2098</v>
      </c>
      <c r="D3917">
        <v>33.57</v>
      </c>
      <c r="E3917">
        <v>6.04</v>
      </c>
      <c r="F3917">
        <f>COUNTIFS(mdr_rate_cleaned!$A$2:$A$10,B3917,mdr_rate_cleaned!$B$2:$B$10,"&lt;"&amp;C3917,mdr_rate_cleaned!$F$2:$F$10,"&gt;="&amp;C3917)</f>
        <v>1</v>
      </c>
      <c r="G3917">
        <v>1.6E-2</v>
      </c>
      <c r="H3917">
        <v>33.57</v>
      </c>
      <c r="I3917" t="s">
        <v>15</v>
      </c>
      <c r="J3917" t="s">
        <v>15</v>
      </c>
      <c r="K3917">
        <v>6.04</v>
      </c>
      <c r="L3917">
        <v>0</v>
      </c>
    </row>
    <row r="3918" spans="1:12" x14ac:dyDescent="0.3">
      <c r="A3918" t="s">
        <v>3934</v>
      </c>
      <c r="B3918" t="s">
        <v>21</v>
      </c>
      <c r="C3918">
        <v>1299</v>
      </c>
      <c r="D3918">
        <v>0</v>
      </c>
      <c r="E3918">
        <v>0</v>
      </c>
      <c r="F3918">
        <f>COUNTIFS(mdr_rate_cleaned!$A$2:$A$10,B3918,mdr_rate_cleaned!$B$2:$B$10,"&lt;"&amp;C3918,mdr_rate_cleaned!$F$2:$F$10,"&gt;="&amp;C3918)</f>
        <v>1</v>
      </c>
      <c r="G3918">
        <v>0</v>
      </c>
      <c r="H3918">
        <v>0</v>
      </c>
      <c r="I3918" t="s">
        <v>15</v>
      </c>
      <c r="J3918" t="s">
        <v>15</v>
      </c>
      <c r="K3918">
        <v>0</v>
      </c>
      <c r="L3918">
        <v>0</v>
      </c>
    </row>
    <row r="3919" spans="1:12" x14ac:dyDescent="0.3">
      <c r="A3919" t="s">
        <v>3935</v>
      </c>
      <c r="B3919" t="s">
        <v>21</v>
      </c>
      <c r="C3919">
        <v>599</v>
      </c>
      <c r="D3919">
        <v>0</v>
      </c>
      <c r="E3919">
        <v>0</v>
      </c>
      <c r="F3919">
        <f>COUNTIFS(mdr_rate_cleaned!$A$2:$A$10,B3919,mdr_rate_cleaned!$B$2:$B$10,"&lt;"&amp;C3919,mdr_rate_cleaned!$F$2:$F$10,"&gt;="&amp;C3919)</f>
        <v>1</v>
      </c>
      <c r="G3919">
        <v>0</v>
      </c>
      <c r="H3919">
        <v>0</v>
      </c>
      <c r="I3919" t="s">
        <v>15</v>
      </c>
      <c r="J3919" t="s">
        <v>15</v>
      </c>
      <c r="K3919">
        <v>0</v>
      </c>
      <c r="L3919">
        <v>0</v>
      </c>
    </row>
    <row r="3920" spans="1:12" x14ac:dyDescent="0.3">
      <c r="A3920" t="s">
        <v>3936</v>
      </c>
      <c r="B3920" t="s">
        <v>13</v>
      </c>
      <c r="C3920">
        <v>799</v>
      </c>
      <c r="D3920">
        <v>15.18</v>
      </c>
      <c r="E3920">
        <v>2.73</v>
      </c>
      <c r="F3920">
        <f>COUNTIFS(mdr_rate_cleaned!$A$2:$A$10,B3920,mdr_rate_cleaned!$B$2:$B$10,"&lt;"&amp;C3920,mdr_rate_cleaned!$F$2:$F$10,"&gt;="&amp;C3920)</f>
        <v>1</v>
      </c>
      <c r="G3920">
        <v>1.9E-2</v>
      </c>
      <c r="H3920">
        <v>15.18</v>
      </c>
      <c r="I3920" t="s">
        <v>15</v>
      </c>
      <c r="J3920" t="s">
        <v>15</v>
      </c>
      <c r="K3920">
        <v>2.73</v>
      </c>
      <c r="L3920">
        <v>0</v>
      </c>
    </row>
    <row r="3921" spans="1:12" x14ac:dyDescent="0.3">
      <c r="A3921" t="s">
        <v>3937</v>
      </c>
      <c r="B3921" t="s">
        <v>13</v>
      </c>
      <c r="C3921">
        <v>999</v>
      </c>
      <c r="D3921">
        <v>18.98</v>
      </c>
      <c r="E3921">
        <v>3.42</v>
      </c>
      <c r="F3921">
        <f>COUNTIFS(mdr_rate_cleaned!$A$2:$A$10,B3921,mdr_rate_cleaned!$B$2:$B$10,"&lt;"&amp;C3921,mdr_rate_cleaned!$F$2:$F$10,"&gt;="&amp;C3921)</f>
        <v>1</v>
      </c>
      <c r="G3921">
        <v>1.9E-2</v>
      </c>
      <c r="H3921">
        <v>18.98</v>
      </c>
      <c r="I3921" t="s">
        <v>15</v>
      </c>
      <c r="J3921" t="s">
        <v>15</v>
      </c>
      <c r="K3921">
        <v>3.42</v>
      </c>
      <c r="L3921">
        <v>0</v>
      </c>
    </row>
    <row r="3922" spans="1:12" x14ac:dyDescent="0.3">
      <c r="A3922" t="s">
        <v>3938</v>
      </c>
      <c r="B3922" t="s">
        <v>21</v>
      </c>
      <c r="C3922">
        <v>2499</v>
      </c>
      <c r="D3922">
        <v>7.5</v>
      </c>
      <c r="E3922">
        <v>1.35</v>
      </c>
      <c r="F3922">
        <f>COUNTIFS(mdr_rate_cleaned!$A$2:$A$10,B3922,mdr_rate_cleaned!$B$2:$B$10,"&lt;"&amp;C3922,mdr_rate_cleaned!$F$2:$F$10,"&gt;="&amp;C3922)</f>
        <v>1</v>
      </c>
      <c r="G3922">
        <v>3.0000000000000001E-3</v>
      </c>
      <c r="H3922">
        <v>7.5</v>
      </c>
      <c r="I3922" t="s">
        <v>15</v>
      </c>
      <c r="J3922" t="s">
        <v>15</v>
      </c>
      <c r="K3922">
        <v>1.35</v>
      </c>
      <c r="L3922">
        <v>0</v>
      </c>
    </row>
    <row r="3923" spans="1:12" x14ac:dyDescent="0.3">
      <c r="A3923" t="s">
        <v>3939</v>
      </c>
      <c r="B3923" t="s">
        <v>21</v>
      </c>
      <c r="C3923">
        <v>1498</v>
      </c>
      <c r="D3923">
        <v>0</v>
      </c>
      <c r="E3923">
        <v>0</v>
      </c>
      <c r="F3923">
        <f>COUNTIFS(mdr_rate_cleaned!$A$2:$A$10,B3923,mdr_rate_cleaned!$B$2:$B$10,"&lt;"&amp;C3923,mdr_rate_cleaned!$F$2:$F$10,"&gt;="&amp;C3923)</f>
        <v>1</v>
      </c>
      <c r="G3923">
        <v>0</v>
      </c>
      <c r="H3923">
        <v>0</v>
      </c>
      <c r="I3923" t="s">
        <v>15</v>
      </c>
      <c r="J3923" t="s">
        <v>15</v>
      </c>
      <c r="K3923">
        <v>0</v>
      </c>
      <c r="L3923">
        <v>0</v>
      </c>
    </row>
    <row r="3924" spans="1:12" x14ac:dyDescent="0.3">
      <c r="A3924" t="s">
        <v>3940</v>
      </c>
      <c r="B3924" t="s">
        <v>17</v>
      </c>
      <c r="C3924">
        <v>8498</v>
      </c>
      <c r="D3924">
        <v>135.97</v>
      </c>
      <c r="E3924">
        <v>24.47</v>
      </c>
      <c r="F3924">
        <f>COUNTIFS(mdr_rate_cleaned!$A$2:$A$10,B3924,mdr_rate_cleaned!$B$2:$B$10,"&lt;"&amp;C3924,mdr_rate_cleaned!$F$2:$F$10,"&gt;="&amp;C3924)</f>
        <v>1</v>
      </c>
      <c r="G3924">
        <v>1.6E-2</v>
      </c>
      <c r="H3924">
        <v>135.97</v>
      </c>
      <c r="I3924" t="s">
        <v>15</v>
      </c>
      <c r="J3924" t="s">
        <v>15</v>
      </c>
      <c r="K3924">
        <v>24.47</v>
      </c>
      <c r="L3924">
        <v>0</v>
      </c>
    </row>
    <row r="3925" spans="1:12" x14ac:dyDescent="0.3">
      <c r="A3925" t="s">
        <v>3941</v>
      </c>
      <c r="B3925" t="s">
        <v>21</v>
      </c>
      <c r="C3925">
        <v>6498</v>
      </c>
      <c r="D3925">
        <v>19.489999999999998</v>
      </c>
      <c r="E3925">
        <v>3.51</v>
      </c>
      <c r="F3925">
        <f>COUNTIFS(mdr_rate_cleaned!$A$2:$A$10,B3925,mdr_rate_cleaned!$B$2:$B$10,"&lt;"&amp;C3925,mdr_rate_cleaned!$F$2:$F$10,"&gt;="&amp;C3925)</f>
        <v>1</v>
      </c>
      <c r="G3925">
        <v>3.0000000000000001E-3</v>
      </c>
      <c r="H3925">
        <v>19.489999999999998</v>
      </c>
      <c r="I3925" t="s">
        <v>15</v>
      </c>
      <c r="J3925" t="s">
        <v>15</v>
      </c>
      <c r="K3925">
        <v>3.51</v>
      </c>
      <c r="L3925">
        <v>0</v>
      </c>
    </row>
    <row r="3926" spans="1:12" x14ac:dyDescent="0.3">
      <c r="A3926" t="s">
        <v>3942</v>
      </c>
      <c r="B3926" t="s">
        <v>21</v>
      </c>
      <c r="C3926">
        <v>4498</v>
      </c>
      <c r="D3926">
        <v>13.49</v>
      </c>
      <c r="E3926">
        <v>2.4300000000000002</v>
      </c>
      <c r="F3926">
        <f>COUNTIFS(mdr_rate_cleaned!$A$2:$A$10,B3926,mdr_rate_cleaned!$B$2:$B$10,"&lt;"&amp;C3926,mdr_rate_cleaned!$F$2:$F$10,"&gt;="&amp;C3926)</f>
        <v>1</v>
      </c>
      <c r="G3926">
        <v>3.0000000000000001E-3</v>
      </c>
      <c r="H3926">
        <v>13.49</v>
      </c>
      <c r="I3926" t="s">
        <v>15</v>
      </c>
      <c r="J3926" t="s">
        <v>15</v>
      </c>
      <c r="K3926">
        <v>2.4300000000000002</v>
      </c>
      <c r="L3926">
        <v>0</v>
      </c>
    </row>
    <row r="3927" spans="1:12" x14ac:dyDescent="0.3">
      <c r="A3927" t="s">
        <v>3943</v>
      </c>
      <c r="B3927" t="s">
        <v>13</v>
      </c>
      <c r="C3927">
        <v>3098</v>
      </c>
      <c r="D3927">
        <v>52.67</v>
      </c>
      <c r="E3927">
        <v>9.48</v>
      </c>
      <c r="F3927">
        <f>COUNTIFS(mdr_rate_cleaned!$A$2:$A$10,B3927,mdr_rate_cleaned!$B$2:$B$10,"&lt;"&amp;C3927,mdr_rate_cleaned!$F$2:$F$10,"&gt;="&amp;C3927)</f>
        <v>1</v>
      </c>
      <c r="G3927">
        <v>1.7000000000000001E-2</v>
      </c>
      <c r="H3927">
        <v>52.67</v>
      </c>
      <c r="I3927" t="s">
        <v>15</v>
      </c>
      <c r="J3927" t="s">
        <v>15</v>
      </c>
      <c r="K3927">
        <v>9.48</v>
      </c>
      <c r="L3927">
        <v>0</v>
      </c>
    </row>
    <row r="3928" spans="1:12" x14ac:dyDescent="0.3">
      <c r="A3928" t="s">
        <v>3944</v>
      </c>
      <c r="B3928" t="s">
        <v>17</v>
      </c>
      <c r="C3928">
        <v>349</v>
      </c>
      <c r="D3928">
        <v>6.28</v>
      </c>
      <c r="E3928">
        <v>1.1299999999999999</v>
      </c>
      <c r="F3928">
        <f>COUNTIFS(mdr_rate_cleaned!$A$2:$A$10,B3928,mdr_rate_cleaned!$B$2:$B$10,"&lt;"&amp;C3928,mdr_rate_cleaned!$F$2:$F$10,"&gt;="&amp;C3928)</f>
        <v>1</v>
      </c>
      <c r="G3928">
        <v>1.7999999999999999E-2</v>
      </c>
      <c r="H3928">
        <v>6.28</v>
      </c>
      <c r="I3928" t="s">
        <v>15</v>
      </c>
      <c r="J3928" t="s">
        <v>15</v>
      </c>
      <c r="K3928">
        <v>1.1299999999999999</v>
      </c>
      <c r="L3928">
        <v>0</v>
      </c>
    </row>
    <row r="3929" spans="1:12" x14ac:dyDescent="0.3">
      <c r="A3929" t="s">
        <v>3945</v>
      </c>
      <c r="B3929" t="s">
        <v>21</v>
      </c>
      <c r="C3929">
        <v>3797</v>
      </c>
      <c r="D3929">
        <v>11.39</v>
      </c>
      <c r="E3929">
        <v>2.0499999999999998</v>
      </c>
      <c r="F3929">
        <f>COUNTIFS(mdr_rate_cleaned!$A$2:$A$10,B3929,mdr_rate_cleaned!$B$2:$B$10,"&lt;"&amp;C3929,mdr_rate_cleaned!$F$2:$F$10,"&gt;="&amp;C3929)</f>
        <v>1</v>
      </c>
      <c r="G3929">
        <v>3.0000000000000001E-3</v>
      </c>
      <c r="H3929">
        <v>11.39</v>
      </c>
      <c r="I3929" t="s">
        <v>15</v>
      </c>
      <c r="J3929" t="s">
        <v>15</v>
      </c>
      <c r="K3929">
        <v>2.0499999999999998</v>
      </c>
      <c r="L3929">
        <v>0</v>
      </c>
    </row>
    <row r="3930" spans="1:12" x14ac:dyDescent="0.3">
      <c r="A3930" t="s">
        <v>3946</v>
      </c>
      <c r="B3930" t="s">
        <v>21</v>
      </c>
      <c r="C3930">
        <v>4998</v>
      </c>
      <c r="D3930">
        <v>14.99</v>
      </c>
      <c r="E3930">
        <v>2.7</v>
      </c>
      <c r="F3930">
        <f>COUNTIFS(mdr_rate_cleaned!$A$2:$A$10,B3930,mdr_rate_cleaned!$B$2:$B$10,"&lt;"&amp;C3930,mdr_rate_cleaned!$F$2:$F$10,"&gt;="&amp;C3930)</f>
        <v>1</v>
      </c>
      <c r="G3930">
        <v>3.0000000000000001E-3</v>
      </c>
      <c r="H3930">
        <v>14.99</v>
      </c>
      <c r="I3930" t="s">
        <v>15</v>
      </c>
      <c r="J3930" t="s">
        <v>15</v>
      </c>
      <c r="K3930">
        <v>2.7</v>
      </c>
      <c r="L3930">
        <v>0</v>
      </c>
    </row>
    <row r="3931" spans="1:12" x14ac:dyDescent="0.3">
      <c r="A3931" t="s">
        <v>3947</v>
      </c>
      <c r="B3931" t="s">
        <v>21</v>
      </c>
      <c r="C3931">
        <v>3597</v>
      </c>
      <c r="D3931">
        <v>10.79</v>
      </c>
      <c r="E3931">
        <v>1.94</v>
      </c>
      <c r="F3931">
        <f>COUNTIFS(mdr_rate_cleaned!$A$2:$A$10,B3931,mdr_rate_cleaned!$B$2:$B$10,"&lt;"&amp;C3931,mdr_rate_cleaned!$F$2:$F$10,"&gt;="&amp;C3931)</f>
        <v>1</v>
      </c>
      <c r="G3931">
        <v>3.0000000000000001E-3</v>
      </c>
      <c r="H3931">
        <v>10.79</v>
      </c>
      <c r="I3931" t="s">
        <v>15</v>
      </c>
      <c r="J3931" t="s">
        <v>15</v>
      </c>
      <c r="K3931">
        <v>1.94</v>
      </c>
      <c r="L3931">
        <v>0</v>
      </c>
    </row>
    <row r="3932" spans="1:12" x14ac:dyDescent="0.3">
      <c r="A3932" t="s">
        <v>3948</v>
      </c>
      <c r="B3932" t="s">
        <v>21</v>
      </c>
      <c r="C3932">
        <v>9798</v>
      </c>
      <c r="D3932">
        <v>29.39</v>
      </c>
      <c r="E3932">
        <v>5.29</v>
      </c>
      <c r="F3932">
        <f>COUNTIFS(mdr_rate_cleaned!$A$2:$A$10,B3932,mdr_rate_cleaned!$B$2:$B$10,"&lt;"&amp;C3932,mdr_rate_cleaned!$F$2:$F$10,"&gt;="&amp;C3932)</f>
        <v>1</v>
      </c>
      <c r="G3932">
        <v>3.0000000000000001E-3</v>
      </c>
      <c r="H3932">
        <v>29.39</v>
      </c>
      <c r="I3932" t="s">
        <v>15</v>
      </c>
      <c r="J3932" t="s">
        <v>15</v>
      </c>
      <c r="K3932">
        <v>5.29</v>
      </c>
      <c r="L3932">
        <v>0</v>
      </c>
    </row>
    <row r="3933" spans="1:12" x14ac:dyDescent="0.3">
      <c r="A3933" t="s">
        <v>3949</v>
      </c>
      <c r="B3933" t="s">
        <v>13</v>
      </c>
      <c r="C3933">
        <v>3998</v>
      </c>
      <c r="D3933">
        <v>67.97</v>
      </c>
      <c r="E3933">
        <v>12.23</v>
      </c>
      <c r="F3933">
        <f>COUNTIFS(mdr_rate_cleaned!$A$2:$A$10,B3933,mdr_rate_cleaned!$B$2:$B$10,"&lt;"&amp;C3933,mdr_rate_cleaned!$F$2:$F$10,"&gt;="&amp;C3933)</f>
        <v>1</v>
      </c>
      <c r="G3933">
        <v>1.7000000000000001E-2</v>
      </c>
      <c r="H3933">
        <v>67.97</v>
      </c>
      <c r="I3933" t="s">
        <v>15</v>
      </c>
      <c r="J3933" t="s">
        <v>15</v>
      </c>
      <c r="K3933">
        <v>12.23</v>
      </c>
      <c r="L3933">
        <v>0</v>
      </c>
    </row>
    <row r="3934" spans="1:12" x14ac:dyDescent="0.3">
      <c r="A3934" t="s">
        <v>3950</v>
      </c>
      <c r="B3934" t="s">
        <v>17</v>
      </c>
      <c r="C3934">
        <v>1299</v>
      </c>
      <c r="D3934">
        <v>23.38</v>
      </c>
      <c r="E3934">
        <v>4.21</v>
      </c>
      <c r="F3934">
        <f>COUNTIFS(mdr_rate_cleaned!$A$2:$A$10,B3934,mdr_rate_cleaned!$B$2:$B$10,"&lt;"&amp;C3934,mdr_rate_cleaned!$F$2:$F$10,"&gt;="&amp;C3934)</f>
        <v>1</v>
      </c>
      <c r="G3934">
        <v>1.7999999999999999E-2</v>
      </c>
      <c r="H3934">
        <v>23.38</v>
      </c>
      <c r="I3934" t="s">
        <v>15</v>
      </c>
      <c r="J3934" t="s">
        <v>15</v>
      </c>
      <c r="K3934">
        <v>4.21</v>
      </c>
      <c r="L3934">
        <v>0</v>
      </c>
    </row>
    <row r="3935" spans="1:12" x14ac:dyDescent="0.3">
      <c r="A3935" t="s">
        <v>3951</v>
      </c>
      <c r="B3935" t="s">
        <v>21</v>
      </c>
      <c r="C3935">
        <v>13497</v>
      </c>
      <c r="D3935">
        <v>40.49</v>
      </c>
      <c r="E3935">
        <v>7.29</v>
      </c>
      <c r="F3935">
        <f>COUNTIFS(mdr_rate_cleaned!$A$2:$A$10,B3935,mdr_rate_cleaned!$B$2:$B$10,"&lt;"&amp;C3935,mdr_rate_cleaned!$F$2:$F$10,"&gt;="&amp;C3935)</f>
        <v>1</v>
      </c>
      <c r="G3935">
        <v>3.0000000000000001E-3</v>
      </c>
      <c r="H3935">
        <v>40.49</v>
      </c>
      <c r="I3935" t="s">
        <v>15</v>
      </c>
      <c r="J3935" t="s">
        <v>15</v>
      </c>
      <c r="K3935">
        <v>7.29</v>
      </c>
      <c r="L3935">
        <v>0</v>
      </c>
    </row>
    <row r="3936" spans="1:12" x14ac:dyDescent="0.3">
      <c r="A3936" t="s">
        <v>3952</v>
      </c>
      <c r="B3936" t="s">
        <v>17</v>
      </c>
      <c r="C3936">
        <v>8997</v>
      </c>
      <c r="D3936">
        <v>143.94999999999999</v>
      </c>
      <c r="E3936">
        <v>25.91</v>
      </c>
      <c r="F3936">
        <f>COUNTIFS(mdr_rate_cleaned!$A$2:$A$10,B3936,mdr_rate_cleaned!$B$2:$B$10,"&lt;"&amp;C3936,mdr_rate_cleaned!$F$2:$F$10,"&gt;="&amp;C3936)</f>
        <v>1</v>
      </c>
      <c r="G3936">
        <v>1.6E-2</v>
      </c>
      <c r="H3936">
        <v>143.94999999999999</v>
      </c>
      <c r="I3936" t="s">
        <v>15</v>
      </c>
      <c r="J3936" t="s">
        <v>15</v>
      </c>
      <c r="K3936">
        <v>25.91</v>
      </c>
      <c r="L3936">
        <v>0</v>
      </c>
    </row>
    <row r="3937" spans="1:12" x14ac:dyDescent="0.3">
      <c r="A3937" t="s">
        <v>3953</v>
      </c>
      <c r="B3937" t="s">
        <v>21</v>
      </c>
      <c r="C3937">
        <v>2298</v>
      </c>
      <c r="D3937">
        <v>6.89</v>
      </c>
      <c r="E3937">
        <v>1.24</v>
      </c>
      <c r="F3937">
        <f>COUNTIFS(mdr_rate_cleaned!$A$2:$A$10,B3937,mdr_rate_cleaned!$B$2:$B$10,"&lt;"&amp;C3937,mdr_rate_cleaned!$F$2:$F$10,"&gt;="&amp;C3937)</f>
        <v>1</v>
      </c>
      <c r="G3937">
        <v>3.0000000000000001E-3</v>
      </c>
      <c r="H3937">
        <v>6.89</v>
      </c>
      <c r="I3937" t="s">
        <v>15</v>
      </c>
      <c r="J3937" t="s">
        <v>15</v>
      </c>
      <c r="K3937">
        <v>1.24</v>
      </c>
      <c r="L3937">
        <v>0</v>
      </c>
    </row>
    <row r="3938" spans="1:12" x14ac:dyDescent="0.3">
      <c r="A3938" t="s">
        <v>3954</v>
      </c>
      <c r="B3938" t="s">
        <v>21</v>
      </c>
      <c r="C3938">
        <v>299</v>
      </c>
      <c r="D3938">
        <v>0</v>
      </c>
      <c r="E3938">
        <v>0</v>
      </c>
      <c r="F3938">
        <f>COUNTIFS(mdr_rate_cleaned!$A$2:$A$10,B3938,mdr_rate_cleaned!$B$2:$B$10,"&lt;"&amp;C3938,mdr_rate_cleaned!$F$2:$F$10,"&gt;="&amp;C3938)</f>
        <v>1</v>
      </c>
      <c r="G3938">
        <v>0</v>
      </c>
      <c r="H3938">
        <v>0</v>
      </c>
      <c r="I3938" t="s">
        <v>15</v>
      </c>
      <c r="J3938" t="s">
        <v>15</v>
      </c>
      <c r="K3938">
        <v>0</v>
      </c>
      <c r="L3938">
        <v>0</v>
      </c>
    </row>
    <row r="3939" spans="1:12" x14ac:dyDescent="0.3">
      <c r="A3939" t="s">
        <v>3955</v>
      </c>
      <c r="B3939" t="s">
        <v>17</v>
      </c>
      <c r="C3939">
        <v>3498</v>
      </c>
      <c r="D3939">
        <v>55.97</v>
      </c>
      <c r="E3939">
        <v>10.07</v>
      </c>
      <c r="F3939">
        <f>COUNTIFS(mdr_rate_cleaned!$A$2:$A$10,B3939,mdr_rate_cleaned!$B$2:$B$10,"&lt;"&amp;C3939,mdr_rate_cleaned!$F$2:$F$10,"&gt;="&amp;C3939)</f>
        <v>1</v>
      </c>
      <c r="G3939">
        <v>1.6E-2</v>
      </c>
      <c r="H3939">
        <v>55.97</v>
      </c>
      <c r="I3939" t="s">
        <v>15</v>
      </c>
      <c r="J3939" t="s">
        <v>15</v>
      </c>
      <c r="K3939">
        <v>10.07</v>
      </c>
      <c r="L3939">
        <v>0</v>
      </c>
    </row>
    <row r="3940" spans="1:12" x14ac:dyDescent="0.3">
      <c r="A3940" t="s">
        <v>3956</v>
      </c>
      <c r="B3940" t="s">
        <v>21</v>
      </c>
      <c r="C3940">
        <v>599</v>
      </c>
      <c r="D3940">
        <v>0</v>
      </c>
      <c r="E3940">
        <v>0</v>
      </c>
      <c r="F3940">
        <f>COUNTIFS(mdr_rate_cleaned!$A$2:$A$10,B3940,mdr_rate_cleaned!$B$2:$B$10,"&lt;"&amp;C3940,mdr_rate_cleaned!$F$2:$F$10,"&gt;="&amp;C3940)</f>
        <v>1</v>
      </c>
      <c r="G3940">
        <v>0</v>
      </c>
      <c r="H3940">
        <v>0</v>
      </c>
      <c r="I3940" t="s">
        <v>15</v>
      </c>
      <c r="J3940" t="s">
        <v>15</v>
      </c>
      <c r="K3940">
        <v>0</v>
      </c>
      <c r="L3940">
        <v>0</v>
      </c>
    </row>
    <row r="3941" spans="1:12" x14ac:dyDescent="0.3">
      <c r="A3941" t="s">
        <v>3957</v>
      </c>
      <c r="B3941" t="s">
        <v>21</v>
      </c>
      <c r="C3941">
        <v>3598</v>
      </c>
      <c r="D3941">
        <v>10.79</v>
      </c>
      <c r="E3941">
        <v>1.94</v>
      </c>
      <c r="F3941">
        <f>COUNTIFS(mdr_rate_cleaned!$A$2:$A$10,B3941,mdr_rate_cleaned!$B$2:$B$10,"&lt;"&amp;C3941,mdr_rate_cleaned!$F$2:$F$10,"&gt;="&amp;C3941)</f>
        <v>1</v>
      </c>
      <c r="G3941">
        <v>3.0000000000000001E-3</v>
      </c>
      <c r="H3941">
        <v>10.79</v>
      </c>
      <c r="I3941" t="s">
        <v>15</v>
      </c>
      <c r="J3941" t="s">
        <v>15</v>
      </c>
      <c r="K3941">
        <v>1.94</v>
      </c>
      <c r="L3941">
        <v>0</v>
      </c>
    </row>
    <row r="3942" spans="1:12" x14ac:dyDescent="0.3">
      <c r="A3942" t="s">
        <v>3958</v>
      </c>
      <c r="B3942" t="s">
        <v>21</v>
      </c>
      <c r="C3942">
        <v>6347</v>
      </c>
      <c r="D3942">
        <v>19.04</v>
      </c>
      <c r="E3942">
        <v>3.43</v>
      </c>
      <c r="F3942">
        <f>COUNTIFS(mdr_rate_cleaned!$A$2:$A$10,B3942,mdr_rate_cleaned!$B$2:$B$10,"&lt;"&amp;C3942,mdr_rate_cleaned!$F$2:$F$10,"&gt;="&amp;C3942)</f>
        <v>1</v>
      </c>
      <c r="G3942">
        <v>3.0000000000000001E-3</v>
      </c>
      <c r="H3942">
        <v>19.04</v>
      </c>
      <c r="I3942" t="s">
        <v>15</v>
      </c>
      <c r="J3942" t="s">
        <v>15</v>
      </c>
      <c r="K3942">
        <v>3.43</v>
      </c>
      <c r="L3942">
        <v>0</v>
      </c>
    </row>
    <row r="3943" spans="1:12" x14ac:dyDescent="0.3">
      <c r="A3943" t="s">
        <v>3959</v>
      </c>
      <c r="B3943" t="s">
        <v>21</v>
      </c>
      <c r="C3943">
        <v>3848</v>
      </c>
      <c r="D3943">
        <v>11.54</v>
      </c>
      <c r="E3943">
        <v>2.08</v>
      </c>
      <c r="F3943">
        <f>COUNTIFS(mdr_rate_cleaned!$A$2:$A$10,B3943,mdr_rate_cleaned!$B$2:$B$10,"&lt;"&amp;C3943,mdr_rate_cleaned!$F$2:$F$10,"&gt;="&amp;C3943)</f>
        <v>1</v>
      </c>
      <c r="G3943">
        <v>3.0000000000000001E-3</v>
      </c>
      <c r="H3943">
        <v>11.54</v>
      </c>
      <c r="I3943" t="s">
        <v>15</v>
      </c>
      <c r="J3943" t="s">
        <v>15</v>
      </c>
      <c r="K3943">
        <v>2.08</v>
      </c>
      <c r="L3943">
        <v>0</v>
      </c>
    </row>
    <row r="3944" spans="1:12" x14ac:dyDescent="0.3">
      <c r="A3944" t="s">
        <v>3960</v>
      </c>
      <c r="B3944" t="s">
        <v>17</v>
      </c>
      <c r="C3944">
        <v>3298</v>
      </c>
      <c r="D3944">
        <v>52.77</v>
      </c>
      <c r="E3944">
        <v>9.5</v>
      </c>
      <c r="F3944">
        <f>COUNTIFS(mdr_rate_cleaned!$A$2:$A$10,B3944,mdr_rate_cleaned!$B$2:$B$10,"&lt;"&amp;C3944,mdr_rate_cleaned!$F$2:$F$10,"&gt;="&amp;C3944)</f>
        <v>1</v>
      </c>
      <c r="G3944">
        <v>1.6E-2</v>
      </c>
      <c r="H3944">
        <v>52.77</v>
      </c>
      <c r="I3944" t="s">
        <v>15</v>
      </c>
      <c r="J3944" t="s">
        <v>15</v>
      </c>
      <c r="K3944">
        <v>9.5</v>
      </c>
      <c r="L3944">
        <v>0</v>
      </c>
    </row>
    <row r="3945" spans="1:12" x14ac:dyDescent="0.3">
      <c r="A3945" t="s">
        <v>3961</v>
      </c>
      <c r="B3945" t="s">
        <v>13</v>
      </c>
      <c r="C3945">
        <v>948</v>
      </c>
      <c r="D3945">
        <v>18.010000000000002</v>
      </c>
      <c r="E3945">
        <v>3.24</v>
      </c>
      <c r="F3945">
        <f>COUNTIFS(mdr_rate_cleaned!$A$2:$A$10,B3945,mdr_rate_cleaned!$B$2:$B$10,"&lt;"&amp;C3945,mdr_rate_cleaned!$F$2:$F$10,"&gt;="&amp;C3945)</f>
        <v>1</v>
      </c>
      <c r="G3945">
        <v>1.9E-2</v>
      </c>
      <c r="H3945">
        <v>18.010000000000002</v>
      </c>
      <c r="I3945" t="s">
        <v>15</v>
      </c>
      <c r="J3945" t="s">
        <v>15</v>
      </c>
      <c r="K3945">
        <v>3.24</v>
      </c>
      <c r="L3945">
        <v>0</v>
      </c>
    </row>
    <row r="3946" spans="1:12" x14ac:dyDescent="0.3">
      <c r="A3946" t="s">
        <v>3962</v>
      </c>
      <c r="B3946" t="s">
        <v>21</v>
      </c>
      <c r="C3946">
        <v>3897</v>
      </c>
      <c r="D3946">
        <v>11.69</v>
      </c>
      <c r="E3946">
        <v>2.1</v>
      </c>
      <c r="F3946">
        <f>COUNTIFS(mdr_rate_cleaned!$A$2:$A$10,B3946,mdr_rate_cleaned!$B$2:$B$10,"&lt;"&amp;C3946,mdr_rate_cleaned!$F$2:$F$10,"&gt;="&amp;C3946)</f>
        <v>1</v>
      </c>
      <c r="G3946">
        <v>3.0000000000000001E-3</v>
      </c>
      <c r="H3946">
        <v>11.69</v>
      </c>
      <c r="I3946" t="s">
        <v>15</v>
      </c>
      <c r="J3946" t="s">
        <v>15</v>
      </c>
      <c r="K3946">
        <v>2.1</v>
      </c>
      <c r="L3946">
        <v>0</v>
      </c>
    </row>
    <row r="3947" spans="1:12" x14ac:dyDescent="0.3">
      <c r="A3947" t="s">
        <v>3963</v>
      </c>
      <c r="B3947" t="s">
        <v>21</v>
      </c>
      <c r="C3947">
        <v>4798</v>
      </c>
      <c r="D3947">
        <v>14.39</v>
      </c>
      <c r="E3947">
        <v>2.59</v>
      </c>
      <c r="F3947">
        <f>COUNTIFS(mdr_rate_cleaned!$A$2:$A$10,B3947,mdr_rate_cleaned!$B$2:$B$10,"&lt;"&amp;C3947,mdr_rate_cleaned!$F$2:$F$10,"&gt;="&amp;C3947)</f>
        <v>1</v>
      </c>
      <c r="G3947">
        <v>3.0000000000000001E-3</v>
      </c>
      <c r="H3947">
        <v>14.39</v>
      </c>
      <c r="I3947" t="s">
        <v>15</v>
      </c>
      <c r="J3947" t="s">
        <v>15</v>
      </c>
      <c r="K3947">
        <v>2.59</v>
      </c>
      <c r="L3947">
        <v>0</v>
      </c>
    </row>
    <row r="3948" spans="1:12" x14ac:dyDescent="0.3">
      <c r="A3948" t="s">
        <v>3964</v>
      </c>
      <c r="B3948" t="s">
        <v>17</v>
      </c>
      <c r="C3948">
        <v>499</v>
      </c>
      <c r="D3948">
        <v>8.98</v>
      </c>
      <c r="E3948">
        <v>1.62</v>
      </c>
      <c r="F3948">
        <f>COUNTIFS(mdr_rate_cleaned!$A$2:$A$10,B3948,mdr_rate_cleaned!$B$2:$B$10,"&lt;"&amp;C3948,mdr_rate_cleaned!$F$2:$F$10,"&gt;="&amp;C3948)</f>
        <v>1</v>
      </c>
      <c r="G3948">
        <v>1.7999999999999999E-2</v>
      </c>
      <c r="H3948">
        <v>8.98</v>
      </c>
      <c r="I3948" t="s">
        <v>15</v>
      </c>
      <c r="J3948" t="s">
        <v>15</v>
      </c>
      <c r="K3948">
        <v>1.62</v>
      </c>
      <c r="L3948">
        <v>0</v>
      </c>
    </row>
    <row r="3949" spans="1:12" x14ac:dyDescent="0.3">
      <c r="A3949" t="s">
        <v>3965</v>
      </c>
      <c r="B3949" t="s">
        <v>17</v>
      </c>
      <c r="C3949">
        <v>1198</v>
      </c>
      <c r="D3949">
        <v>21.56</v>
      </c>
      <c r="E3949">
        <v>3.88</v>
      </c>
      <c r="F3949">
        <f>COUNTIFS(mdr_rate_cleaned!$A$2:$A$10,B3949,mdr_rate_cleaned!$B$2:$B$10,"&lt;"&amp;C3949,mdr_rate_cleaned!$F$2:$F$10,"&gt;="&amp;C3949)</f>
        <v>1</v>
      </c>
      <c r="G3949">
        <v>1.7999999999999999E-2</v>
      </c>
      <c r="H3949">
        <v>21.56</v>
      </c>
      <c r="I3949" t="s">
        <v>15</v>
      </c>
      <c r="J3949" t="s">
        <v>15</v>
      </c>
      <c r="K3949">
        <v>3.88</v>
      </c>
      <c r="L3949">
        <v>0</v>
      </c>
    </row>
    <row r="3950" spans="1:12" x14ac:dyDescent="0.3">
      <c r="A3950" t="s">
        <v>3966</v>
      </c>
      <c r="B3950" t="s">
        <v>17</v>
      </c>
      <c r="C3950">
        <v>2499</v>
      </c>
      <c r="D3950">
        <v>39.979999999999997</v>
      </c>
      <c r="E3950">
        <v>7.2</v>
      </c>
      <c r="F3950">
        <f>COUNTIFS(mdr_rate_cleaned!$A$2:$A$10,B3950,mdr_rate_cleaned!$B$2:$B$10,"&lt;"&amp;C3950,mdr_rate_cleaned!$F$2:$F$10,"&gt;="&amp;C3950)</f>
        <v>1</v>
      </c>
      <c r="G3950">
        <v>1.6E-2</v>
      </c>
      <c r="H3950">
        <v>39.979999999999997</v>
      </c>
      <c r="I3950" t="s">
        <v>15</v>
      </c>
      <c r="J3950" t="s">
        <v>15</v>
      </c>
      <c r="K3950">
        <v>7.2</v>
      </c>
      <c r="L3950">
        <v>0</v>
      </c>
    </row>
    <row r="3951" spans="1:12" x14ac:dyDescent="0.3">
      <c r="A3951" t="s">
        <v>3967</v>
      </c>
      <c r="B3951" t="s">
        <v>17</v>
      </c>
      <c r="C3951">
        <v>2798</v>
      </c>
      <c r="D3951">
        <v>44.77</v>
      </c>
      <c r="E3951">
        <v>8.06</v>
      </c>
      <c r="F3951">
        <f>COUNTIFS(mdr_rate_cleaned!$A$2:$A$10,B3951,mdr_rate_cleaned!$B$2:$B$10,"&lt;"&amp;C3951,mdr_rate_cleaned!$F$2:$F$10,"&gt;="&amp;C3951)</f>
        <v>1</v>
      </c>
      <c r="G3951">
        <v>1.6E-2</v>
      </c>
      <c r="H3951">
        <v>44.77</v>
      </c>
      <c r="I3951" t="s">
        <v>15</v>
      </c>
      <c r="J3951" t="s">
        <v>15</v>
      </c>
      <c r="K3951">
        <v>8.06</v>
      </c>
      <c r="L3951">
        <v>0</v>
      </c>
    </row>
    <row r="3952" spans="1:12" x14ac:dyDescent="0.3">
      <c r="A3952" t="s">
        <v>3968</v>
      </c>
      <c r="B3952" t="s">
        <v>17</v>
      </c>
      <c r="C3952">
        <v>6498</v>
      </c>
      <c r="D3952">
        <v>103.97</v>
      </c>
      <c r="E3952">
        <v>18.71</v>
      </c>
      <c r="F3952">
        <f>COUNTIFS(mdr_rate_cleaned!$A$2:$A$10,B3952,mdr_rate_cleaned!$B$2:$B$10,"&lt;"&amp;C3952,mdr_rate_cleaned!$F$2:$F$10,"&gt;="&amp;C3952)</f>
        <v>1</v>
      </c>
      <c r="G3952">
        <v>1.6E-2</v>
      </c>
      <c r="H3952">
        <v>103.97</v>
      </c>
      <c r="I3952" t="s">
        <v>15</v>
      </c>
      <c r="J3952" t="s">
        <v>15</v>
      </c>
      <c r="K3952">
        <v>18.71</v>
      </c>
      <c r="L3952">
        <v>0</v>
      </c>
    </row>
    <row r="3953" spans="1:12" x14ac:dyDescent="0.3">
      <c r="A3953" t="s">
        <v>3969</v>
      </c>
      <c r="B3953" t="s">
        <v>21</v>
      </c>
      <c r="C3953">
        <v>3098</v>
      </c>
      <c r="D3953">
        <v>9.2899999999999991</v>
      </c>
      <c r="E3953">
        <v>1.67</v>
      </c>
      <c r="F3953">
        <f>COUNTIFS(mdr_rate_cleaned!$A$2:$A$10,B3953,mdr_rate_cleaned!$B$2:$B$10,"&lt;"&amp;C3953,mdr_rate_cleaned!$F$2:$F$10,"&gt;="&amp;C3953)</f>
        <v>1</v>
      </c>
      <c r="G3953">
        <v>3.0000000000000001E-3</v>
      </c>
      <c r="H3953">
        <v>9.2899999999999991</v>
      </c>
      <c r="I3953" t="s">
        <v>15</v>
      </c>
      <c r="J3953" t="s">
        <v>15</v>
      </c>
      <c r="K3953">
        <v>1.67</v>
      </c>
      <c r="L3953">
        <v>0</v>
      </c>
    </row>
    <row r="3954" spans="1:12" x14ac:dyDescent="0.3">
      <c r="A3954" t="s">
        <v>3970</v>
      </c>
      <c r="B3954" t="s">
        <v>17</v>
      </c>
      <c r="C3954">
        <v>4597</v>
      </c>
      <c r="D3954">
        <v>73.55</v>
      </c>
      <c r="E3954">
        <v>13.24</v>
      </c>
      <c r="F3954">
        <f>COUNTIFS(mdr_rate_cleaned!$A$2:$A$10,B3954,mdr_rate_cleaned!$B$2:$B$10,"&lt;"&amp;C3954,mdr_rate_cleaned!$F$2:$F$10,"&gt;="&amp;C3954)</f>
        <v>1</v>
      </c>
      <c r="G3954">
        <v>1.6E-2</v>
      </c>
      <c r="H3954">
        <v>73.55</v>
      </c>
      <c r="I3954" t="s">
        <v>15</v>
      </c>
      <c r="J3954" t="s">
        <v>15</v>
      </c>
      <c r="K3954">
        <v>13.24</v>
      </c>
      <c r="L3954">
        <v>0</v>
      </c>
    </row>
    <row r="3955" spans="1:12" x14ac:dyDescent="0.3">
      <c r="A3955" t="s">
        <v>3971</v>
      </c>
      <c r="B3955" t="s">
        <v>21</v>
      </c>
      <c r="C3955">
        <v>10597</v>
      </c>
      <c r="D3955">
        <v>31.79</v>
      </c>
      <c r="E3955">
        <v>5.72</v>
      </c>
      <c r="F3955">
        <f>COUNTIFS(mdr_rate_cleaned!$A$2:$A$10,B3955,mdr_rate_cleaned!$B$2:$B$10,"&lt;"&amp;C3955,mdr_rate_cleaned!$F$2:$F$10,"&gt;="&amp;C3955)</f>
        <v>1</v>
      </c>
      <c r="G3955">
        <v>3.0000000000000001E-3</v>
      </c>
      <c r="H3955">
        <v>31.79</v>
      </c>
      <c r="I3955" t="s">
        <v>15</v>
      </c>
      <c r="J3955" t="s">
        <v>15</v>
      </c>
      <c r="K3955">
        <v>5.72</v>
      </c>
      <c r="L3955">
        <v>0</v>
      </c>
    </row>
    <row r="3956" spans="1:12" x14ac:dyDescent="0.3">
      <c r="A3956" t="s">
        <v>3972</v>
      </c>
      <c r="B3956" t="s">
        <v>21</v>
      </c>
      <c r="C3956">
        <v>8347</v>
      </c>
      <c r="D3956">
        <v>25.04</v>
      </c>
      <c r="E3956">
        <v>4.51</v>
      </c>
      <c r="F3956">
        <f>COUNTIFS(mdr_rate_cleaned!$A$2:$A$10,B3956,mdr_rate_cleaned!$B$2:$B$10,"&lt;"&amp;C3956,mdr_rate_cleaned!$F$2:$F$10,"&gt;="&amp;C3956)</f>
        <v>1</v>
      </c>
      <c r="G3956">
        <v>3.0000000000000001E-3</v>
      </c>
      <c r="H3956">
        <v>25.04</v>
      </c>
      <c r="I3956" t="s">
        <v>15</v>
      </c>
      <c r="J3956" t="s">
        <v>15</v>
      </c>
      <c r="K3956">
        <v>4.51</v>
      </c>
      <c r="L3956">
        <v>0</v>
      </c>
    </row>
    <row r="3957" spans="1:12" x14ac:dyDescent="0.3">
      <c r="A3957" t="s">
        <v>3973</v>
      </c>
      <c r="B3957" t="s">
        <v>21</v>
      </c>
      <c r="C3957">
        <v>5597</v>
      </c>
      <c r="D3957">
        <v>16.79</v>
      </c>
      <c r="E3957">
        <v>3.02</v>
      </c>
      <c r="F3957">
        <f>COUNTIFS(mdr_rate_cleaned!$A$2:$A$10,B3957,mdr_rate_cleaned!$B$2:$B$10,"&lt;"&amp;C3957,mdr_rate_cleaned!$F$2:$F$10,"&gt;="&amp;C3957)</f>
        <v>1</v>
      </c>
      <c r="G3957">
        <v>3.0000000000000001E-3</v>
      </c>
      <c r="H3957">
        <v>16.79</v>
      </c>
      <c r="I3957" t="s">
        <v>15</v>
      </c>
      <c r="J3957" t="s">
        <v>15</v>
      </c>
      <c r="K3957">
        <v>3.02</v>
      </c>
      <c r="L3957">
        <v>0</v>
      </c>
    </row>
    <row r="3958" spans="1:12" x14ac:dyDescent="0.3">
      <c r="A3958" t="s">
        <v>3974</v>
      </c>
      <c r="B3958" t="s">
        <v>21</v>
      </c>
      <c r="C3958">
        <v>6097</v>
      </c>
      <c r="D3958">
        <v>18.29</v>
      </c>
      <c r="E3958">
        <v>3.29</v>
      </c>
      <c r="F3958">
        <f>COUNTIFS(mdr_rate_cleaned!$A$2:$A$10,B3958,mdr_rate_cleaned!$B$2:$B$10,"&lt;"&amp;C3958,mdr_rate_cleaned!$F$2:$F$10,"&gt;="&amp;C3958)</f>
        <v>1</v>
      </c>
      <c r="G3958">
        <v>3.0000000000000001E-3</v>
      </c>
      <c r="H3958">
        <v>18.29</v>
      </c>
      <c r="I3958" t="s">
        <v>15</v>
      </c>
      <c r="J3958" t="s">
        <v>15</v>
      </c>
      <c r="K3958">
        <v>3.29</v>
      </c>
      <c r="L3958">
        <v>0</v>
      </c>
    </row>
    <row r="3959" spans="1:12" x14ac:dyDescent="0.3">
      <c r="A3959" t="s">
        <v>3975</v>
      </c>
      <c r="B3959" t="s">
        <v>21</v>
      </c>
      <c r="C3959">
        <v>349</v>
      </c>
      <c r="D3959">
        <v>0</v>
      </c>
      <c r="E3959">
        <v>0</v>
      </c>
      <c r="F3959">
        <f>COUNTIFS(mdr_rate_cleaned!$A$2:$A$10,B3959,mdr_rate_cleaned!$B$2:$B$10,"&lt;"&amp;C3959,mdr_rate_cleaned!$F$2:$F$10,"&gt;="&amp;C3959)</f>
        <v>1</v>
      </c>
      <c r="G3959">
        <v>0</v>
      </c>
      <c r="H3959">
        <v>0</v>
      </c>
      <c r="I3959" t="s">
        <v>15</v>
      </c>
      <c r="J3959" t="s">
        <v>15</v>
      </c>
      <c r="K3959">
        <v>0</v>
      </c>
      <c r="L3959">
        <v>0</v>
      </c>
    </row>
    <row r="3960" spans="1:12" x14ac:dyDescent="0.3">
      <c r="A3960" t="s">
        <v>3976</v>
      </c>
      <c r="B3960" t="s">
        <v>21</v>
      </c>
      <c r="C3960">
        <v>8297</v>
      </c>
      <c r="D3960">
        <v>24.89</v>
      </c>
      <c r="E3960">
        <v>4.4800000000000004</v>
      </c>
      <c r="F3960">
        <f>COUNTIFS(mdr_rate_cleaned!$A$2:$A$10,B3960,mdr_rate_cleaned!$B$2:$B$10,"&lt;"&amp;C3960,mdr_rate_cleaned!$F$2:$F$10,"&gt;="&amp;C3960)</f>
        <v>1</v>
      </c>
      <c r="G3960">
        <v>3.0000000000000001E-3</v>
      </c>
      <c r="H3960">
        <v>24.89</v>
      </c>
      <c r="I3960" t="s">
        <v>15</v>
      </c>
      <c r="J3960" t="s">
        <v>15</v>
      </c>
      <c r="K3960">
        <v>4.4800000000000004</v>
      </c>
      <c r="L3960">
        <v>0</v>
      </c>
    </row>
    <row r="3961" spans="1:12" x14ac:dyDescent="0.3">
      <c r="A3961" t="s">
        <v>3977</v>
      </c>
      <c r="B3961" t="s">
        <v>13</v>
      </c>
      <c r="C3961">
        <v>1299</v>
      </c>
      <c r="D3961">
        <v>24.68</v>
      </c>
      <c r="E3961">
        <v>4.4400000000000004</v>
      </c>
      <c r="F3961">
        <f>COUNTIFS(mdr_rate_cleaned!$A$2:$A$10,B3961,mdr_rate_cleaned!$B$2:$B$10,"&lt;"&amp;C3961,mdr_rate_cleaned!$F$2:$F$10,"&gt;="&amp;C3961)</f>
        <v>1</v>
      </c>
      <c r="G3961">
        <v>1.9E-2</v>
      </c>
      <c r="H3961">
        <v>24.68</v>
      </c>
      <c r="I3961" t="s">
        <v>15</v>
      </c>
      <c r="J3961" t="s">
        <v>15</v>
      </c>
      <c r="K3961">
        <v>4.4400000000000004</v>
      </c>
      <c r="L3961">
        <v>0</v>
      </c>
    </row>
    <row r="3962" spans="1:12" x14ac:dyDescent="0.3">
      <c r="A3962" t="s">
        <v>3978</v>
      </c>
      <c r="B3962" t="s">
        <v>21</v>
      </c>
      <c r="C3962">
        <v>3097</v>
      </c>
      <c r="D3962">
        <v>9.2899999999999991</v>
      </c>
      <c r="E3962">
        <v>1.67</v>
      </c>
      <c r="F3962">
        <f>COUNTIFS(mdr_rate_cleaned!$A$2:$A$10,B3962,mdr_rate_cleaned!$B$2:$B$10,"&lt;"&amp;C3962,mdr_rate_cleaned!$F$2:$F$10,"&gt;="&amp;C3962)</f>
        <v>1</v>
      </c>
      <c r="G3962">
        <v>3.0000000000000001E-3</v>
      </c>
      <c r="H3962">
        <v>9.2899999999999991</v>
      </c>
      <c r="I3962" t="s">
        <v>15</v>
      </c>
      <c r="J3962" t="s">
        <v>15</v>
      </c>
      <c r="K3962">
        <v>1.67</v>
      </c>
      <c r="L3962">
        <v>0</v>
      </c>
    </row>
    <row r="3963" spans="1:12" x14ac:dyDescent="0.3">
      <c r="A3963" t="s">
        <v>3979</v>
      </c>
      <c r="B3963" t="s">
        <v>21</v>
      </c>
      <c r="C3963">
        <v>499</v>
      </c>
      <c r="D3963">
        <v>0</v>
      </c>
      <c r="E3963">
        <v>0</v>
      </c>
      <c r="F3963">
        <f>COUNTIFS(mdr_rate_cleaned!$A$2:$A$10,B3963,mdr_rate_cleaned!$B$2:$B$10,"&lt;"&amp;C3963,mdr_rate_cleaned!$F$2:$F$10,"&gt;="&amp;C3963)</f>
        <v>1</v>
      </c>
      <c r="G3963">
        <v>0</v>
      </c>
      <c r="H3963">
        <v>0</v>
      </c>
      <c r="I3963" t="s">
        <v>15</v>
      </c>
      <c r="J3963" t="s">
        <v>15</v>
      </c>
      <c r="K3963">
        <v>0</v>
      </c>
      <c r="L3963">
        <v>0</v>
      </c>
    </row>
    <row r="3964" spans="1:12" x14ac:dyDescent="0.3">
      <c r="A3964" t="s">
        <v>3980</v>
      </c>
      <c r="B3964" t="s">
        <v>21</v>
      </c>
      <c r="C3964">
        <v>1499</v>
      </c>
      <c r="D3964">
        <v>0</v>
      </c>
      <c r="E3964">
        <v>0</v>
      </c>
      <c r="F3964">
        <f>COUNTIFS(mdr_rate_cleaned!$A$2:$A$10,B3964,mdr_rate_cleaned!$B$2:$B$10,"&lt;"&amp;C3964,mdr_rate_cleaned!$F$2:$F$10,"&gt;="&amp;C3964)</f>
        <v>1</v>
      </c>
      <c r="G3964">
        <v>0</v>
      </c>
      <c r="H3964">
        <v>0</v>
      </c>
      <c r="I3964" t="s">
        <v>15</v>
      </c>
      <c r="J3964" t="s">
        <v>15</v>
      </c>
      <c r="K3964">
        <v>0</v>
      </c>
      <c r="L3964">
        <v>0</v>
      </c>
    </row>
    <row r="3965" spans="1:12" x14ac:dyDescent="0.3">
      <c r="A3965" t="s">
        <v>3981</v>
      </c>
      <c r="B3965" t="s">
        <v>17</v>
      </c>
      <c r="C3965">
        <v>349</v>
      </c>
      <c r="D3965">
        <v>6.28</v>
      </c>
      <c r="E3965">
        <v>1.1299999999999999</v>
      </c>
      <c r="F3965">
        <f>COUNTIFS(mdr_rate_cleaned!$A$2:$A$10,B3965,mdr_rate_cleaned!$B$2:$B$10,"&lt;"&amp;C3965,mdr_rate_cleaned!$F$2:$F$10,"&gt;="&amp;C3965)</f>
        <v>1</v>
      </c>
      <c r="G3965">
        <v>1.7999999999999999E-2</v>
      </c>
      <c r="H3965">
        <v>6.28</v>
      </c>
      <c r="I3965" t="s">
        <v>15</v>
      </c>
      <c r="J3965" t="s">
        <v>15</v>
      </c>
      <c r="K3965">
        <v>1.1299999999999999</v>
      </c>
      <c r="L3965">
        <v>0</v>
      </c>
    </row>
    <row r="3966" spans="1:12" x14ac:dyDescent="0.3">
      <c r="A3966" t="s">
        <v>3982</v>
      </c>
      <c r="B3966" t="s">
        <v>17</v>
      </c>
      <c r="C3966">
        <v>11597</v>
      </c>
      <c r="D3966">
        <v>185.55</v>
      </c>
      <c r="E3966">
        <v>33.4</v>
      </c>
      <c r="F3966">
        <f>COUNTIFS(mdr_rate_cleaned!$A$2:$A$10,B3966,mdr_rate_cleaned!$B$2:$B$10,"&lt;"&amp;C3966,mdr_rate_cleaned!$F$2:$F$10,"&gt;="&amp;C3966)</f>
        <v>1</v>
      </c>
      <c r="G3966">
        <v>1.6E-2</v>
      </c>
      <c r="H3966">
        <v>185.55</v>
      </c>
      <c r="I3966" t="s">
        <v>15</v>
      </c>
      <c r="J3966" t="s">
        <v>15</v>
      </c>
      <c r="K3966">
        <v>33.4</v>
      </c>
      <c r="L3966">
        <v>0</v>
      </c>
    </row>
    <row r="3967" spans="1:12" x14ac:dyDescent="0.3">
      <c r="A3967" t="s">
        <v>3983</v>
      </c>
      <c r="B3967" t="s">
        <v>21</v>
      </c>
      <c r="C3967">
        <v>5298</v>
      </c>
      <c r="D3967">
        <v>15.89</v>
      </c>
      <c r="E3967">
        <v>2.86</v>
      </c>
      <c r="F3967">
        <f>COUNTIFS(mdr_rate_cleaned!$A$2:$A$10,B3967,mdr_rate_cleaned!$B$2:$B$10,"&lt;"&amp;C3967,mdr_rate_cleaned!$F$2:$F$10,"&gt;="&amp;C3967)</f>
        <v>1</v>
      </c>
      <c r="G3967">
        <v>3.0000000000000001E-3</v>
      </c>
      <c r="H3967">
        <v>15.89</v>
      </c>
      <c r="I3967" t="s">
        <v>15</v>
      </c>
      <c r="J3967" t="s">
        <v>15</v>
      </c>
      <c r="K3967">
        <v>2.86</v>
      </c>
      <c r="L3967">
        <v>0</v>
      </c>
    </row>
    <row r="3968" spans="1:12" x14ac:dyDescent="0.3">
      <c r="A3968" t="s">
        <v>3984</v>
      </c>
      <c r="B3968" t="s">
        <v>17</v>
      </c>
      <c r="C3968">
        <v>3499</v>
      </c>
      <c r="D3968">
        <v>55.98</v>
      </c>
      <c r="E3968">
        <v>10.08</v>
      </c>
      <c r="F3968">
        <f>COUNTIFS(mdr_rate_cleaned!$A$2:$A$10,B3968,mdr_rate_cleaned!$B$2:$B$10,"&lt;"&amp;C3968,mdr_rate_cleaned!$F$2:$F$10,"&gt;="&amp;C3968)</f>
        <v>1</v>
      </c>
      <c r="G3968">
        <v>1.6E-2</v>
      </c>
      <c r="H3968">
        <v>55.98</v>
      </c>
      <c r="I3968" t="s">
        <v>15</v>
      </c>
      <c r="J3968" t="s">
        <v>15</v>
      </c>
      <c r="K3968">
        <v>10.08</v>
      </c>
      <c r="L3968">
        <v>0</v>
      </c>
    </row>
    <row r="3969" spans="1:12" x14ac:dyDescent="0.3">
      <c r="A3969" t="s">
        <v>3985</v>
      </c>
      <c r="B3969" t="s">
        <v>17</v>
      </c>
      <c r="C3969">
        <v>6798</v>
      </c>
      <c r="D3969">
        <v>108.77</v>
      </c>
      <c r="E3969">
        <v>19.579999999999998</v>
      </c>
      <c r="F3969">
        <f>COUNTIFS(mdr_rate_cleaned!$A$2:$A$10,B3969,mdr_rate_cleaned!$B$2:$B$10,"&lt;"&amp;C3969,mdr_rate_cleaned!$F$2:$F$10,"&gt;="&amp;C3969)</f>
        <v>1</v>
      </c>
      <c r="G3969">
        <v>1.6E-2</v>
      </c>
      <c r="H3969">
        <v>108.77</v>
      </c>
      <c r="I3969" t="s">
        <v>15</v>
      </c>
      <c r="J3969" t="s">
        <v>15</v>
      </c>
      <c r="K3969">
        <v>19.579999999999998</v>
      </c>
      <c r="L3969">
        <v>0</v>
      </c>
    </row>
    <row r="3970" spans="1:12" x14ac:dyDescent="0.3">
      <c r="A3970" t="s">
        <v>3986</v>
      </c>
      <c r="B3970" t="s">
        <v>21</v>
      </c>
      <c r="C3970">
        <v>1598</v>
      </c>
      <c r="D3970">
        <v>0</v>
      </c>
      <c r="E3970">
        <v>0</v>
      </c>
      <c r="F3970">
        <f>COUNTIFS(mdr_rate_cleaned!$A$2:$A$10,B3970,mdr_rate_cleaned!$B$2:$B$10,"&lt;"&amp;C3970,mdr_rate_cleaned!$F$2:$F$10,"&gt;="&amp;C3970)</f>
        <v>1</v>
      </c>
      <c r="G3970">
        <v>0</v>
      </c>
      <c r="H3970">
        <v>0</v>
      </c>
      <c r="I3970" t="s">
        <v>15</v>
      </c>
      <c r="J3970" t="s">
        <v>15</v>
      </c>
      <c r="K3970">
        <v>0</v>
      </c>
      <c r="L3970">
        <v>0</v>
      </c>
    </row>
    <row r="3971" spans="1:12" x14ac:dyDescent="0.3">
      <c r="A3971" t="s">
        <v>3987</v>
      </c>
      <c r="B3971" t="s">
        <v>13</v>
      </c>
      <c r="C3971">
        <v>799</v>
      </c>
      <c r="D3971">
        <v>15.18</v>
      </c>
      <c r="E3971">
        <v>2.73</v>
      </c>
      <c r="F3971">
        <f>COUNTIFS(mdr_rate_cleaned!$A$2:$A$10,B3971,mdr_rate_cleaned!$B$2:$B$10,"&lt;"&amp;C3971,mdr_rate_cleaned!$F$2:$F$10,"&gt;="&amp;C3971)</f>
        <v>1</v>
      </c>
      <c r="G3971">
        <v>1.9E-2</v>
      </c>
      <c r="H3971">
        <v>15.18</v>
      </c>
      <c r="I3971" t="s">
        <v>15</v>
      </c>
      <c r="J3971" t="s">
        <v>15</v>
      </c>
      <c r="K3971">
        <v>2.73</v>
      </c>
      <c r="L3971">
        <v>0</v>
      </c>
    </row>
    <row r="3972" spans="1:12" x14ac:dyDescent="0.3">
      <c r="A3972" t="s">
        <v>3988</v>
      </c>
      <c r="B3972" t="s">
        <v>13</v>
      </c>
      <c r="C3972">
        <v>1499</v>
      </c>
      <c r="D3972">
        <v>28.48</v>
      </c>
      <c r="E3972">
        <v>5.13</v>
      </c>
      <c r="F3972">
        <f>COUNTIFS(mdr_rate_cleaned!$A$2:$A$10,B3972,mdr_rate_cleaned!$B$2:$B$10,"&lt;"&amp;C3972,mdr_rate_cleaned!$F$2:$F$10,"&gt;="&amp;C3972)</f>
        <v>1</v>
      </c>
      <c r="G3972">
        <v>1.9E-2</v>
      </c>
      <c r="H3972">
        <v>28.48</v>
      </c>
      <c r="I3972" t="s">
        <v>15</v>
      </c>
      <c r="J3972" t="s">
        <v>15</v>
      </c>
      <c r="K3972">
        <v>5.13</v>
      </c>
      <c r="L3972">
        <v>0</v>
      </c>
    </row>
    <row r="3973" spans="1:12" x14ac:dyDescent="0.3">
      <c r="A3973" t="s">
        <v>3989</v>
      </c>
      <c r="B3973" t="s">
        <v>17</v>
      </c>
      <c r="C3973">
        <v>1799</v>
      </c>
      <c r="D3973">
        <v>32.380000000000003</v>
      </c>
      <c r="E3973">
        <v>5.83</v>
      </c>
      <c r="F3973">
        <f>COUNTIFS(mdr_rate_cleaned!$A$2:$A$10,B3973,mdr_rate_cleaned!$B$2:$B$10,"&lt;"&amp;C3973,mdr_rate_cleaned!$F$2:$F$10,"&gt;="&amp;C3973)</f>
        <v>1</v>
      </c>
      <c r="G3973">
        <v>1.7999999999999999E-2</v>
      </c>
      <c r="H3973">
        <v>32.380000000000003</v>
      </c>
      <c r="I3973" t="s">
        <v>15</v>
      </c>
      <c r="J3973" t="s">
        <v>15</v>
      </c>
      <c r="K3973">
        <v>5.83</v>
      </c>
      <c r="L3973">
        <v>0</v>
      </c>
    </row>
    <row r="3974" spans="1:12" x14ac:dyDescent="0.3">
      <c r="A3974" t="s">
        <v>3990</v>
      </c>
      <c r="B3974" t="s">
        <v>13</v>
      </c>
      <c r="C3974">
        <v>999</v>
      </c>
      <c r="D3974">
        <v>18.98</v>
      </c>
      <c r="E3974">
        <v>3.42</v>
      </c>
      <c r="F3974">
        <f>COUNTIFS(mdr_rate_cleaned!$A$2:$A$10,B3974,mdr_rate_cleaned!$B$2:$B$10,"&lt;"&amp;C3974,mdr_rate_cleaned!$F$2:$F$10,"&gt;="&amp;C3974)</f>
        <v>1</v>
      </c>
      <c r="G3974">
        <v>1.9E-2</v>
      </c>
      <c r="H3974">
        <v>18.98</v>
      </c>
      <c r="I3974" t="s">
        <v>15</v>
      </c>
      <c r="J3974" t="s">
        <v>15</v>
      </c>
      <c r="K3974">
        <v>3.42</v>
      </c>
      <c r="L3974">
        <v>0</v>
      </c>
    </row>
    <row r="3975" spans="1:12" x14ac:dyDescent="0.3">
      <c r="A3975" t="s">
        <v>3991</v>
      </c>
      <c r="B3975" t="s">
        <v>21</v>
      </c>
      <c r="C3975">
        <v>1298</v>
      </c>
      <c r="D3975">
        <v>0</v>
      </c>
      <c r="E3975">
        <v>0</v>
      </c>
      <c r="F3975">
        <f>COUNTIFS(mdr_rate_cleaned!$A$2:$A$10,B3975,mdr_rate_cleaned!$B$2:$B$10,"&lt;"&amp;C3975,mdr_rate_cleaned!$F$2:$F$10,"&gt;="&amp;C3975)</f>
        <v>1</v>
      </c>
      <c r="G3975">
        <v>0</v>
      </c>
      <c r="H3975">
        <v>0</v>
      </c>
      <c r="I3975" t="s">
        <v>15</v>
      </c>
      <c r="J3975" t="s">
        <v>15</v>
      </c>
      <c r="K3975">
        <v>0</v>
      </c>
      <c r="L3975">
        <v>0</v>
      </c>
    </row>
    <row r="3976" spans="1:12" x14ac:dyDescent="0.3">
      <c r="A3976" t="s">
        <v>3992</v>
      </c>
      <c r="B3976" t="s">
        <v>21</v>
      </c>
      <c r="C3976">
        <v>599</v>
      </c>
      <c r="D3976">
        <v>0</v>
      </c>
      <c r="E3976">
        <v>0</v>
      </c>
      <c r="F3976">
        <f>COUNTIFS(mdr_rate_cleaned!$A$2:$A$10,B3976,mdr_rate_cleaned!$B$2:$B$10,"&lt;"&amp;C3976,mdr_rate_cleaned!$F$2:$F$10,"&gt;="&amp;C3976)</f>
        <v>1</v>
      </c>
      <c r="G3976">
        <v>0</v>
      </c>
      <c r="H3976">
        <v>0</v>
      </c>
      <c r="I3976" t="s">
        <v>15</v>
      </c>
      <c r="J3976" t="s">
        <v>15</v>
      </c>
      <c r="K3976">
        <v>0</v>
      </c>
      <c r="L3976">
        <v>0</v>
      </c>
    </row>
    <row r="3977" spans="1:12" x14ac:dyDescent="0.3">
      <c r="A3977" t="s">
        <v>3993</v>
      </c>
      <c r="B3977" t="s">
        <v>17</v>
      </c>
      <c r="C3977">
        <v>3847</v>
      </c>
      <c r="D3977">
        <v>61.55</v>
      </c>
      <c r="E3977">
        <v>11.08</v>
      </c>
      <c r="F3977">
        <f>COUNTIFS(mdr_rate_cleaned!$A$2:$A$10,B3977,mdr_rate_cleaned!$B$2:$B$10,"&lt;"&amp;C3977,mdr_rate_cleaned!$F$2:$F$10,"&gt;="&amp;C3977)</f>
        <v>1</v>
      </c>
      <c r="G3977">
        <v>1.6E-2</v>
      </c>
      <c r="H3977">
        <v>61.55</v>
      </c>
      <c r="I3977" t="s">
        <v>15</v>
      </c>
      <c r="J3977" t="s">
        <v>15</v>
      </c>
      <c r="K3977">
        <v>11.08</v>
      </c>
      <c r="L3977">
        <v>0</v>
      </c>
    </row>
    <row r="3978" spans="1:12" x14ac:dyDescent="0.3">
      <c r="A3978" t="s">
        <v>3994</v>
      </c>
      <c r="B3978" t="s">
        <v>21</v>
      </c>
      <c r="C3978">
        <v>3597</v>
      </c>
      <c r="D3978">
        <v>10.79</v>
      </c>
      <c r="E3978">
        <v>1.94</v>
      </c>
      <c r="F3978">
        <f>COUNTIFS(mdr_rate_cleaned!$A$2:$A$10,B3978,mdr_rate_cleaned!$B$2:$B$10,"&lt;"&amp;C3978,mdr_rate_cleaned!$F$2:$F$10,"&gt;="&amp;C3978)</f>
        <v>1</v>
      </c>
      <c r="G3978">
        <v>3.0000000000000001E-3</v>
      </c>
      <c r="H3978">
        <v>10.79</v>
      </c>
      <c r="I3978" t="s">
        <v>15</v>
      </c>
      <c r="J3978" t="s">
        <v>15</v>
      </c>
      <c r="K3978">
        <v>1.94</v>
      </c>
      <c r="L3978">
        <v>0</v>
      </c>
    </row>
    <row r="3979" spans="1:12" x14ac:dyDescent="0.3">
      <c r="A3979" t="s">
        <v>3995</v>
      </c>
      <c r="B3979" t="s">
        <v>21</v>
      </c>
      <c r="C3979">
        <v>1799</v>
      </c>
      <c r="D3979">
        <v>0</v>
      </c>
      <c r="E3979">
        <v>0</v>
      </c>
      <c r="F3979">
        <f>COUNTIFS(mdr_rate_cleaned!$A$2:$A$10,B3979,mdr_rate_cleaned!$B$2:$B$10,"&lt;"&amp;C3979,mdr_rate_cleaned!$F$2:$F$10,"&gt;="&amp;C3979)</f>
        <v>1</v>
      </c>
      <c r="G3979">
        <v>0</v>
      </c>
      <c r="H3979">
        <v>0</v>
      </c>
      <c r="I3979" t="s">
        <v>15</v>
      </c>
      <c r="J3979" t="s">
        <v>15</v>
      </c>
      <c r="K3979">
        <v>0</v>
      </c>
      <c r="L3979">
        <v>0</v>
      </c>
    </row>
    <row r="3980" spans="1:12" x14ac:dyDescent="0.3">
      <c r="A3980" t="s">
        <v>3996</v>
      </c>
      <c r="B3980" t="s">
        <v>21</v>
      </c>
      <c r="C3980">
        <v>2499</v>
      </c>
      <c r="D3980">
        <v>7.5</v>
      </c>
      <c r="E3980">
        <v>1.35</v>
      </c>
      <c r="F3980">
        <f>COUNTIFS(mdr_rate_cleaned!$A$2:$A$10,B3980,mdr_rate_cleaned!$B$2:$B$10,"&lt;"&amp;C3980,mdr_rate_cleaned!$F$2:$F$10,"&gt;="&amp;C3980)</f>
        <v>1</v>
      </c>
      <c r="G3980">
        <v>3.0000000000000001E-3</v>
      </c>
      <c r="H3980">
        <v>7.5</v>
      </c>
      <c r="I3980" t="s">
        <v>15</v>
      </c>
      <c r="J3980" t="s">
        <v>15</v>
      </c>
      <c r="K3980">
        <v>1.35</v>
      </c>
      <c r="L3980">
        <v>0</v>
      </c>
    </row>
    <row r="3981" spans="1:12" x14ac:dyDescent="0.3">
      <c r="A3981" t="s">
        <v>3997</v>
      </c>
      <c r="B3981" t="s">
        <v>21</v>
      </c>
      <c r="C3981">
        <v>3498</v>
      </c>
      <c r="D3981">
        <v>10.49</v>
      </c>
      <c r="E3981">
        <v>1.89</v>
      </c>
      <c r="F3981">
        <f>COUNTIFS(mdr_rate_cleaned!$A$2:$A$10,B3981,mdr_rate_cleaned!$B$2:$B$10,"&lt;"&amp;C3981,mdr_rate_cleaned!$F$2:$F$10,"&gt;="&amp;C3981)</f>
        <v>1</v>
      </c>
      <c r="G3981">
        <v>3.0000000000000001E-3</v>
      </c>
      <c r="H3981">
        <v>10.49</v>
      </c>
      <c r="I3981" t="s">
        <v>15</v>
      </c>
      <c r="J3981" t="s">
        <v>15</v>
      </c>
      <c r="K3981">
        <v>1.89</v>
      </c>
      <c r="L3981">
        <v>0</v>
      </c>
    </row>
    <row r="3982" spans="1:12" x14ac:dyDescent="0.3">
      <c r="A3982" t="s">
        <v>3998</v>
      </c>
      <c r="B3982" t="s">
        <v>21</v>
      </c>
      <c r="C3982">
        <v>999</v>
      </c>
      <c r="D3982">
        <v>0</v>
      </c>
      <c r="E3982">
        <v>0</v>
      </c>
      <c r="F3982">
        <f>COUNTIFS(mdr_rate_cleaned!$A$2:$A$10,B3982,mdr_rate_cleaned!$B$2:$B$10,"&lt;"&amp;C3982,mdr_rate_cleaned!$F$2:$F$10,"&gt;="&amp;C3982)</f>
        <v>1</v>
      </c>
      <c r="G3982">
        <v>0</v>
      </c>
      <c r="H3982">
        <v>0</v>
      </c>
      <c r="I3982" t="s">
        <v>15</v>
      </c>
      <c r="J3982" t="s">
        <v>15</v>
      </c>
      <c r="K3982">
        <v>0</v>
      </c>
      <c r="L3982">
        <v>0</v>
      </c>
    </row>
    <row r="3983" spans="1:12" x14ac:dyDescent="0.3">
      <c r="A3983" t="s">
        <v>3999</v>
      </c>
      <c r="B3983" t="s">
        <v>13</v>
      </c>
      <c r="C3983">
        <v>8598</v>
      </c>
      <c r="D3983">
        <v>146.16999999999999</v>
      </c>
      <c r="E3983">
        <v>26.31</v>
      </c>
      <c r="F3983">
        <f>COUNTIFS(mdr_rate_cleaned!$A$2:$A$10,B3983,mdr_rate_cleaned!$B$2:$B$10,"&lt;"&amp;C3983,mdr_rate_cleaned!$F$2:$F$10,"&gt;="&amp;C3983)</f>
        <v>1</v>
      </c>
      <c r="G3983">
        <v>1.7000000000000001E-2</v>
      </c>
      <c r="H3983">
        <v>146.16999999999999</v>
      </c>
      <c r="I3983" t="s">
        <v>15</v>
      </c>
      <c r="J3983" t="s">
        <v>15</v>
      </c>
      <c r="K3983">
        <v>26.31</v>
      </c>
      <c r="L3983">
        <v>0</v>
      </c>
    </row>
    <row r="3984" spans="1:12" x14ac:dyDescent="0.3">
      <c r="A3984" t="s">
        <v>4000</v>
      </c>
      <c r="B3984" t="s">
        <v>21</v>
      </c>
      <c r="C3984">
        <v>1799</v>
      </c>
      <c r="D3984">
        <v>0</v>
      </c>
      <c r="E3984">
        <v>0</v>
      </c>
      <c r="F3984">
        <f>COUNTIFS(mdr_rate_cleaned!$A$2:$A$10,B3984,mdr_rate_cleaned!$B$2:$B$10,"&lt;"&amp;C3984,mdr_rate_cleaned!$F$2:$F$10,"&gt;="&amp;C3984)</f>
        <v>1</v>
      </c>
      <c r="G3984">
        <v>0</v>
      </c>
      <c r="H3984">
        <v>0</v>
      </c>
      <c r="I3984" t="s">
        <v>15</v>
      </c>
      <c r="J3984" t="s">
        <v>15</v>
      </c>
      <c r="K3984">
        <v>0</v>
      </c>
      <c r="L3984">
        <v>0</v>
      </c>
    </row>
    <row r="3985" spans="1:12" x14ac:dyDescent="0.3">
      <c r="A3985" t="s">
        <v>4001</v>
      </c>
      <c r="B3985" t="s">
        <v>17</v>
      </c>
      <c r="C3985">
        <v>2798</v>
      </c>
      <c r="D3985">
        <v>44.77</v>
      </c>
      <c r="E3985">
        <v>8.06</v>
      </c>
      <c r="F3985">
        <f>COUNTIFS(mdr_rate_cleaned!$A$2:$A$10,B3985,mdr_rate_cleaned!$B$2:$B$10,"&lt;"&amp;C3985,mdr_rate_cleaned!$F$2:$F$10,"&gt;="&amp;C3985)</f>
        <v>1</v>
      </c>
      <c r="G3985">
        <v>1.6E-2</v>
      </c>
      <c r="H3985">
        <v>44.77</v>
      </c>
      <c r="I3985" t="s">
        <v>15</v>
      </c>
      <c r="J3985" t="s">
        <v>15</v>
      </c>
      <c r="K3985">
        <v>8.06</v>
      </c>
      <c r="L3985">
        <v>0</v>
      </c>
    </row>
    <row r="3986" spans="1:12" x14ac:dyDescent="0.3">
      <c r="A3986" t="s">
        <v>4002</v>
      </c>
      <c r="B3986" t="s">
        <v>17</v>
      </c>
      <c r="C3986">
        <v>648</v>
      </c>
      <c r="D3986">
        <v>11.66</v>
      </c>
      <c r="E3986">
        <v>2.1</v>
      </c>
      <c r="F3986">
        <f>COUNTIFS(mdr_rate_cleaned!$A$2:$A$10,B3986,mdr_rate_cleaned!$B$2:$B$10,"&lt;"&amp;C3986,mdr_rate_cleaned!$F$2:$F$10,"&gt;="&amp;C3986)</f>
        <v>1</v>
      </c>
      <c r="G3986">
        <v>1.7999999999999999E-2</v>
      </c>
      <c r="H3986">
        <v>11.66</v>
      </c>
      <c r="I3986" t="s">
        <v>15</v>
      </c>
      <c r="J3986" t="s">
        <v>15</v>
      </c>
      <c r="K3986">
        <v>2.1</v>
      </c>
      <c r="L3986">
        <v>0</v>
      </c>
    </row>
    <row r="3987" spans="1:12" x14ac:dyDescent="0.3">
      <c r="A3987" t="s">
        <v>4003</v>
      </c>
      <c r="B3987" t="s">
        <v>21</v>
      </c>
      <c r="C3987">
        <v>1997</v>
      </c>
      <c r="D3987">
        <v>0</v>
      </c>
      <c r="E3987">
        <v>0</v>
      </c>
      <c r="F3987">
        <f>COUNTIFS(mdr_rate_cleaned!$A$2:$A$10,B3987,mdr_rate_cleaned!$B$2:$B$10,"&lt;"&amp;C3987,mdr_rate_cleaned!$F$2:$F$10,"&gt;="&amp;C3987)</f>
        <v>1</v>
      </c>
      <c r="G3987">
        <v>0</v>
      </c>
      <c r="H3987">
        <v>0</v>
      </c>
      <c r="I3987" t="s">
        <v>15</v>
      </c>
      <c r="J3987" t="s">
        <v>15</v>
      </c>
      <c r="K3987">
        <v>0</v>
      </c>
      <c r="L3987">
        <v>0</v>
      </c>
    </row>
    <row r="3988" spans="1:12" x14ac:dyDescent="0.3">
      <c r="A3988" t="s">
        <v>4004</v>
      </c>
      <c r="B3988" t="s">
        <v>39</v>
      </c>
      <c r="C3988">
        <v>7999</v>
      </c>
      <c r="D3988">
        <v>95.99</v>
      </c>
      <c r="E3988">
        <v>17.28</v>
      </c>
      <c r="F3988">
        <f>COUNTIFS(mdr_rate_cleaned!$A$2:$A$10,B3988,mdr_rate_cleaned!$B$2:$B$10,"&lt;"&amp;C3988,mdr_rate_cleaned!$F$2:$F$10,"&gt;="&amp;C3988)</f>
        <v>1</v>
      </c>
      <c r="G3988">
        <v>1.2E-2</v>
      </c>
      <c r="H3988">
        <v>95.99</v>
      </c>
      <c r="I3988" t="s">
        <v>15</v>
      </c>
      <c r="J3988" t="s">
        <v>15</v>
      </c>
      <c r="K3988">
        <v>17.28</v>
      </c>
      <c r="L3988">
        <v>0</v>
      </c>
    </row>
    <row r="3989" spans="1:12" x14ac:dyDescent="0.3">
      <c r="A3989" t="s">
        <v>4005</v>
      </c>
      <c r="B3989" t="s">
        <v>21</v>
      </c>
      <c r="C3989">
        <v>3499</v>
      </c>
      <c r="D3989">
        <v>10.5</v>
      </c>
      <c r="E3989">
        <v>1.89</v>
      </c>
      <c r="F3989">
        <f>COUNTIFS(mdr_rate_cleaned!$A$2:$A$10,B3989,mdr_rate_cleaned!$B$2:$B$10,"&lt;"&amp;C3989,mdr_rate_cleaned!$F$2:$F$10,"&gt;="&amp;C3989)</f>
        <v>1</v>
      </c>
      <c r="G3989">
        <v>3.0000000000000001E-3</v>
      </c>
      <c r="H3989">
        <v>10.5</v>
      </c>
      <c r="I3989" t="s">
        <v>15</v>
      </c>
      <c r="J3989" t="s">
        <v>15</v>
      </c>
      <c r="K3989">
        <v>1.89</v>
      </c>
      <c r="L3989">
        <v>0</v>
      </c>
    </row>
    <row r="3990" spans="1:12" x14ac:dyDescent="0.3">
      <c r="A3990" t="s">
        <v>4006</v>
      </c>
      <c r="B3990" t="s">
        <v>21</v>
      </c>
      <c r="C3990">
        <v>799</v>
      </c>
      <c r="D3990">
        <v>0</v>
      </c>
      <c r="E3990">
        <v>0</v>
      </c>
      <c r="F3990">
        <f>COUNTIFS(mdr_rate_cleaned!$A$2:$A$10,B3990,mdr_rate_cleaned!$B$2:$B$10,"&lt;"&amp;C3990,mdr_rate_cleaned!$F$2:$F$10,"&gt;="&amp;C3990)</f>
        <v>1</v>
      </c>
      <c r="G3990">
        <v>0</v>
      </c>
      <c r="H3990">
        <v>0</v>
      </c>
      <c r="I3990" t="s">
        <v>15</v>
      </c>
      <c r="J3990" t="s">
        <v>15</v>
      </c>
      <c r="K3990">
        <v>0</v>
      </c>
      <c r="L3990">
        <v>0</v>
      </c>
    </row>
    <row r="3991" spans="1:12" x14ac:dyDescent="0.3">
      <c r="A3991" t="s">
        <v>4007</v>
      </c>
      <c r="B3991" t="s">
        <v>17</v>
      </c>
      <c r="C3991">
        <v>9998</v>
      </c>
      <c r="D3991">
        <v>159.97</v>
      </c>
      <c r="E3991">
        <v>28.79</v>
      </c>
      <c r="F3991">
        <f>COUNTIFS(mdr_rate_cleaned!$A$2:$A$10,B3991,mdr_rate_cleaned!$B$2:$B$10,"&lt;"&amp;C3991,mdr_rate_cleaned!$F$2:$F$10,"&gt;="&amp;C3991)</f>
        <v>1</v>
      </c>
      <c r="G3991">
        <v>1.6E-2</v>
      </c>
      <c r="H3991">
        <v>159.97</v>
      </c>
      <c r="I3991" t="s">
        <v>15</v>
      </c>
      <c r="J3991" t="s">
        <v>15</v>
      </c>
      <c r="K3991">
        <v>28.79</v>
      </c>
      <c r="L3991">
        <v>0</v>
      </c>
    </row>
    <row r="3992" spans="1:12" x14ac:dyDescent="0.3">
      <c r="A3992" t="s">
        <v>4008</v>
      </c>
      <c r="B3992" t="s">
        <v>21</v>
      </c>
      <c r="C3992">
        <v>499</v>
      </c>
      <c r="D3992">
        <v>0</v>
      </c>
      <c r="E3992">
        <v>0</v>
      </c>
      <c r="F3992">
        <f>COUNTIFS(mdr_rate_cleaned!$A$2:$A$10,B3992,mdr_rate_cleaned!$B$2:$B$10,"&lt;"&amp;C3992,mdr_rate_cleaned!$F$2:$F$10,"&gt;="&amp;C3992)</f>
        <v>1</v>
      </c>
      <c r="G3992">
        <v>0</v>
      </c>
      <c r="H3992">
        <v>0</v>
      </c>
      <c r="I3992" t="s">
        <v>15</v>
      </c>
      <c r="J3992" t="s">
        <v>15</v>
      </c>
      <c r="K3992">
        <v>0</v>
      </c>
      <c r="L3992">
        <v>0</v>
      </c>
    </row>
    <row r="3993" spans="1:12" x14ac:dyDescent="0.3">
      <c r="A3993" t="s">
        <v>4009</v>
      </c>
      <c r="B3993" t="s">
        <v>21</v>
      </c>
      <c r="C3993">
        <v>4498</v>
      </c>
      <c r="D3993">
        <v>13.49</v>
      </c>
      <c r="E3993">
        <v>2.4300000000000002</v>
      </c>
      <c r="F3993">
        <f>COUNTIFS(mdr_rate_cleaned!$A$2:$A$10,B3993,mdr_rate_cleaned!$B$2:$B$10,"&lt;"&amp;C3993,mdr_rate_cleaned!$F$2:$F$10,"&gt;="&amp;C3993)</f>
        <v>1</v>
      </c>
      <c r="G3993">
        <v>3.0000000000000001E-3</v>
      </c>
      <c r="H3993">
        <v>13.49</v>
      </c>
      <c r="I3993" t="s">
        <v>15</v>
      </c>
      <c r="J3993" t="s">
        <v>15</v>
      </c>
      <c r="K3993">
        <v>2.4300000000000002</v>
      </c>
      <c r="L3993">
        <v>0</v>
      </c>
    </row>
    <row r="3994" spans="1:12" x14ac:dyDescent="0.3">
      <c r="A3994" t="s">
        <v>4010</v>
      </c>
      <c r="B3994" t="s">
        <v>21</v>
      </c>
      <c r="C3994">
        <v>1098</v>
      </c>
      <c r="D3994">
        <v>0</v>
      </c>
      <c r="E3994">
        <v>0</v>
      </c>
      <c r="F3994">
        <f>COUNTIFS(mdr_rate_cleaned!$A$2:$A$10,B3994,mdr_rate_cleaned!$B$2:$B$10,"&lt;"&amp;C3994,mdr_rate_cleaned!$F$2:$F$10,"&gt;="&amp;C3994)</f>
        <v>1</v>
      </c>
      <c r="G3994">
        <v>0</v>
      </c>
      <c r="H3994">
        <v>0</v>
      </c>
      <c r="I3994" t="s">
        <v>15</v>
      </c>
      <c r="J3994" t="s">
        <v>15</v>
      </c>
      <c r="K3994">
        <v>0</v>
      </c>
      <c r="L3994">
        <v>0</v>
      </c>
    </row>
    <row r="3995" spans="1:12" x14ac:dyDescent="0.3">
      <c r="A3995" t="s">
        <v>4011</v>
      </c>
      <c r="B3995" t="s">
        <v>21</v>
      </c>
      <c r="C3995">
        <v>1499</v>
      </c>
      <c r="D3995">
        <v>0</v>
      </c>
      <c r="E3995">
        <v>0</v>
      </c>
      <c r="F3995">
        <f>COUNTIFS(mdr_rate_cleaned!$A$2:$A$10,B3995,mdr_rate_cleaned!$B$2:$B$10,"&lt;"&amp;C3995,mdr_rate_cleaned!$F$2:$F$10,"&gt;="&amp;C3995)</f>
        <v>1</v>
      </c>
      <c r="G3995">
        <v>0</v>
      </c>
      <c r="H3995">
        <v>0</v>
      </c>
      <c r="I3995" t="s">
        <v>15</v>
      </c>
      <c r="J3995" t="s">
        <v>15</v>
      </c>
      <c r="K3995">
        <v>0</v>
      </c>
      <c r="L3995">
        <v>0</v>
      </c>
    </row>
    <row r="3996" spans="1:12" x14ac:dyDescent="0.3">
      <c r="A3996" t="s">
        <v>4012</v>
      </c>
      <c r="B3996" t="s">
        <v>13</v>
      </c>
      <c r="C3996">
        <v>2747</v>
      </c>
      <c r="D3996">
        <v>46.7</v>
      </c>
      <c r="E3996">
        <v>8.41</v>
      </c>
      <c r="F3996">
        <f>COUNTIFS(mdr_rate_cleaned!$A$2:$A$10,B3996,mdr_rate_cleaned!$B$2:$B$10,"&lt;"&amp;C3996,mdr_rate_cleaned!$F$2:$F$10,"&gt;="&amp;C3996)</f>
        <v>1</v>
      </c>
      <c r="G3996">
        <v>1.7000000000000001E-2</v>
      </c>
      <c r="H3996">
        <v>46.7</v>
      </c>
      <c r="I3996" t="s">
        <v>15</v>
      </c>
      <c r="J3996" t="s">
        <v>15</v>
      </c>
      <c r="K3996">
        <v>8.41</v>
      </c>
      <c r="L3996">
        <v>0</v>
      </c>
    </row>
    <row r="3997" spans="1:12" x14ac:dyDescent="0.3">
      <c r="A3997" t="s">
        <v>4013</v>
      </c>
      <c r="B3997" t="s">
        <v>21</v>
      </c>
      <c r="C3997">
        <v>1299</v>
      </c>
      <c r="D3997">
        <v>0</v>
      </c>
      <c r="E3997">
        <v>0</v>
      </c>
      <c r="F3997">
        <f>COUNTIFS(mdr_rate_cleaned!$A$2:$A$10,B3997,mdr_rate_cleaned!$B$2:$B$10,"&lt;"&amp;C3997,mdr_rate_cleaned!$F$2:$F$10,"&gt;="&amp;C3997)</f>
        <v>1</v>
      </c>
      <c r="G3997">
        <v>0</v>
      </c>
      <c r="H3997">
        <v>0</v>
      </c>
      <c r="I3997" t="s">
        <v>15</v>
      </c>
      <c r="J3997" t="s">
        <v>15</v>
      </c>
      <c r="K3997">
        <v>0</v>
      </c>
      <c r="L3997">
        <v>0</v>
      </c>
    </row>
    <row r="3998" spans="1:12" x14ac:dyDescent="0.3">
      <c r="A3998" t="s">
        <v>4014</v>
      </c>
      <c r="B3998" t="s">
        <v>21</v>
      </c>
      <c r="C3998">
        <v>1998</v>
      </c>
      <c r="D3998">
        <v>5.99</v>
      </c>
      <c r="E3998">
        <v>1.08</v>
      </c>
      <c r="F3998">
        <f>COUNTIFS(mdr_rate_cleaned!$A$2:$A$10,B3998,mdr_rate_cleaned!$B$2:$B$10,"&lt;"&amp;C3998,mdr_rate_cleaned!$F$2:$F$10,"&gt;="&amp;C3998)</f>
        <v>1</v>
      </c>
      <c r="G3998">
        <v>0</v>
      </c>
      <c r="H3998">
        <v>0</v>
      </c>
      <c r="I3998" t="s">
        <v>14</v>
      </c>
      <c r="J3998" t="s">
        <v>15</v>
      </c>
      <c r="K3998">
        <v>0</v>
      </c>
      <c r="L3998">
        <v>7.07</v>
      </c>
    </row>
    <row r="3999" spans="1:12" x14ac:dyDescent="0.3">
      <c r="A3999" t="s">
        <v>4015</v>
      </c>
      <c r="B3999" t="s">
        <v>21</v>
      </c>
      <c r="C3999">
        <v>599</v>
      </c>
      <c r="D3999">
        <v>0</v>
      </c>
      <c r="E3999">
        <v>0</v>
      </c>
      <c r="F3999">
        <f>COUNTIFS(mdr_rate_cleaned!$A$2:$A$10,B3999,mdr_rate_cleaned!$B$2:$B$10,"&lt;"&amp;C3999,mdr_rate_cleaned!$F$2:$F$10,"&gt;="&amp;C3999)</f>
        <v>1</v>
      </c>
      <c r="G3999">
        <v>0</v>
      </c>
      <c r="H3999">
        <v>0</v>
      </c>
      <c r="I3999" t="s">
        <v>15</v>
      </c>
      <c r="J3999" t="s">
        <v>15</v>
      </c>
      <c r="K3999">
        <v>0</v>
      </c>
      <c r="L3999">
        <v>0</v>
      </c>
    </row>
    <row r="4000" spans="1:12" x14ac:dyDescent="0.3">
      <c r="A4000" t="s">
        <v>4016</v>
      </c>
      <c r="B4000" t="s">
        <v>21</v>
      </c>
      <c r="C4000">
        <v>4347</v>
      </c>
      <c r="D4000">
        <v>13.04</v>
      </c>
      <c r="E4000">
        <v>2.35</v>
      </c>
      <c r="F4000">
        <f>COUNTIFS(mdr_rate_cleaned!$A$2:$A$10,B4000,mdr_rate_cleaned!$B$2:$B$10,"&lt;"&amp;C4000,mdr_rate_cleaned!$F$2:$F$10,"&gt;="&amp;C4000)</f>
        <v>1</v>
      </c>
      <c r="G4000">
        <v>3.0000000000000001E-3</v>
      </c>
      <c r="H4000">
        <v>13.04</v>
      </c>
      <c r="I4000" t="s">
        <v>15</v>
      </c>
      <c r="J4000" t="s">
        <v>15</v>
      </c>
      <c r="K4000">
        <v>2.35</v>
      </c>
      <c r="L4000">
        <v>0</v>
      </c>
    </row>
    <row r="4001" spans="1:12" x14ac:dyDescent="0.3">
      <c r="A4001" t="s">
        <v>4017</v>
      </c>
      <c r="B4001" t="s">
        <v>13</v>
      </c>
      <c r="C4001">
        <v>2499</v>
      </c>
      <c r="D4001">
        <v>42.48</v>
      </c>
      <c r="E4001">
        <v>7.65</v>
      </c>
      <c r="F4001">
        <f>COUNTIFS(mdr_rate_cleaned!$A$2:$A$10,B4001,mdr_rate_cleaned!$B$2:$B$10,"&lt;"&amp;C4001,mdr_rate_cleaned!$F$2:$F$10,"&gt;="&amp;C4001)</f>
        <v>1</v>
      </c>
      <c r="G4001">
        <v>1.7000000000000001E-2</v>
      </c>
      <c r="H4001">
        <v>42.48</v>
      </c>
      <c r="I4001" t="s">
        <v>15</v>
      </c>
      <c r="J4001" t="s">
        <v>15</v>
      </c>
      <c r="K4001">
        <v>7.65</v>
      </c>
      <c r="L4001">
        <v>0</v>
      </c>
    </row>
    <row r="4002" spans="1:12" x14ac:dyDescent="0.3">
      <c r="A4002" t="s">
        <v>4018</v>
      </c>
      <c r="B4002" t="s">
        <v>17</v>
      </c>
      <c r="C4002">
        <v>299</v>
      </c>
      <c r="D4002">
        <v>5.38</v>
      </c>
      <c r="E4002">
        <v>0.97</v>
      </c>
      <c r="F4002">
        <f>COUNTIFS(mdr_rate_cleaned!$A$2:$A$10,B4002,mdr_rate_cleaned!$B$2:$B$10,"&lt;"&amp;C4002,mdr_rate_cleaned!$F$2:$F$10,"&gt;="&amp;C4002)</f>
        <v>1</v>
      </c>
      <c r="G4002">
        <v>1.7999999999999999E-2</v>
      </c>
      <c r="H4002">
        <v>5.38</v>
      </c>
      <c r="I4002" t="s">
        <v>15</v>
      </c>
      <c r="J4002" t="s">
        <v>15</v>
      </c>
      <c r="K4002">
        <v>0.97</v>
      </c>
      <c r="L4002">
        <v>0</v>
      </c>
    </row>
    <row r="4003" spans="1:12" x14ac:dyDescent="0.3">
      <c r="A4003" t="s">
        <v>4019</v>
      </c>
      <c r="B4003" t="s">
        <v>13</v>
      </c>
      <c r="C4003">
        <v>2499</v>
      </c>
      <c r="D4003">
        <v>42.48</v>
      </c>
      <c r="E4003">
        <v>7.65</v>
      </c>
      <c r="F4003">
        <f>COUNTIFS(mdr_rate_cleaned!$A$2:$A$10,B4003,mdr_rate_cleaned!$B$2:$B$10,"&lt;"&amp;C4003,mdr_rate_cleaned!$F$2:$F$10,"&gt;="&amp;C4003)</f>
        <v>1</v>
      </c>
      <c r="G4003">
        <v>1.7000000000000001E-2</v>
      </c>
      <c r="H4003">
        <v>42.48</v>
      </c>
      <c r="I4003" t="s">
        <v>15</v>
      </c>
      <c r="J4003" t="s">
        <v>15</v>
      </c>
      <c r="K4003">
        <v>7.65</v>
      </c>
      <c r="L4003">
        <v>0</v>
      </c>
    </row>
    <row r="4004" spans="1:12" x14ac:dyDescent="0.3">
      <c r="A4004" t="s">
        <v>4020</v>
      </c>
      <c r="B4004" t="s">
        <v>39</v>
      </c>
      <c r="C4004">
        <v>2597</v>
      </c>
      <c r="D4004">
        <v>31.16</v>
      </c>
      <c r="E4004">
        <v>5.61</v>
      </c>
      <c r="F4004">
        <f>COUNTIFS(mdr_rate_cleaned!$A$2:$A$10,B4004,mdr_rate_cleaned!$B$2:$B$10,"&lt;"&amp;C4004,mdr_rate_cleaned!$F$2:$F$10,"&gt;="&amp;C4004)</f>
        <v>1</v>
      </c>
      <c r="G4004">
        <v>1.2E-2</v>
      </c>
      <c r="H4004">
        <v>31.16</v>
      </c>
      <c r="I4004" t="s">
        <v>15</v>
      </c>
      <c r="J4004" t="s">
        <v>15</v>
      </c>
      <c r="K4004">
        <v>5.61</v>
      </c>
      <c r="L4004">
        <v>0</v>
      </c>
    </row>
    <row r="4005" spans="1:12" x14ac:dyDescent="0.3">
      <c r="A4005" t="s">
        <v>4021</v>
      </c>
      <c r="B4005" t="s">
        <v>39</v>
      </c>
      <c r="C4005">
        <v>5597</v>
      </c>
      <c r="D4005">
        <v>67.16</v>
      </c>
      <c r="E4005">
        <v>12.09</v>
      </c>
      <c r="F4005">
        <f>COUNTIFS(mdr_rate_cleaned!$A$2:$A$10,B4005,mdr_rate_cleaned!$B$2:$B$10,"&lt;"&amp;C4005,mdr_rate_cleaned!$F$2:$F$10,"&gt;="&amp;C4005)</f>
        <v>1</v>
      </c>
      <c r="G4005">
        <v>1.2E-2</v>
      </c>
      <c r="H4005">
        <v>67.16</v>
      </c>
      <c r="I4005" t="s">
        <v>15</v>
      </c>
      <c r="J4005" t="s">
        <v>15</v>
      </c>
      <c r="K4005">
        <v>12.09</v>
      </c>
      <c r="L4005">
        <v>0</v>
      </c>
    </row>
    <row r="4006" spans="1:12" x14ac:dyDescent="0.3">
      <c r="A4006" t="s">
        <v>4022</v>
      </c>
      <c r="B4006" t="s">
        <v>13</v>
      </c>
      <c r="C4006">
        <v>3499</v>
      </c>
      <c r="D4006">
        <v>59.48</v>
      </c>
      <c r="E4006">
        <v>10.71</v>
      </c>
      <c r="F4006">
        <f>COUNTIFS(mdr_rate_cleaned!$A$2:$A$10,B4006,mdr_rate_cleaned!$B$2:$B$10,"&lt;"&amp;C4006,mdr_rate_cleaned!$F$2:$F$10,"&gt;="&amp;C4006)</f>
        <v>1</v>
      </c>
      <c r="G4006">
        <v>1.7000000000000001E-2</v>
      </c>
      <c r="H4006">
        <v>59.48</v>
      </c>
      <c r="I4006" t="s">
        <v>15</v>
      </c>
      <c r="J4006" t="s">
        <v>15</v>
      </c>
      <c r="K4006">
        <v>10.71</v>
      </c>
      <c r="L4006">
        <v>0</v>
      </c>
    </row>
    <row r="4007" spans="1:12" x14ac:dyDescent="0.3">
      <c r="A4007" t="s">
        <v>4023</v>
      </c>
      <c r="B4007" t="s">
        <v>21</v>
      </c>
      <c r="C4007">
        <v>599</v>
      </c>
      <c r="D4007">
        <v>0</v>
      </c>
      <c r="E4007">
        <v>0</v>
      </c>
      <c r="F4007">
        <f>COUNTIFS(mdr_rate_cleaned!$A$2:$A$10,B4007,mdr_rate_cleaned!$B$2:$B$10,"&lt;"&amp;C4007,mdr_rate_cleaned!$F$2:$F$10,"&gt;="&amp;C4007)</f>
        <v>1</v>
      </c>
      <c r="G4007">
        <v>0</v>
      </c>
      <c r="H4007">
        <v>0</v>
      </c>
      <c r="I4007" t="s">
        <v>15</v>
      </c>
      <c r="J4007" t="s">
        <v>15</v>
      </c>
      <c r="K4007">
        <v>0</v>
      </c>
      <c r="L4007">
        <v>0</v>
      </c>
    </row>
    <row r="4008" spans="1:12" x14ac:dyDescent="0.3">
      <c r="A4008" t="s">
        <v>4024</v>
      </c>
      <c r="B4008" t="s">
        <v>17</v>
      </c>
      <c r="C4008">
        <v>799</v>
      </c>
      <c r="D4008">
        <v>14.38</v>
      </c>
      <c r="E4008">
        <v>2.59</v>
      </c>
      <c r="F4008">
        <f>COUNTIFS(mdr_rate_cleaned!$A$2:$A$10,B4008,mdr_rate_cleaned!$B$2:$B$10,"&lt;"&amp;C4008,mdr_rate_cleaned!$F$2:$F$10,"&gt;="&amp;C4008)</f>
        <v>1</v>
      </c>
      <c r="G4008">
        <v>1.7999999999999999E-2</v>
      </c>
      <c r="H4008">
        <v>14.38</v>
      </c>
      <c r="I4008" t="s">
        <v>15</v>
      </c>
      <c r="J4008" t="s">
        <v>15</v>
      </c>
      <c r="K4008">
        <v>2.59</v>
      </c>
      <c r="L4008">
        <v>0</v>
      </c>
    </row>
    <row r="4009" spans="1:12" x14ac:dyDescent="0.3">
      <c r="A4009" t="s">
        <v>4025</v>
      </c>
      <c r="B4009" t="s">
        <v>39</v>
      </c>
      <c r="C4009">
        <v>3147</v>
      </c>
      <c r="D4009">
        <v>37.76</v>
      </c>
      <c r="E4009">
        <v>6.8</v>
      </c>
      <c r="F4009">
        <f>COUNTIFS(mdr_rate_cleaned!$A$2:$A$10,B4009,mdr_rate_cleaned!$B$2:$B$10,"&lt;"&amp;C4009,mdr_rate_cleaned!$F$2:$F$10,"&gt;="&amp;C4009)</f>
        <v>1</v>
      </c>
      <c r="G4009">
        <v>1.2E-2</v>
      </c>
      <c r="H4009">
        <v>37.76</v>
      </c>
      <c r="I4009" t="s">
        <v>15</v>
      </c>
      <c r="J4009" t="s">
        <v>15</v>
      </c>
      <c r="K4009">
        <v>6.8</v>
      </c>
      <c r="L4009">
        <v>0</v>
      </c>
    </row>
    <row r="4010" spans="1:12" x14ac:dyDescent="0.3">
      <c r="A4010" t="s">
        <v>4026</v>
      </c>
      <c r="B4010" t="s">
        <v>21</v>
      </c>
      <c r="C4010">
        <v>4647</v>
      </c>
      <c r="D4010">
        <v>13.94</v>
      </c>
      <c r="E4010">
        <v>2.5099999999999998</v>
      </c>
      <c r="F4010">
        <f>COUNTIFS(mdr_rate_cleaned!$A$2:$A$10,B4010,mdr_rate_cleaned!$B$2:$B$10,"&lt;"&amp;C4010,mdr_rate_cleaned!$F$2:$F$10,"&gt;="&amp;C4010)</f>
        <v>1</v>
      </c>
      <c r="G4010">
        <v>3.0000000000000001E-3</v>
      </c>
      <c r="H4010">
        <v>13.94</v>
      </c>
      <c r="I4010" t="s">
        <v>15</v>
      </c>
      <c r="J4010" t="s">
        <v>15</v>
      </c>
      <c r="K4010">
        <v>2.5099999999999998</v>
      </c>
      <c r="L4010">
        <v>0</v>
      </c>
    </row>
    <row r="4011" spans="1:12" x14ac:dyDescent="0.3">
      <c r="A4011" t="s">
        <v>4027</v>
      </c>
      <c r="B4011" t="s">
        <v>21</v>
      </c>
      <c r="C4011">
        <v>5798</v>
      </c>
      <c r="D4011">
        <v>17.39</v>
      </c>
      <c r="E4011">
        <v>3.13</v>
      </c>
      <c r="F4011">
        <f>COUNTIFS(mdr_rate_cleaned!$A$2:$A$10,B4011,mdr_rate_cleaned!$B$2:$B$10,"&lt;"&amp;C4011,mdr_rate_cleaned!$F$2:$F$10,"&gt;="&amp;C4011)</f>
        <v>1</v>
      </c>
      <c r="G4011">
        <v>3.0000000000000001E-3</v>
      </c>
      <c r="H4011">
        <v>17.39</v>
      </c>
      <c r="I4011" t="s">
        <v>15</v>
      </c>
      <c r="J4011" t="s">
        <v>15</v>
      </c>
      <c r="K4011">
        <v>3.13</v>
      </c>
      <c r="L4011">
        <v>0</v>
      </c>
    </row>
    <row r="4012" spans="1:12" x14ac:dyDescent="0.3">
      <c r="A4012" t="s">
        <v>4028</v>
      </c>
      <c r="B4012" t="s">
        <v>17</v>
      </c>
      <c r="C4012">
        <v>1299</v>
      </c>
      <c r="D4012">
        <v>23.38</v>
      </c>
      <c r="E4012">
        <v>4.21</v>
      </c>
      <c r="F4012">
        <f>COUNTIFS(mdr_rate_cleaned!$A$2:$A$10,B4012,mdr_rate_cleaned!$B$2:$B$10,"&lt;"&amp;C4012,mdr_rate_cleaned!$F$2:$F$10,"&gt;="&amp;C4012)</f>
        <v>1</v>
      </c>
      <c r="G4012">
        <v>1.7999999999999999E-2</v>
      </c>
      <c r="H4012">
        <v>23.38</v>
      </c>
      <c r="I4012" t="s">
        <v>15</v>
      </c>
      <c r="J4012" t="s">
        <v>15</v>
      </c>
      <c r="K4012">
        <v>4.21</v>
      </c>
      <c r="L4012">
        <v>0</v>
      </c>
    </row>
    <row r="4013" spans="1:12" x14ac:dyDescent="0.3">
      <c r="A4013" t="s">
        <v>4029</v>
      </c>
      <c r="B4013" t="s">
        <v>13</v>
      </c>
      <c r="C4013">
        <v>2098</v>
      </c>
      <c r="D4013">
        <v>35.67</v>
      </c>
      <c r="E4013">
        <v>6.42</v>
      </c>
      <c r="F4013">
        <f>COUNTIFS(mdr_rate_cleaned!$A$2:$A$10,B4013,mdr_rate_cleaned!$B$2:$B$10,"&lt;"&amp;C4013,mdr_rate_cleaned!$F$2:$F$10,"&gt;="&amp;C4013)</f>
        <v>1</v>
      </c>
      <c r="G4013">
        <v>1.7000000000000001E-2</v>
      </c>
      <c r="H4013">
        <v>35.67</v>
      </c>
      <c r="I4013" t="s">
        <v>15</v>
      </c>
      <c r="J4013" t="s">
        <v>15</v>
      </c>
      <c r="K4013">
        <v>6.42</v>
      </c>
      <c r="L4013">
        <v>0</v>
      </c>
    </row>
    <row r="4014" spans="1:12" x14ac:dyDescent="0.3">
      <c r="A4014" t="s">
        <v>4030</v>
      </c>
      <c r="B4014" t="s">
        <v>21</v>
      </c>
      <c r="C4014">
        <v>349</v>
      </c>
      <c r="D4014">
        <v>0</v>
      </c>
      <c r="E4014">
        <v>0</v>
      </c>
      <c r="F4014">
        <f>COUNTIFS(mdr_rate_cleaned!$A$2:$A$10,B4014,mdr_rate_cleaned!$B$2:$B$10,"&lt;"&amp;C4014,mdr_rate_cleaned!$F$2:$F$10,"&gt;="&amp;C4014)</f>
        <v>1</v>
      </c>
      <c r="G4014">
        <v>0</v>
      </c>
      <c r="H4014">
        <v>0</v>
      </c>
      <c r="I4014" t="s">
        <v>15</v>
      </c>
      <c r="J4014" t="s">
        <v>15</v>
      </c>
      <c r="K4014">
        <v>0</v>
      </c>
      <c r="L4014">
        <v>0</v>
      </c>
    </row>
    <row r="4015" spans="1:12" x14ac:dyDescent="0.3">
      <c r="A4015" t="s">
        <v>4031</v>
      </c>
      <c r="B4015" t="s">
        <v>39</v>
      </c>
      <c r="C4015">
        <v>349</v>
      </c>
      <c r="D4015">
        <v>5.24</v>
      </c>
      <c r="E4015">
        <v>0.94</v>
      </c>
      <c r="F4015">
        <f>COUNTIFS(mdr_rate_cleaned!$A$2:$A$10,B4015,mdr_rate_cleaned!$B$2:$B$10,"&lt;"&amp;C4015,mdr_rate_cleaned!$F$2:$F$10,"&gt;="&amp;C4015)</f>
        <v>1</v>
      </c>
      <c r="G4015">
        <v>1.4999999999999999E-2</v>
      </c>
      <c r="H4015">
        <v>5.24</v>
      </c>
      <c r="I4015" t="s">
        <v>15</v>
      </c>
      <c r="J4015" t="s">
        <v>15</v>
      </c>
      <c r="K4015">
        <v>0.94</v>
      </c>
      <c r="L4015">
        <v>0</v>
      </c>
    </row>
    <row r="4016" spans="1:12" x14ac:dyDescent="0.3">
      <c r="A4016" t="s">
        <v>4032</v>
      </c>
      <c r="B4016" t="s">
        <v>39</v>
      </c>
      <c r="C4016">
        <v>7999</v>
      </c>
      <c r="D4016">
        <v>95.99</v>
      </c>
      <c r="E4016">
        <v>17.28</v>
      </c>
      <c r="F4016">
        <f>COUNTIFS(mdr_rate_cleaned!$A$2:$A$10,B4016,mdr_rate_cleaned!$B$2:$B$10,"&lt;"&amp;C4016,mdr_rate_cleaned!$F$2:$F$10,"&gt;="&amp;C4016)</f>
        <v>1</v>
      </c>
      <c r="G4016">
        <v>1.2E-2</v>
      </c>
      <c r="H4016">
        <v>95.99</v>
      </c>
      <c r="I4016" t="s">
        <v>15</v>
      </c>
      <c r="J4016" t="s">
        <v>15</v>
      </c>
      <c r="K4016">
        <v>17.28</v>
      </c>
      <c r="L4016">
        <v>0</v>
      </c>
    </row>
    <row r="4017" spans="1:12" x14ac:dyDescent="0.3">
      <c r="A4017" t="s">
        <v>4033</v>
      </c>
      <c r="B4017" t="s">
        <v>21</v>
      </c>
      <c r="C4017">
        <v>1299</v>
      </c>
      <c r="D4017">
        <v>0</v>
      </c>
      <c r="E4017">
        <v>0</v>
      </c>
      <c r="F4017">
        <f>COUNTIFS(mdr_rate_cleaned!$A$2:$A$10,B4017,mdr_rate_cleaned!$B$2:$B$10,"&lt;"&amp;C4017,mdr_rate_cleaned!$F$2:$F$10,"&gt;="&amp;C4017)</f>
        <v>1</v>
      </c>
      <c r="G4017">
        <v>0</v>
      </c>
      <c r="H4017">
        <v>0</v>
      </c>
      <c r="I4017" t="s">
        <v>15</v>
      </c>
      <c r="J4017" t="s">
        <v>15</v>
      </c>
      <c r="K4017">
        <v>0</v>
      </c>
      <c r="L4017">
        <v>0</v>
      </c>
    </row>
    <row r="4018" spans="1:12" x14ac:dyDescent="0.3">
      <c r="A4018" t="s">
        <v>4034</v>
      </c>
      <c r="B4018" t="s">
        <v>17</v>
      </c>
      <c r="C4018">
        <v>299</v>
      </c>
      <c r="D4018">
        <v>5.38</v>
      </c>
      <c r="E4018">
        <v>0.97</v>
      </c>
      <c r="F4018">
        <f>COUNTIFS(mdr_rate_cleaned!$A$2:$A$10,B4018,mdr_rate_cleaned!$B$2:$B$10,"&lt;"&amp;C4018,mdr_rate_cleaned!$F$2:$F$10,"&gt;="&amp;C4018)</f>
        <v>1</v>
      </c>
      <c r="G4018">
        <v>1.7999999999999999E-2</v>
      </c>
      <c r="H4018">
        <v>5.38</v>
      </c>
      <c r="I4018" t="s">
        <v>15</v>
      </c>
      <c r="J4018" t="s">
        <v>15</v>
      </c>
      <c r="K4018">
        <v>0.97</v>
      </c>
      <c r="L4018">
        <v>0</v>
      </c>
    </row>
    <row r="4019" spans="1:12" x14ac:dyDescent="0.3">
      <c r="A4019" t="s">
        <v>4035</v>
      </c>
      <c r="B4019" t="s">
        <v>13</v>
      </c>
      <c r="C4019">
        <v>599</v>
      </c>
      <c r="D4019">
        <v>11.38</v>
      </c>
      <c r="E4019">
        <v>2.0499999999999998</v>
      </c>
      <c r="F4019">
        <f>COUNTIFS(mdr_rate_cleaned!$A$2:$A$10,B4019,mdr_rate_cleaned!$B$2:$B$10,"&lt;"&amp;C4019,mdr_rate_cleaned!$F$2:$F$10,"&gt;="&amp;C4019)</f>
        <v>1</v>
      </c>
      <c r="G4019">
        <v>1.9E-2</v>
      </c>
      <c r="H4019">
        <v>11.38</v>
      </c>
      <c r="I4019" t="s">
        <v>15</v>
      </c>
      <c r="J4019" t="s">
        <v>15</v>
      </c>
      <c r="K4019">
        <v>2.0499999999999998</v>
      </c>
      <c r="L4019">
        <v>0</v>
      </c>
    </row>
    <row r="4020" spans="1:12" x14ac:dyDescent="0.3">
      <c r="A4020" t="s">
        <v>4036</v>
      </c>
      <c r="B4020" t="s">
        <v>39</v>
      </c>
      <c r="C4020">
        <v>5998</v>
      </c>
      <c r="D4020">
        <v>71.98</v>
      </c>
      <c r="E4020">
        <v>12.96</v>
      </c>
      <c r="F4020">
        <f>COUNTIFS(mdr_rate_cleaned!$A$2:$A$10,B4020,mdr_rate_cleaned!$B$2:$B$10,"&lt;"&amp;C4020,mdr_rate_cleaned!$F$2:$F$10,"&gt;="&amp;C4020)</f>
        <v>1</v>
      </c>
      <c r="G4020">
        <v>1.2E-2</v>
      </c>
      <c r="H4020">
        <v>71.98</v>
      </c>
      <c r="I4020" t="s">
        <v>15</v>
      </c>
      <c r="J4020" t="s">
        <v>15</v>
      </c>
      <c r="K4020">
        <v>12.96</v>
      </c>
      <c r="L4020">
        <v>0</v>
      </c>
    </row>
    <row r="4021" spans="1:12" x14ac:dyDescent="0.3">
      <c r="A4021" t="s">
        <v>4037</v>
      </c>
      <c r="B4021" t="s">
        <v>21</v>
      </c>
      <c r="C4021">
        <v>3499</v>
      </c>
      <c r="D4021">
        <v>10.5</v>
      </c>
      <c r="E4021">
        <v>1.89</v>
      </c>
      <c r="F4021">
        <f>COUNTIFS(mdr_rate_cleaned!$A$2:$A$10,B4021,mdr_rate_cleaned!$B$2:$B$10,"&lt;"&amp;C4021,mdr_rate_cleaned!$F$2:$F$10,"&gt;="&amp;C4021)</f>
        <v>1</v>
      </c>
      <c r="G4021">
        <v>3.0000000000000001E-3</v>
      </c>
      <c r="H4021">
        <v>10.5</v>
      </c>
      <c r="I4021" t="s">
        <v>15</v>
      </c>
      <c r="J4021" t="s">
        <v>15</v>
      </c>
      <c r="K4021">
        <v>1.89</v>
      </c>
      <c r="L4021">
        <v>0</v>
      </c>
    </row>
    <row r="4022" spans="1:12" x14ac:dyDescent="0.3">
      <c r="A4022" t="s">
        <v>4038</v>
      </c>
      <c r="B4022" t="s">
        <v>17</v>
      </c>
      <c r="C4022">
        <v>299</v>
      </c>
      <c r="D4022">
        <v>5.38</v>
      </c>
      <c r="E4022">
        <v>0.97</v>
      </c>
      <c r="F4022">
        <f>COUNTIFS(mdr_rate_cleaned!$A$2:$A$10,B4022,mdr_rate_cleaned!$B$2:$B$10,"&lt;"&amp;C4022,mdr_rate_cleaned!$F$2:$F$10,"&gt;="&amp;C4022)</f>
        <v>1</v>
      </c>
      <c r="G4022">
        <v>1.7999999999999999E-2</v>
      </c>
      <c r="H4022">
        <v>5.38</v>
      </c>
      <c r="I4022" t="s">
        <v>15</v>
      </c>
      <c r="J4022" t="s">
        <v>15</v>
      </c>
      <c r="K4022">
        <v>0.97</v>
      </c>
      <c r="L4022">
        <v>0</v>
      </c>
    </row>
    <row r="4023" spans="1:12" x14ac:dyDescent="0.3">
      <c r="A4023" t="s">
        <v>4039</v>
      </c>
      <c r="B4023" t="s">
        <v>21</v>
      </c>
      <c r="C4023">
        <v>1798</v>
      </c>
      <c r="D4023">
        <v>0</v>
      </c>
      <c r="E4023">
        <v>0</v>
      </c>
      <c r="F4023">
        <f>COUNTIFS(mdr_rate_cleaned!$A$2:$A$10,B4023,mdr_rate_cleaned!$B$2:$B$10,"&lt;"&amp;C4023,mdr_rate_cleaned!$F$2:$F$10,"&gt;="&amp;C4023)</f>
        <v>1</v>
      </c>
      <c r="G4023">
        <v>0</v>
      </c>
      <c r="H4023">
        <v>0</v>
      </c>
      <c r="I4023" t="s">
        <v>15</v>
      </c>
      <c r="J4023" t="s">
        <v>15</v>
      </c>
      <c r="K4023">
        <v>0</v>
      </c>
      <c r="L4023">
        <v>0</v>
      </c>
    </row>
    <row r="4024" spans="1:12" x14ac:dyDescent="0.3">
      <c r="A4024" t="s">
        <v>4040</v>
      </c>
      <c r="B4024" t="s">
        <v>21</v>
      </c>
      <c r="C4024">
        <v>4098</v>
      </c>
      <c r="D4024">
        <v>12.29</v>
      </c>
      <c r="E4024">
        <v>2.21</v>
      </c>
      <c r="F4024">
        <f>COUNTIFS(mdr_rate_cleaned!$A$2:$A$10,B4024,mdr_rate_cleaned!$B$2:$B$10,"&lt;"&amp;C4024,mdr_rate_cleaned!$F$2:$F$10,"&gt;="&amp;C4024)</f>
        <v>1</v>
      </c>
      <c r="G4024">
        <v>3.0000000000000001E-3</v>
      </c>
      <c r="H4024">
        <v>12.29</v>
      </c>
      <c r="I4024" t="s">
        <v>15</v>
      </c>
      <c r="J4024" t="s">
        <v>15</v>
      </c>
      <c r="K4024">
        <v>2.21</v>
      </c>
      <c r="L4024">
        <v>0</v>
      </c>
    </row>
    <row r="4025" spans="1:12" x14ac:dyDescent="0.3">
      <c r="A4025" t="s">
        <v>4041</v>
      </c>
      <c r="B4025" t="s">
        <v>17</v>
      </c>
      <c r="C4025">
        <v>4298</v>
      </c>
      <c r="D4025">
        <v>68.77</v>
      </c>
      <c r="E4025">
        <v>12.38</v>
      </c>
      <c r="F4025">
        <f>COUNTIFS(mdr_rate_cleaned!$A$2:$A$10,B4025,mdr_rate_cleaned!$B$2:$B$10,"&lt;"&amp;C4025,mdr_rate_cleaned!$F$2:$F$10,"&gt;="&amp;C4025)</f>
        <v>1</v>
      </c>
      <c r="G4025">
        <v>1.6E-2</v>
      </c>
      <c r="H4025">
        <v>68.77</v>
      </c>
      <c r="I4025" t="s">
        <v>15</v>
      </c>
      <c r="J4025" t="s">
        <v>15</v>
      </c>
      <c r="K4025">
        <v>12.38</v>
      </c>
      <c r="L4025">
        <v>0</v>
      </c>
    </row>
    <row r="4026" spans="1:12" x14ac:dyDescent="0.3">
      <c r="A4026" t="s">
        <v>4042</v>
      </c>
      <c r="B4026" t="s">
        <v>21</v>
      </c>
      <c r="C4026">
        <v>2098</v>
      </c>
      <c r="D4026">
        <v>6.29</v>
      </c>
      <c r="E4026">
        <v>1.1299999999999999</v>
      </c>
      <c r="F4026">
        <f>COUNTIFS(mdr_rate_cleaned!$A$2:$A$10,B4026,mdr_rate_cleaned!$B$2:$B$10,"&lt;"&amp;C4026,mdr_rate_cleaned!$F$2:$F$10,"&gt;="&amp;C4026)</f>
        <v>1</v>
      </c>
      <c r="G4026">
        <v>3.0000000000000001E-3</v>
      </c>
      <c r="H4026">
        <v>6.29</v>
      </c>
      <c r="I4026" t="s">
        <v>15</v>
      </c>
      <c r="J4026" t="s">
        <v>15</v>
      </c>
      <c r="K4026">
        <v>1.1299999999999999</v>
      </c>
      <c r="L4026">
        <v>0</v>
      </c>
    </row>
    <row r="4027" spans="1:12" x14ac:dyDescent="0.3">
      <c r="A4027" t="s">
        <v>4043</v>
      </c>
      <c r="B4027" t="s">
        <v>21</v>
      </c>
      <c r="C4027">
        <v>1498</v>
      </c>
      <c r="D4027">
        <v>0</v>
      </c>
      <c r="E4027">
        <v>0</v>
      </c>
      <c r="F4027">
        <f>COUNTIFS(mdr_rate_cleaned!$A$2:$A$10,B4027,mdr_rate_cleaned!$B$2:$B$10,"&lt;"&amp;C4027,mdr_rate_cleaned!$F$2:$F$10,"&gt;="&amp;C4027)</f>
        <v>1</v>
      </c>
      <c r="G4027">
        <v>0</v>
      </c>
      <c r="H4027">
        <v>0</v>
      </c>
      <c r="I4027" t="s">
        <v>15</v>
      </c>
      <c r="J4027" t="s">
        <v>15</v>
      </c>
      <c r="K4027">
        <v>0</v>
      </c>
      <c r="L4027">
        <v>0</v>
      </c>
    </row>
    <row r="4028" spans="1:12" x14ac:dyDescent="0.3">
      <c r="A4028" t="s">
        <v>4044</v>
      </c>
      <c r="B4028" t="s">
        <v>21</v>
      </c>
      <c r="C4028">
        <v>299</v>
      </c>
      <c r="D4028">
        <v>0</v>
      </c>
      <c r="E4028">
        <v>0</v>
      </c>
      <c r="F4028">
        <f>COUNTIFS(mdr_rate_cleaned!$A$2:$A$10,B4028,mdr_rate_cleaned!$B$2:$B$10,"&lt;"&amp;C4028,mdr_rate_cleaned!$F$2:$F$10,"&gt;="&amp;C4028)</f>
        <v>1</v>
      </c>
      <c r="G4028">
        <v>0</v>
      </c>
      <c r="H4028">
        <v>0</v>
      </c>
      <c r="I4028" t="s">
        <v>15</v>
      </c>
      <c r="J4028" t="s">
        <v>15</v>
      </c>
      <c r="K4028">
        <v>0</v>
      </c>
      <c r="L4028">
        <v>0</v>
      </c>
    </row>
    <row r="4029" spans="1:12" x14ac:dyDescent="0.3">
      <c r="A4029" t="s">
        <v>4045</v>
      </c>
      <c r="B4029" t="s">
        <v>21</v>
      </c>
      <c r="C4029">
        <v>4999</v>
      </c>
      <c r="D4029">
        <v>15</v>
      </c>
      <c r="E4029">
        <v>2.7</v>
      </c>
      <c r="F4029">
        <f>COUNTIFS(mdr_rate_cleaned!$A$2:$A$10,B4029,mdr_rate_cleaned!$B$2:$B$10,"&lt;"&amp;C4029,mdr_rate_cleaned!$F$2:$F$10,"&gt;="&amp;C4029)</f>
        <v>1</v>
      </c>
      <c r="G4029">
        <v>3.0000000000000001E-3</v>
      </c>
      <c r="H4029">
        <v>15</v>
      </c>
      <c r="I4029" t="s">
        <v>15</v>
      </c>
      <c r="J4029" t="s">
        <v>15</v>
      </c>
      <c r="K4029">
        <v>2.7</v>
      </c>
      <c r="L4029">
        <v>0</v>
      </c>
    </row>
    <row r="4030" spans="1:12" x14ac:dyDescent="0.3">
      <c r="A4030" t="s">
        <v>4046</v>
      </c>
      <c r="B4030" t="s">
        <v>21</v>
      </c>
      <c r="C4030">
        <v>4147</v>
      </c>
      <c r="D4030">
        <v>12.44</v>
      </c>
      <c r="E4030">
        <v>2.2400000000000002</v>
      </c>
      <c r="F4030">
        <f>COUNTIFS(mdr_rate_cleaned!$A$2:$A$10,B4030,mdr_rate_cleaned!$B$2:$B$10,"&lt;"&amp;C4030,mdr_rate_cleaned!$F$2:$F$10,"&gt;="&amp;C4030)</f>
        <v>1</v>
      </c>
      <c r="G4030">
        <v>3.0000000000000001E-3</v>
      </c>
      <c r="H4030">
        <v>12.44</v>
      </c>
      <c r="I4030" t="s">
        <v>15</v>
      </c>
      <c r="J4030" t="s">
        <v>15</v>
      </c>
      <c r="K4030">
        <v>2.2400000000000002</v>
      </c>
      <c r="L4030">
        <v>0</v>
      </c>
    </row>
    <row r="4031" spans="1:12" x14ac:dyDescent="0.3">
      <c r="A4031" t="s">
        <v>4047</v>
      </c>
      <c r="B4031" t="s">
        <v>21</v>
      </c>
      <c r="C4031">
        <v>2999</v>
      </c>
      <c r="D4031">
        <v>9</v>
      </c>
      <c r="E4031">
        <v>1.62</v>
      </c>
      <c r="F4031">
        <f>COUNTIFS(mdr_rate_cleaned!$A$2:$A$10,B4031,mdr_rate_cleaned!$B$2:$B$10,"&lt;"&amp;C4031,mdr_rate_cleaned!$F$2:$F$10,"&gt;="&amp;C4031)</f>
        <v>1</v>
      </c>
      <c r="G4031">
        <v>3.0000000000000001E-3</v>
      </c>
      <c r="H4031">
        <v>9</v>
      </c>
      <c r="I4031" t="s">
        <v>15</v>
      </c>
      <c r="J4031" t="s">
        <v>15</v>
      </c>
      <c r="K4031">
        <v>1.62</v>
      </c>
      <c r="L4031">
        <v>0</v>
      </c>
    </row>
    <row r="4032" spans="1:12" x14ac:dyDescent="0.3">
      <c r="A4032" t="s">
        <v>4048</v>
      </c>
      <c r="B4032" t="s">
        <v>21</v>
      </c>
      <c r="C4032">
        <v>848</v>
      </c>
      <c r="D4032">
        <v>0</v>
      </c>
      <c r="E4032">
        <v>0</v>
      </c>
      <c r="F4032">
        <f>COUNTIFS(mdr_rate_cleaned!$A$2:$A$10,B4032,mdr_rate_cleaned!$B$2:$B$10,"&lt;"&amp;C4032,mdr_rate_cleaned!$F$2:$F$10,"&gt;="&amp;C4032)</f>
        <v>1</v>
      </c>
      <c r="G4032">
        <v>0</v>
      </c>
      <c r="H4032">
        <v>0</v>
      </c>
      <c r="I4032" t="s">
        <v>15</v>
      </c>
      <c r="J4032" t="s">
        <v>15</v>
      </c>
      <c r="K4032">
        <v>0</v>
      </c>
      <c r="L4032">
        <v>0</v>
      </c>
    </row>
    <row r="4033" spans="1:12" x14ac:dyDescent="0.3">
      <c r="A4033" t="s">
        <v>4049</v>
      </c>
      <c r="B4033" t="s">
        <v>21</v>
      </c>
      <c r="C4033">
        <v>4097</v>
      </c>
      <c r="D4033">
        <v>12.29</v>
      </c>
      <c r="E4033">
        <v>2.21</v>
      </c>
      <c r="F4033">
        <f>COUNTIFS(mdr_rate_cleaned!$A$2:$A$10,B4033,mdr_rate_cleaned!$B$2:$B$10,"&lt;"&amp;C4033,mdr_rate_cleaned!$F$2:$F$10,"&gt;="&amp;C4033)</f>
        <v>1</v>
      </c>
      <c r="G4033">
        <v>3.0000000000000001E-3</v>
      </c>
      <c r="H4033">
        <v>12.29</v>
      </c>
      <c r="I4033" t="s">
        <v>15</v>
      </c>
      <c r="J4033" t="s">
        <v>15</v>
      </c>
      <c r="K4033">
        <v>2.21</v>
      </c>
      <c r="L4033">
        <v>0</v>
      </c>
    </row>
    <row r="4034" spans="1:12" x14ac:dyDescent="0.3">
      <c r="A4034" t="s">
        <v>4050</v>
      </c>
      <c r="B4034" t="s">
        <v>17</v>
      </c>
      <c r="C4034">
        <v>599</v>
      </c>
      <c r="D4034">
        <v>10.78</v>
      </c>
      <c r="E4034">
        <v>1.94</v>
      </c>
      <c r="F4034">
        <f>COUNTIFS(mdr_rate_cleaned!$A$2:$A$10,B4034,mdr_rate_cleaned!$B$2:$B$10,"&lt;"&amp;C4034,mdr_rate_cleaned!$F$2:$F$10,"&gt;="&amp;C4034)</f>
        <v>1</v>
      </c>
      <c r="G4034">
        <v>1.7999999999999999E-2</v>
      </c>
      <c r="H4034">
        <v>10.78</v>
      </c>
      <c r="I4034" t="s">
        <v>15</v>
      </c>
      <c r="J4034" t="s">
        <v>15</v>
      </c>
      <c r="K4034">
        <v>1.94</v>
      </c>
      <c r="L4034">
        <v>0</v>
      </c>
    </row>
    <row r="4035" spans="1:12" x14ac:dyDescent="0.3">
      <c r="A4035" t="s">
        <v>4051</v>
      </c>
      <c r="B4035" t="s">
        <v>21</v>
      </c>
      <c r="C4035">
        <v>1799</v>
      </c>
      <c r="D4035">
        <v>0</v>
      </c>
      <c r="E4035">
        <v>0</v>
      </c>
      <c r="F4035">
        <f>COUNTIFS(mdr_rate_cleaned!$A$2:$A$10,B4035,mdr_rate_cleaned!$B$2:$B$10,"&lt;"&amp;C4035,mdr_rate_cleaned!$F$2:$F$10,"&gt;="&amp;C4035)</f>
        <v>1</v>
      </c>
      <c r="G4035">
        <v>0</v>
      </c>
      <c r="H4035">
        <v>0</v>
      </c>
      <c r="I4035" t="s">
        <v>15</v>
      </c>
      <c r="J4035" t="s">
        <v>15</v>
      </c>
      <c r="K4035">
        <v>0</v>
      </c>
      <c r="L4035">
        <v>0</v>
      </c>
    </row>
    <row r="4036" spans="1:12" x14ac:dyDescent="0.3">
      <c r="A4036" t="s">
        <v>4052</v>
      </c>
      <c r="B4036" t="s">
        <v>21</v>
      </c>
      <c r="C4036">
        <v>799</v>
      </c>
      <c r="D4036">
        <v>0</v>
      </c>
      <c r="E4036">
        <v>0</v>
      </c>
      <c r="F4036">
        <f>COUNTIFS(mdr_rate_cleaned!$A$2:$A$10,B4036,mdr_rate_cleaned!$B$2:$B$10,"&lt;"&amp;C4036,mdr_rate_cleaned!$F$2:$F$10,"&gt;="&amp;C4036)</f>
        <v>1</v>
      </c>
      <c r="G4036">
        <v>0</v>
      </c>
      <c r="H4036">
        <v>0</v>
      </c>
      <c r="I4036" t="s">
        <v>15</v>
      </c>
      <c r="J4036" t="s">
        <v>15</v>
      </c>
      <c r="K4036">
        <v>0</v>
      </c>
      <c r="L4036">
        <v>0</v>
      </c>
    </row>
    <row r="4037" spans="1:12" x14ac:dyDescent="0.3">
      <c r="A4037" t="s">
        <v>4053</v>
      </c>
      <c r="B4037" t="s">
        <v>21</v>
      </c>
      <c r="C4037">
        <v>499</v>
      </c>
      <c r="D4037">
        <v>0</v>
      </c>
      <c r="E4037">
        <v>0</v>
      </c>
      <c r="F4037">
        <f>COUNTIFS(mdr_rate_cleaned!$A$2:$A$10,B4037,mdr_rate_cleaned!$B$2:$B$10,"&lt;"&amp;C4037,mdr_rate_cleaned!$F$2:$F$10,"&gt;="&amp;C4037)</f>
        <v>1</v>
      </c>
      <c r="G4037">
        <v>0</v>
      </c>
      <c r="H4037">
        <v>0</v>
      </c>
      <c r="I4037" t="s">
        <v>15</v>
      </c>
      <c r="J4037" t="s">
        <v>15</v>
      </c>
      <c r="K4037">
        <v>0</v>
      </c>
      <c r="L4037">
        <v>0</v>
      </c>
    </row>
    <row r="4038" spans="1:12" x14ac:dyDescent="0.3">
      <c r="A4038" t="s">
        <v>4054</v>
      </c>
      <c r="B4038" t="s">
        <v>21</v>
      </c>
      <c r="C4038">
        <v>9297</v>
      </c>
      <c r="D4038">
        <v>27.89</v>
      </c>
      <c r="E4038">
        <v>5.0199999999999996</v>
      </c>
      <c r="F4038">
        <f>COUNTIFS(mdr_rate_cleaned!$A$2:$A$10,B4038,mdr_rate_cleaned!$B$2:$B$10,"&lt;"&amp;C4038,mdr_rate_cleaned!$F$2:$F$10,"&gt;="&amp;C4038)</f>
        <v>1</v>
      </c>
      <c r="G4038">
        <v>3.0000000000000001E-3</v>
      </c>
      <c r="H4038">
        <v>27.89</v>
      </c>
      <c r="I4038" t="s">
        <v>15</v>
      </c>
      <c r="J4038" t="s">
        <v>15</v>
      </c>
      <c r="K4038">
        <v>5.0199999999999996</v>
      </c>
      <c r="L4038">
        <v>0</v>
      </c>
    </row>
    <row r="4039" spans="1:12" x14ac:dyDescent="0.3">
      <c r="A4039" t="s">
        <v>4055</v>
      </c>
      <c r="B4039" t="s">
        <v>17</v>
      </c>
      <c r="C4039">
        <v>6498</v>
      </c>
      <c r="D4039">
        <v>103.97</v>
      </c>
      <c r="E4039">
        <v>18.71</v>
      </c>
      <c r="F4039">
        <f>COUNTIFS(mdr_rate_cleaned!$A$2:$A$10,B4039,mdr_rate_cleaned!$B$2:$B$10,"&lt;"&amp;C4039,mdr_rate_cleaned!$F$2:$F$10,"&gt;="&amp;C4039)</f>
        <v>1</v>
      </c>
      <c r="G4039">
        <v>1.6E-2</v>
      </c>
      <c r="H4039">
        <v>103.97</v>
      </c>
      <c r="I4039" t="s">
        <v>15</v>
      </c>
      <c r="J4039" t="s">
        <v>15</v>
      </c>
      <c r="K4039">
        <v>18.71</v>
      </c>
      <c r="L4039">
        <v>0</v>
      </c>
    </row>
    <row r="4040" spans="1:12" x14ac:dyDescent="0.3">
      <c r="A4040" t="s">
        <v>4056</v>
      </c>
      <c r="B4040" t="s">
        <v>21</v>
      </c>
      <c r="C4040">
        <v>1799</v>
      </c>
      <c r="D4040">
        <v>0</v>
      </c>
      <c r="E4040">
        <v>0</v>
      </c>
      <c r="F4040">
        <f>COUNTIFS(mdr_rate_cleaned!$A$2:$A$10,B4040,mdr_rate_cleaned!$B$2:$B$10,"&lt;"&amp;C4040,mdr_rate_cleaned!$F$2:$F$10,"&gt;="&amp;C4040)</f>
        <v>1</v>
      </c>
      <c r="G4040">
        <v>0</v>
      </c>
      <c r="H4040">
        <v>0</v>
      </c>
      <c r="I4040" t="s">
        <v>15</v>
      </c>
      <c r="J4040" t="s">
        <v>15</v>
      </c>
      <c r="K4040">
        <v>0</v>
      </c>
      <c r="L4040">
        <v>0</v>
      </c>
    </row>
    <row r="4041" spans="1:12" x14ac:dyDescent="0.3">
      <c r="A4041" t="s">
        <v>4057</v>
      </c>
      <c r="B4041" t="s">
        <v>39</v>
      </c>
      <c r="C4041">
        <v>499</v>
      </c>
      <c r="D4041">
        <v>7.49</v>
      </c>
      <c r="E4041">
        <v>1.35</v>
      </c>
      <c r="F4041">
        <f>COUNTIFS(mdr_rate_cleaned!$A$2:$A$10,B4041,mdr_rate_cleaned!$B$2:$B$10,"&lt;"&amp;C4041,mdr_rate_cleaned!$F$2:$F$10,"&gt;="&amp;C4041)</f>
        <v>1</v>
      </c>
      <c r="G4041">
        <v>1.4999999999999999E-2</v>
      </c>
      <c r="H4041">
        <v>7.49</v>
      </c>
      <c r="I4041" t="s">
        <v>15</v>
      </c>
      <c r="J4041" t="s">
        <v>15</v>
      </c>
      <c r="K4041">
        <v>1.35</v>
      </c>
      <c r="L4041">
        <v>0</v>
      </c>
    </row>
    <row r="4042" spans="1:12" x14ac:dyDescent="0.3">
      <c r="A4042" t="s">
        <v>4058</v>
      </c>
      <c r="B4042" t="s">
        <v>21</v>
      </c>
      <c r="C4042">
        <v>4999</v>
      </c>
      <c r="D4042">
        <v>15</v>
      </c>
      <c r="E4042">
        <v>2.7</v>
      </c>
      <c r="F4042">
        <f>COUNTIFS(mdr_rate_cleaned!$A$2:$A$10,B4042,mdr_rate_cleaned!$B$2:$B$10,"&lt;"&amp;C4042,mdr_rate_cleaned!$F$2:$F$10,"&gt;="&amp;C4042)</f>
        <v>1</v>
      </c>
      <c r="G4042">
        <v>3.0000000000000001E-3</v>
      </c>
      <c r="H4042">
        <v>15</v>
      </c>
      <c r="I4042" t="s">
        <v>15</v>
      </c>
      <c r="J4042" t="s">
        <v>15</v>
      </c>
      <c r="K4042">
        <v>2.7</v>
      </c>
      <c r="L4042">
        <v>0</v>
      </c>
    </row>
    <row r="4043" spans="1:12" x14ac:dyDescent="0.3">
      <c r="A4043" t="s">
        <v>4059</v>
      </c>
      <c r="B4043" t="s">
        <v>17</v>
      </c>
      <c r="C4043">
        <v>8248</v>
      </c>
      <c r="D4043">
        <v>131.97</v>
      </c>
      <c r="E4043">
        <v>23.75</v>
      </c>
      <c r="F4043">
        <f>COUNTIFS(mdr_rate_cleaned!$A$2:$A$10,B4043,mdr_rate_cleaned!$B$2:$B$10,"&lt;"&amp;C4043,mdr_rate_cleaned!$F$2:$F$10,"&gt;="&amp;C4043)</f>
        <v>1</v>
      </c>
      <c r="G4043">
        <v>1.6E-2</v>
      </c>
      <c r="H4043">
        <v>131.97</v>
      </c>
      <c r="I4043" t="s">
        <v>15</v>
      </c>
      <c r="J4043" t="s">
        <v>15</v>
      </c>
      <c r="K4043">
        <v>23.75</v>
      </c>
      <c r="L4043">
        <v>0</v>
      </c>
    </row>
    <row r="4044" spans="1:12" x14ac:dyDescent="0.3">
      <c r="A4044" t="s">
        <v>4060</v>
      </c>
      <c r="B4044" t="s">
        <v>21</v>
      </c>
      <c r="C4044">
        <v>299</v>
      </c>
      <c r="D4044">
        <v>0</v>
      </c>
      <c r="E4044">
        <v>0</v>
      </c>
      <c r="F4044">
        <f>COUNTIFS(mdr_rate_cleaned!$A$2:$A$10,B4044,mdr_rate_cleaned!$B$2:$B$10,"&lt;"&amp;C4044,mdr_rate_cleaned!$F$2:$F$10,"&gt;="&amp;C4044)</f>
        <v>1</v>
      </c>
      <c r="G4044">
        <v>0</v>
      </c>
      <c r="H4044">
        <v>0</v>
      </c>
      <c r="I4044" t="s">
        <v>15</v>
      </c>
      <c r="J4044" t="s">
        <v>15</v>
      </c>
      <c r="K4044">
        <v>0</v>
      </c>
      <c r="L4044">
        <v>0</v>
      </c>
    </row>
    <row r="4045" spans="1:12" x14ac:dyDescent="0.3">
      <c r="A4045" t="s">
        <v>4061</v>
      </c>
      <c r="B4045" t="s">
        <v>21</v>
      </c>
      <c r="C4045">
        <v>5998</v>
      </c>
      <c r="D4045">
        <v>17.989999999999998</v>
      </c>
      <c r="E4045">
        <v>3.24</v>
      </c>
      <c r="F4045">
        <f>COUNTIFS(mdr_rate_cleaned!$A$2:$A$10,B4045,mdr_rate_cleaned!$B$2:$B$10,"&lt;"&amp;C4045,mdr_rate_cleaned!$F$2:$F$10,"&gt;="&amp;C4045)</f>
        <v>1</v>
      </c>
      <c r="G4045">
        <v>3.0000000000000001E-3</v>
      </c>
      <c r="H4045">
        <v>17.989999999999998</v>
      </c>
      <c r="I4045" t="s">
        <v>15</v>
      </c>
      <c r="J4045" t="s">
        <v>15</v>
      </c>
      <c r="K4045">
        <v>3.24</v>
      </c>
      <c r="L4045">
        <v>0</v>
      </c>
    </row>
    <row r="4046" spans="1:12" x14ac:dyDescent="0.3">
      <c r="A4046" t="s">
        <v>4062</v>
      </c>
      <c r="B4046" t="s">
        <v>21</v>
      </c>
      <c r="C4046">
        <v>798</v>
      </c>
      <c r="D4046">
        <v>0</v>
      </c>
      <c r="E4046">
        <v>0</v>
      </c>
      <c r="F4046">
        <f>COUNTIFS(mdr_rate_cleaned!$A$2:$A$10,B4046,mdr_rate_cleaned!$B$2:$B$10,"&lt;"&amp;C4046,mdr_rate_cleaned!$F$2:$F$10,"&gt;="&amp;C4046)</f>
        <v>1</v>
      </c>
      <c r="G4046">
        <v>0</v>
      </c>
      <c r="H4046">
        <v>0</v>
      </c>
      <c r="I4046" t="s">
        <v>15</v>
      </c>
      <c r="J4046" t="s">
        <v>15</v>
      </c>
      <c r="K4046">
        <v>0</v>
      </c>
      <c r="L4046">
        <v>0</v>
      </c>
    </row>
    <row r="4047" spans="1:12" x14ac:dyDescent="0.3">
      <c r="A4047" t="s">
        <v>4063</v>
      </c>
      <c r="B4047" t="s">
        <v>21</v>
      </c>
      <c r="C4047">
        <v>5298</v>
      </c>
      <c r="D4047">
        <v>15.89</v>
      </c>
      <c r="E4047">
        <v>2.86</v>
      </c>
      <c r="F4047">
        <f>COUNTIFS(mdr_rate_cleaned!$A$2:$A$10,B4047,mdr_rate_cleaned!$B$2:$B$10,"&lt;"&amp;C4047,mdr_rate_cleaned!$F$2:$F$10,"&gt;="&amp;C4047)</f>
        <v>1</v>
      </c>
      <c r="G4047">
        <v>3.0000000000000001E-3</v>
      </c>
      <c r="H4047">
        <v>15.89</v>
      </c>
      <c r="I4047" t="s">
        <v>15</v>
      </c>
      <c r="J4047" t="s">
        <v>15</v>
      </c>
      <c r="K4047">
        <v>2.86</v>
      </c>
      <c r="L4047">
        <v>0</v>
      </c>
    </row>
    <row r="4048" spans="1:12" x14ac:dyDescent="0.3">
      <c r="A4048" t="s">
        <v>4064</v>
      </c>
      <c r="B4048" t="s">
        <v>13</v>
      </c>
      <c r="C4048">
        <v>3499</v>
      </c>
      <c r="D4048">
        <v>59.48</v>
      </c>
      <c r="E4048">
        <v>10.71</v>
      </c>
      <c r="F4048">
        <f>COUNTIFS(mdr_rate_cleaned!$A$2:$A$10,B4048,mdr_rate_cleaned!$B$2:$B$10,"&lt;"&amp;C4048,mdr_rate_cleaned!$F$2:$F$10,"&gt;="&amp;C4048)</f>
        <v>1</v>
      </c>
      <c r="G4048">
        <v>1.7000000000000001E-2</v>
      </c>
      <c r="H4048">
        <v>59.48</v>
      </c>
      <c r="I4048" t="s">
        <v>15</v>
      </c>
      <c r="J4048" t="s">
        <v>15</v>
      </c>
      <c r="K4048">
        <v>10.71</v>
      </c>
      <c r="L4048">
        <v>0</v>
      </c>
    </row>
    <row r="4049" spans="1:12" x14ac:dyDescent="0.3">
      <c r="A4049" t="s">
        <v>4065</v>
      </c>
      <c r="B4049" t="s">
        <v>13</v>
      </c>
      <c r="C4049">
        <v>4297</v>
      </c>
      <c r="D4049">
        <v>73.05</v>
      </c>
      <c r="E4049">
        <v>13.15</v>
      </c>
      <c r="F4049">
        <f>COUNTIFS(mdr_rate_cleaned!$A$2:$A$10,B4049,mdr_rate_cleaned!$B$2:$B$10,"&lt;"&amp;C4049,mdr_rate_cleaned!$F$2:$F$10,"&gt;="&amp;C4049)</f>
        <v>1</v>
      </c>
      <c r="G4049">
        <v>1.7000000000000001E-2</v>
      </c>
      <c r="H4049">
        <v>73.05</v>
      </c>
      <c r="I4049" t="s">
        <v>15</v>
      </c>
      <c r="J4049" t="s">
        <v>15</v>
      </c>
      <c r="K4049">
        <v>13.15</v>
      </c>
      <c r="L4049">
        <v>0</v>
      </c>
    </row>
    <row r="4050" spans="1:12" x14ac:dyDescent="0.3">
      <c r="A4050" t="s">
        <v>4066</v>
      </c>
      <c r="B4050" t="s">
        <v>17</v>
      </c>
      <c r="C4050">
        <v>299</v>
      </c>
      <c r="D4050">
        <v>5.38</v>
      </c>
      <c r="E4050">
        <v>0.97</v>
      </c>
      <c r="F4050">
        <f>COUNTIFS(mdr_rate_cleaned!$A$2:$A$10,B4050,mdr_rate_cleaned!$B$2:$B$10,"&lt;"&amp;C4050,mdr_rate_cleaned!$F$2:$F$10,"&gt;="&amp;C4050)</f>
        <v>1</v>
      </c>
      <c r="G4050">
        <v>1.7999999999999999E-2</v>
      </c>
      <c r="H4050">
        <v>5.38</v>
      </c>
      <c r="I4050" t="s">
        <v>15</v>
      </c>
      <c r="J4050" t="s">
        <v>15</v>
      </c>
      <c r="K4050">
        <v>0.97</v>
      </c>
      <c r="L4050">
        <v>0</v>
      </c>
    </row>
    <row r="4051" spans="1:12" x14ac:dyDescent="0.3">
      <c r="A4051" t="s">
        <v>4067</v>
      </c>
      <c r="B4051" t="s">
        <v>39</v>
      </c>
      <c r="C4051">
        <v>12297</v>
      </c>
      <c r="D4051">
        <v>110.67</v>
      </c>
      <c r="E4051">
        <v>19.920000000000002</v>
      </c>
      <c r="F4051">
        <f>COUNTIFS(mdr_rate_cleaned!$A$2:$A$10,B4051,mdr_rate_cleaned!$B$2:$B$10,"&lt;"&amp;C4051,mdr_rate_cleaned!$F$2:$F$10,"&gt;="&amp;C4051)</f>
        <v>1</v>
      </c>
      <c r="G4051">
        <v>8.9999999999999993E-3</v>
      </c>
      <c r="H4051">
        <v>110.67</v>
      </c>
      <c r="I4051" t="s">
        <v>15</v>
      </c>
      <c r="J4051" t="s">
        <v>15</v>
      </c>
      <c r="K4051">
        <v>19.920000000000002</v>
      </c>
      <c r="L4051">
        <v>0</v>
      </c>
    </row>
    <row r="4052" spans="1:12" x14ac:dyDescent="0.3">
      <c r="A4052" t="s">
        <v>4068</v>
      </c>
      <c r="B4052" t="s">
        <v>17</v>
      </c>
      <c r="C4052">
        <v>4498</v>
      </c>
      <c r="D4052">
        <v>71.97</v>
      </c>
      <c r="E4052">
        <v>12.95</v>
      </c>
      <c r="F4052">
        <f>COUNTIFS(mdr_rate_cleaned!$A$2:$A$10,B4052,mdr_rate_cleaned!$B$2:$B$10,"&lt;"&amp;C4052,mdr_rate_cleaned!$F$2:$F$10,"&gt;="&amp;C4052)</f>
        <v>1</v>
      </c>
      <c r="G4052">
        <v>1.6E-2</v>
      </c>
      <c r="H4052">
        <v>71.97</v>
      </c>
      <c r="I4052" t="s">
        <v>15</v>
      </c>
      <c r="J4052" t="s">
        <v>15</v>
      </c>
      <c r="K4052">
        <v>12.95</v>
      </c>
      <c r="L4052">
        <v>0</v>
      </c>
    </row>
    <row r="4053" spans="1:12" x14ac:dyDescent="0.3">
      <c r="A4053" t="s">
        <v>4069</v>
      </c>
      <c r="B4053" t="s">
        <v>21</v>
      </c>
      <c r="C4053">
        <v>3397</v>
      </c>
      <c r="D4053">
        <v>10.19</v>
      </c>
      <c r="E4053">
        <v>1.83</v>
      </c>
      <c r="F4053">
        <f>COUNTIFS(mdr_rate_cleaned!$A$2:$A$10,B4053,mdr_rate_cleaned!$B$2:$B$10,"&lt;"&amp;C4053,mdr_rate_cleaned!$F$2:$F$10,"&gt;="&amp;C4053)</f>
        <v>1</v>
      </c>
      <c r="G4053">
        <v>3.0000000000000001E-3</v>
      </c>
      <c r="H4053">
        <v>10.19</v>
      </c>
      <c r="I4053" t="s">
        <v>15</v>
      </c>
      <c r="J4053" t="s">
        <v>15</v>
      </c>
      <c r="K4053">
        <v>1.83</v>
      </c>
      <c r="L4053">
        <v>0</v>
      </c>
    </row>
    <row r="4054" spans="1:12" x14ac:dyDescent="0.3">
      <c r="A4054" t="s">
        <v>4070</v>
      </c>
      <c r="B4054" t="s">
        <v>13</v>
      </c>
      <c r="C4054">
        <v>5298</v>
      </c>
      <c r="D4054">
        <v>90.07</v>
      </c>
      <c r="E4054">
        <v>16.21</v>
      </c>
      <c r="F4054">
        <f>COUNTIFS(mdr_rate_cleaned!$A$2:$A$10,B4054,mdr_rate_cleaned!$B$2:$B$10,"&lt;"&amp;C4054,mdr_rate_cleaned!$F$2:$F$10,"&gt;="&amp;C4054)</f>
        <v>1</v>
      </c>
      <c r="G4054">
        <v>1.7000000000000001E-2</v>
      </c>
      <c r="H4054">
        <v>90.07</v>
      </c>
      <c r="I4054" t="s">
        <v>15</v>
      </c>
      <c r="J4054" t="s">
        <v>15</v>
      </c>
      <c r="K4054">
        <v>16.21</v>
      </c>
      <c r="L4054">
        <v>0</v>
      </c>
    </row>
    <row r="4055" spans="1:12" x14ac:dyDescent="0.3">
      <c r="A4055" t="s">
        <v>4071</v>
      </c>
      <c r="B4055" t="s">
        <v>39</v>
      </c>
      <c r="C4055">
        <v>3298</v>
      </c>
      <c r="D4055">
        <v>39.58</v>
      </c>
      <c r="E4055">
        <v>7.12</v>
      </c>
      <c r="F4055">
        <f>COUNTIFS(mdr_rate_cleaned!$A$2:$A$10,B4055,mdr_rate_cleaned!$B$2:$B$10,"&lt;"&amp;C4055,mdr_rate_cleaned!$F$2:$F$10,"&gt;="&amp;C4055)</f>
        <v>1</v>
      </c>
      <c r="G4055">
        <v>1.2E-2</v>
      </c>
      <c r="H4055">
        <v>39.58</v>
      </c>
      <c r="I4055" t="s">
        <v>15</v>
      </c>
      <c r="J4055" t="s">
        <v>15</v>
      </c>
      <c r="K4055">
        <v>7.12</v>
      </c>
      <c r="L4055">
        <v>0</v>
      </c>
    </row>
    <row r="4056" spans="1:12" x14ac:dyDescent="0.3">
      <c r="A4056" t="s">
        <v>4072</v>
      </c>
      <c r="B4056" t="s">
        <v>21</v>
      </c>
      <c r="C4056">
        <v>2647</v>
      </c>
      <c r="D4056">
        <v>7.94</v>
      </c>
      <c r="E4056">
        <v>1.43</v>
      </c>
      <c r="F4056">
        <f>COUNTIFS(mdr_rate_cleaned!$A$2:$A$10,B4056,mdr_rate_cleaned!$B$2:$B$10,"&lt;"&amp;C4056,mdr_rate_cleaned!$F$2:$F$10,"&gt;="&amp;C4056)</f>
        <v>1</v>
      </c>
      <c r="G4056">
        <v>3.0000000000000001E-3</v>
      </c>
      <c r="H4056">
        <v>7.94</v>
      </c>
      <c r="I4056" t="s">
        <v>15</v>
      </c>
      <c r="J4056" t="s">
        <v>15</v>
      </c>
      <c r="K4056">
        <v>1.43</v>
      </c>
      <c r="L4056">
        <v>0</v>
      </c>
    </row>
    <row r="4057" spans="1:12" x14ac:dyDescent="0.3">
      <c r="A4057" t="s">
        <v>4073</v>
      </c>
      <c r="B4057" t="s">
        <v>21</v>
      </c>
      <c r="C4057">
        <v>499</v>
      </c>
      <c r="D4057">
        <v>0</v>
      </c>
      <c r="E4057">
        <v>0</v>
      </c>
      <c r="F4057">
        <f>COUNTIFS(mdr_rate_cleaned!$A$2:$A$10,B4057,mdr_rate_cleaned!$B$2:$B$10,"&lt;"&amp;C4057,mdr_rate_cleaned!$F$2:$F$10,"&gt;="&amp;C4057)</f>
        <v>1</v>
      </c>
      <c r="G4057">
        <v>0</v>
      </c>
      <c r="H4057">
        <v>0</v>
      </c>
      <c r="I4057" t="s">
        <v>15</v>
      </c>
      <c r="J4057" t="s">
        <v>15</v>
      </c>
      <c r="K4057">
        <v>0</v>
      </c>
      <c r="L4057">
        <v>0</v>
      </c>
    </row>
    <row r="4058" spans="1:12" x14ac:dyDescent="0.3">
      <c r="A4058" t="s">
        <v>4074</v>
      </c>
      <c r="B4058" t="s">
        <v>21</v>
      </c>
      <c r="C4058">
        <v>12097</v>
      </c>
      <c r="D4058">
        <v>36.29</v>
      </c>
      <c r="E4058">
        <v>6.53</v>
      </c>
      <c r="F4058">
        <f>COUNTIFS(mdr_rate_cleaned!$A$2:$A$10,B4058,mdr_rate_cleaned!$B$2:$B$10,"&lt;"&amp;C4058,mdr_rate_cleaned!$F$2:$F$10,"&gt;="&amp;C4058)</f>
        <v>1</v>
      </c>
      <c r="G4058">
        <v>3.0000000000000001E-3</v>
      </c>
      <c r="H4058">
        <v>36.29</v>
      </c>
      <c r="I4058" t="s">
        <v>15</v>
      </c>
      <c r="J4058" t="s">
        <v>15</v>
      </c>
      <c r="K4058">
        <v>6.53</v>
      </c>
      <c r="L4058">
        <v>0</v>
      </c>
    </row>
    <row r="4059" spans="1:12" x14ac:dyDescent="0.3">
      <c r="A4059" t="s">
        <v>4075</v>
      </c>
      <c r="B4059" t="s">
        <v>21</v>
      </c>
      <c r="C4059">
        <v>2499</v>
      </c>
      <c r="D4059">
        <v>7.5</v>
      </c>
      <c r="E4059">
        <v>1.35</v>
      </c>
      <c r="F4059">
        <f>COUNTIFS(mdr_rate_cleaned!$A$2:$A$10,B4059,mdr_rate_cleaned!$B$2:$B$10,"&lt;"&amp;C4059,mdr_rate_cleaned!$F$2:$F$10,"&gt;="&amp;C4059)</f>
        <v>1</v>
      </c>
      <c r="G4059">
        <v>3.0000000000000001E-3</v>
      </c>
      <c r="H4059">
        <v>7.5</v>
      </c>
      <c r="I4059" t="s">
        <v>15</v>
      </c>
      <c r="J4059" t="s">
        <v>15</v>
      </c>
      <c r="K4059">
        <v>1.35</v>
      </c>
      <c r="L4059">
        <v>0</v>
      </c>
    </row>
    <row r="4060" spans="1:12" x14ac:dyDescent="0.3">
      <c r="A4060" t="s">
        <v>4076</v>
      </c>
      <c r="B4060" t="s">
        <v>39</v>
      </c>
      <c r="C4060">
        <v>799</v>
      </c>
      <c r="D4060">
        <v>11.99</v>
      </c>
      <c r="E4060">
        <v>2.16</v>
      </c>
      <c r="F4060">
        <f>COUNTIFS(mdr_rate_cleaned!$A$2:$A$10,B4060,mdr_rate_cleaned!$B$2:$B$10,"&lt;"&amp;C4060,mdr_rate_cleaned!$F$2:$F$10,"&gt;="&amp;C4060)</f>
        <v>1</v>
      </c>
      <c r="G4060">
        <v>1.4999999999999999E-2</v>
      </c>
      <c r="H4060">
        <v>11.99</v>
      </c>
      <c r="I4060" t="s">
        <v>15</v>
      </c>
      <c r="J4060" t="s">
        <v>15</v>
      </c>
      <c r="K4060">
        <v>2.16</v>
      </c>
      <c r="L4060">
        <v>0</v>
      </c>
    </row>
    <row r="4061" spans="1:12" x14ac:dyDescent="0.3">
      <c r="A4061" t="s">
        <v>4077</v>
      </c>
      <c r="B4061" t="s">
        <v>13</v>
      </c>
      <c r="C4061">
        <v>9297</v>
      </c>
      <c r="D4061">
        <v>158.05000000000001</v>
      </c>
      <c r="E4061">
        <v>28.45</v>
      </c>
      <c r="F4061">
        <f>COUNTIFS(mdr_rate_cleaned!$A$2:$A$10,B4061,mdr_rate_cleaned!$B$2:$B$10,"&lt;"&amp;C4061,mdr_rate_cleaned!$F$2:$F$10,"&gt;="&amp;C4061)</f>
        <v>1</v>
      </c>
      <c r="G4061">
        <v>1.7000000000000001E-2</v>
      </c>
      <c r="H4061">
        <v>158.05000000000001</v>
      </c>
      <c r="I4061" t="s">
        <v>15</v>
      </c>
      <c r="J4061" t="s">
        <v>15</v>
      </c>
      <c r="K4061">
        <v>28.45</v>
      </c>
      <c r="L4061">
        <v>0</v>
      </c>
    </row>
    <row r="4062" spans="1:12" x14ac:dyDescent="0.3">
      <c r="A4062" t="s">
        <v>4078</v>
      </c>
      <c r="B4062" t="s">
        <v>17</v>
      </c>
      <c r="C4062">
        <v>2597</v>
      </c>
      <c r="D4062">
        <v>41.55</v>
      </c>
      <c r="E4062">
        <v>7.48</v>
      </c>
      <c r="F4062">
        <f>COUNTIFS(mdr_rate_cleaned!$A$2:$A$10,B4062,mdr_rate_cleaned!$B$2:$B$10,"&lt;"&amp;C4062,mdr_rate_cleaned!$F$2:$F$10,"&gt;="&amp;C4062)</f>
        <v>1</v>
      </c>
      <c r="G4062">
        <v>1.6E-2</v>
      </c>
      <c r="H4062">
        <v>41.55</v>
      </c>
      <c r="I4062" t="s">
        <v>15</v>
      </c>
      <c r="J4062" t="s">
        <v>15</v>
      </c>
      <c r="K4062">
        <v>7.48</v>
      </c>
      <c r="L4062">
        <v>0</v>
      </c>
    </row>
    <row r="4063" spans="1:12" x14ac:dyDescent="0.3">
      <c r="A4063" t="s">
        <v>4079</v>
      </c>
      <c r="B4063" t="s">
        <v>21</v>
      </c>
      <c r="C4063">
        <v>4798</v>
      </c>
      <c r="D4063">
        <v>14.39</v>
      </c>
      <c r="E4063">
        <v>2.59</v>
      </c>
      <c r="F4063">
        <f>COUNTIFS(mdr_rate_cleaned!$A$2:$A$10,B4063,mdr_rate_cleaned!$B$2:$B$10,"&lt;"&amp;C4063,mdr_rate_cleaned!$F$2:$F$10,"&gt;="&amp;C4063)</f>
        <v>1</v>
      </c>
      <c r="G4063">
        <v>3.0000000000000001E-3</v>
      </c>
      <c r="H4063">
        <v>14.39</v>
      </c>
      <c r="I4063" t="s">
        <v>15</v>
      </c>
      <c r="J4063" t="s">
        <v>15</v>
      </c>
      <c r="K4063">
        <v>2.59</v>
      </c>
      <c r="L4063">
        <v>0</v>
      </c>
    </row>
    <row r="4064" spans="1:12" x14ac:dyDescent="0.3">
      <c r="A4064" t="s">
        <v>4080</v>
      </c>
      <c r="B4064" t="s">
        <v>21</v>
      </c>
      <c r="C4064">
        <v>9197</v>
      </c>
      <c r="D4064">
        <v>27.59</v>
      </c>
      <c r="E4064">
        <v>4.97</v>
      </c>
      <c r="F4064">
        <f>COUNTIFS(mdr_rate_cleaned!$A$2:$A$10,B4064,mdr_rate_cleaned!$B$2:$B$10,"&lt;"&amp;C4064,mdr_rate_cleaned!$F$2:$F$10,"&gt;="&amp;C4064)</f>
        <v>1</v>
      </c>
      <c r="G4064">
        <v>3.0000000000000001E-3</v>
      </c>
      <c r="H4064">
        <v>27.59</v>
      </c>
      <c r="I4064" t="s">
        <v>15</v>
      </c>
      <c r="J4064" t="s">
        <v>15</v>
      </c>
      <c r="K4064">
        <v>4.97</v>
      </c>
      <c r="L4064">
        <v>0</v>
      </c>
    </row>
    <row r="4065" spans="1:12" x14ac:dyDescent="0.3">
      <c r="A4065" t="s">
        <v>4081</v>
      </c>
      <c r="B4065" t="s">
        <v>17</v>
      </c>
      <c r="C4065">
        <v>2897</v>
      </c>
      <c r="D4065">
        <v>46.35</v>
      </c>
      <c r="E4065">
        <v>8.34</v>
      </c>
      <c r="F4065">
        <f>COUNTIFS(mdr_rate_cleaned!$A$2:$A$10,B4065,mdr_rate_cleaned!$B$2:$B$10,"&lt;"&amp;C4065,mdr_rate_cleaned!$F$2:$F$10,"&gt;="&amp;C4065)</f>
        <v>1</v>
      </c>
      <c r="G4065">
        <v>1.6E-2</v>
      </c>
      <c r="H4065">
        <v>46.35</v>
      </c>
      <c r="I4065" t="s">
        <v>15</v>
      </c>
      <c r="J4065" t="s">
        <v>15</v>
      </c>
      <c r="K4065">
        <v>8.34</v>
      </c>
      <c r="L4065">
        <v>0</v>
      </c>
    </row>
    <row r="4066" spans="1:12" x14ac:dyDescent="0.3">
      <c r="A4066" t="s">
        <v>4082</v>
      </c>
      <c r="B4066" t="s">
        <v>13</v>
      </c>
      <c r="C4066">
        <v>2798</v>
      </c>
      <c r="D4066">
        <v>47.57</v>
      </c>
      <c r="E4066">
        <v>8.56</v>
      </c>
      <c r="F4066">
        <f>COUNTIFS(mdr_rate_cleaned!$A$2:$A$10,B4066,mdr_rate_cleaned!$B$2:$B$10,"&lt;"&amp;C4066,mdr_rate_cleaned!$F$2:$F$10,"&gt;="&amp;C4066)</f>
        <v>1</v>
      </c>
      <c r="G4066">
        <v>1.7000000000000001E-2</v>
      </c>
      <c r="H4066">
        <v>47.57</v>
      </c>
      <c r="I4066" t="s">
        <v>15</v>
      </c>
      <c r="J4066" t="s">
        <v>15</v>
      </c>
      <c r="K4066">
        <v>8.56</v>
      </c>
      <c r="L4066">
        <v>0</v>
      </c>
    </row>
    <row r="4067" spans="1:12" x14ac:dyDescent="0.3">
      <c r="A4067" t="s">
        <v>4083</v>
      </c>
      <c r="B4067" t="s">
        <v>17</v>
      </c>
      <c r="C4067">
        <v>3098</v>
      </c>
      <c r="D4067">
        <v>49.57</v>
      </c>
      <c r="E4067">
        <v>8.92</v>
      </c>
      <c r="F4067">
        <f>COUNTIFS(mdr_rate_cleaned!$A$2:$A$10,B4067,mdr_rate_cleaned!$B$2:$B$10,"&lt;"&amp;C4067,mdr_rate_cleaned!$F$2:$F$10,"&gt;="&amp;C4067)</f>
        <v>1</v>
      </c>
      <c r="G4067">
        <v>1.6E-2</v>
      </c>
      <c r="H4067">
        <v>49.57</v>
      </c>
      <c r="I4067" t="s">
        <v>15</v>
      </c>
      <c r="J4067" t="s">
        <v>15</v>
      </c>
      <c r="K4067">
        <v>8.92</v>
      </c>
      <c r="L4067">
        <v>0</v>
      </c>
    </row>
    <row r="4068" spans="1:12" x14ac:dyDescent="0.3">
      <c r="A4068" t="s">
        <v>4084</v>
      </c>
      <c r="B4068" t="s">
        <v>21</v>
      </c>
      <c r="C4068">
        <v>4397</v>
      </c>
      <c r="D4068">
        <v>13.19</v>
      </c>
      <c r="E4068">
        <v>2.37</v>
      </c>
      <c r="F4068">
        <f>COUNTIFS(mdr_rate_cleaned!$A$2:$A$10,B4068,mdr_rate_cleaned!$B$2:$B$10,"&lt;"&amp;C4068,mdr_rate_cleaned!$F$2:$F$10,"&gt;="&amp;C4068)</f>
        <v>1</v>
      </c>
      <c r="G4068">
        <v>3.0000000000000001E-3</v>
      </c>
      <c r="H4068">
        <v>13.19</v>
      </c>
      <c r="I4068" t="s">
        <v>15</v>
      </c>
      <c r="J4068" t="s">
        <v>15</v>
      </c>
      <c r="K4068">
        <v>2.37</v>
      </c>
      <c r="L4068">
        <v>0</v>
      </c>
    </row>
    <row r="4069" spans="1:12" x14ac:dyDescent="0.3">
      <c r="A4069" t="s">
        <v>4085</v>
      </c>
      <c r="B4069" t="s">
        <v>21</v>
      </c>
      <c r="C4069">
        <v>5298</v>
      </c>
      <c r="D4069">
        <v>15.89</v>
      </c>
      <c r="E4069">
        <v>2.86</v>
      </c>
      <c r="F4069">
        <f>COUNTIFS(mdr_rate_cleaned!$A$2:$A$10,B4069,mdr_rate_cleaned!$B$2:$B$10,"&lt;"&amp;C4069,mdr_rate_cleaned!$F$2:$F$10,"&gt;="&amp;C4069)</f>
        <v>1</v>
      </c>
      <c r="G4069">
        <v>3.0000000000000001E-3</v>
      </c>
      <c r="H4069">
        <v>15.89</v>
      </c>
      <c r="I4069" t="s">
        <v>15</v>
      </c>
      <c r="J4069" t="s">
        <v>15</v>
      </c>
      <c r="K4069">
        <v>2.86</v>
      </c>
      <c r="L4069">
        <v>0</v>
      </c>
    </row>
    <row r="4070" spans="1:12" x14ac:dyDescent="0.3">
      <c r="A4070" t="s">
        <v>4086</v>
      </c>
      <c r="B4070" t="s">
        <v>39</v>
      </c>
      <c r="C4070">
        <v>7999</v>
      </c>
      <c r="D4070">
        <v>95.99</v>
      </c>
      <c r="E4070">
        <v>17.28</v>
      </c>
      <c r="F4070">
        <f>COUNTIFS(mdr_rate_cleaned!$A$2:$A$10,B4070,mdr_rate_cleaned!$B$2:$B$10,"&lt;"&amp;C4070,mdr_rate_cleaned!$F$2:$F$10,"&gt;="&amp;C4070)</f>
        <v>1</v>
      </c>
      <c r="G4070">
        <v>1.2E-2</v>
      </c>
      <c r="H4070">
        <v>95.99</v>
      </c>
      <c r="I4070" t="s">
        <v>15</v>
      </c>
      <c r="J4070" t="s">
        <v>15</v>
      </c>
      <c r="K4070">
        <v>17.28</v>
      </c>
      <c r="L4070">
        <v>0</v>
      </c>
    </row>
    <row r="4071" spans="1:12" x14ac:dyDescent="0.3">
      <c r="A4071" t="s">
        <v>4087</v>
      </c>
      <c r="B4071" t="s">
        <v>21</v>
      </c>
      <c r="C4071">
        <v>1299</v>
      </c>
      <c r="D4071">
        <v>0</v>
      </c>
      <c r="E4071">
        <v>0</v>
      </c>
      <c r="F4071">
        <f>COUNTIFS(mdr_rate_cleaned!$A$2:$A$10,B4071,mdr_rate_cleaned!$B$2:$B$10,"&lt;"&amp;C4071,mdr_rate_cleaned!$F$2:$F$10,"&gt;="&amp;C4071)</f>
        <v>1</v>
      </c>
      <c r="G4071">
        <v>0</v>
      </c>
      <c r="H4071">
        <v>0</v>
      </c>
      <c r="I4071" t="s">
        <v>15</v>
      </c>
      <c r="J4071" t="s">
        <v>15</v>
      </c>
      <c r="K4071">
        <v>0</v>
      </c>
      <c r="L4071">
        <v>0</v>
      </c>
    </row>
    <row r="4072" spans="1:12" x14ac:dyDescent="0.3">
      <c r="A4072" t="s">
        <v>4088</v>
      </c>
      <c r="B4072" t="s">
        <v>21</v>
      </c>
      <c r="C4072">
        <v>349</v>
      </c>
      <c r="D4072">
        <v>0</v>
      </c>
      <c r="E4072">
        <v>0</v>
      </c>
      <c r="F4072">
        <f>COUNTIFS(mdr_rate_cleaned!$A$2:$A$10,B4072,mdr_rate_cleaned!$B$2:$B$10,"&lt;"&amp;C4072,mdr_rate_cleaned!$F$2:$F$10,"&gt;="&amp;C4072)</f>
        <v>1</v>
      </c>
      <c r="G4072">
        <v>0</v>
      </c>
      <c r="H4072">
        <v>0</v>
      </c>
      <c r="I4072" t="s">
        <v>15</v>
      </c>
      <c r="J4072" t="s">
        <v>15</v>
      </c>
      <c r="K4072">
        <v>0</v>
      </c>
      <c r="L4072">
        <v>0</v>
      </c>
    </row>
    <row r="4073" spans="1:12" x14ac:dyDescent="0.3">
      <c r="A4073" t="s">
        <v>4089</v>
      </c>
      <c r="B4073" t="s">
        <v>21</v>
      </c>
      <c r="C4073">
        <v>4999</v>
      </c>
      <c r="D4073">
        <v>15</v>
      </c>
      <c r="E4073">
        <v>2.7</v>
      </c>
      <c r="F4073">
        <f>COUNTIFS(mdr_rate_cleaned!$A$2:$A$10,B4073,mdr_rate_cleaned!$B$2:$B$10,"&lt;"&amp;C4073,mdr_rate_cleaned!$F$2:$F$10,"&gt;="&amp;C4073)</f>
        <v>1</v>
      </c>
      <c r="G4073">
        <v>3.0000000000000001E-3</v>
      </c>
      <c r="H4073">
        <v>15</v>
      </c>
      <c r="I4073" t="s">
        <v>15</v>
      </c>
      <c r="J4073" t="s">
        <v>15</v>
      </c>
      <c r="K4073">
        <v>2.7</v>
      </c>
      <c r="L4073">
        <v>0</v>
      </c>
    </row>
    <row r="4074" spans="1:12" x14ac:dyDescent="0.3">
      <c r="A4074" t="s">
        <v>4090</v>
      </c>
      <c r="B4074" t="s">
        <v>21</v>
      </c>
      <c r="C4074">
        <v>2999</v>
      </c>
      <c r="D4074">
        <v>9</v>
      </c>
      <c r="E4074">
        <v>1.62</v>
      </c>
      <c r="F4074">
        <f>COUNTIFS(mdr_rate_cleaned!$A$2:$A$10,B4074,mdr_rate_cleaned!$B$2:$B$10,"&lt;"&amp;C4074,mdr_rate_cleaned!$F$2:$F$10,"&gt;="&amp;C4074)</f>
        <v>1</v>
      </c>
      <c r="G4074">
        <v>3.0000000000000001E-3</v>
      </c>
      <c r="H4074">
        <v>9</v>
      </c>
      <c r="I4074" t="s">
        <v>15</v>
      </c>
      <c r="J4074" t="s">
        <v>15</v>
      </c>
      <c r="K4074">
        <v>1.62</v>
      </c>
      <c r="L4074">
        <v>0</v>
      </c>
    </row>
    <row r="4075" spans="1:12" x14ac:dyDescent="0.3">
      <c r="A4075" t="s">
        <v>4091</v>
      </c>
      <c r="B4075" t="s">
        <v>21</v>
      </c>
      <c r="C4075">
        <v>7999</v>
      </c>
      <c r="D4075">
        <v>24</v>
      </c>
      <c r="E4075">
        <v>4.32</v>
      </c>
      <c r="F4075">
        <f>COUNTIFS(mdr_rate_cleaned!$A$2:$A$10,B4075,mdr_rate_cleaned!$B$2:$B$10,"&lt;"&amp;C4075,mdr_rate_cleaned!$F$2:$F$10,"&gt;="&amp;C4075)</f>
        <v>1</v>
      </c>
      <c r="G4075">
        <v>3.0000000000000001E-3</v>
      </c>
      <c r="H4075">
        <v>24</v>
      </c>
      <c r="I4075" t="s">
        <v>15</v>
      </c>
      <c r="J4075" t="s">
        <v>15</v>
      </c>
      <c r="K4075">
        <v>4.32</v>
      </c>
      <c r="L4075">
        <v>0</v>
      </c>
    </row>
    <row r="4076" spans="1:12" x14ac:dyDescent="0.3">
      <c r="A4076" t="s">
        <v>4092</v>
      </c>
      <c r="B4076" t="s">
        <v>17</v>
      </c>
      <c r="C4076">
        <v>2499</v>
      </c>
      <c r="D4076">
        <v>39.979999999999997</v>
      </c>
      <c r="E4076">
        <v>7.2</v>
      </c>
      <c r="F4076">
        <f>COUNTIFS(mdr_rate_cleaned!$A$2:$A$10,B4076,mdr_rate_cleaned!$B$2:$B$10,"&lt;"&amp;C4076,mdr_rate_cleaned!$F$2:$F$10,"&gt;="&amp;C4076)</f>
        <v>1</v>
      </c>
      <c r="G4076">
        <v>1.6E-2</v>
      </c>
      <c r="H4076">
        <v>39.979999999999997</v>
      </c>
      <c r="I4076" t="s">
        <v>15</v>
      </c>
      <c r="J4076" t="s">
        <v>15</v>
      </c>
      <c r="K4076">
        <v>7.2</v>
      </c>
      <c r="L4076">
        <v>0</v>
      </c>
    </row>
    <row r="4077" spans="1:12" x14ac:dyDescent="0.3">
      <c r="A4077" t="s">
        <v>4093</v>
      </c>
      <c r="B4077" t="s">
        <v>21</v>
      </c>
      <c r="C4077">
        <v>7999</v>
      </c>
      <c r="D4077">
        <v>24</v>
      </c>
      <c r="E4077">
        <v>4.32</v>
      </c>
      <c r="F4077">
        <f>COUNTIFS(mdr_rate_cleaned!$A$2:$A$10,B4077,mdr_rate_cleaned!$B$2:$B$10,"&lt;"&amp;C4077,mdr_rate_cleaned!$F$2:$F$10,"&gt;="&amp;C4077)</f>
        <v>1</v>
      </c>
      <c r="G4077">
        <v>3.0000000000000001E-3</v>
      </c>
      <c r="H4077">
        <v>24</v>
      </c>
      <c r="I4077" t="s">
        <v>15</v>
      </c>
      <c r="J4077" t="s">
        <v>15</v>
      </c>
      <c r="K4077">
        <v>4.32</v>
      </c>
      <c r="L4077">
        <v>0</v>
      </c>
    </row>
    <row r="4078" spans="1:12" x14ac:dyDescent="0.3">
      <c r="A4078" t="s">
        <v>4094</v>
      </c>
      <c r="B4078" t="s">
        <v>21</v>
      </c>
      <c r="C4078">
        <v>799</v>
      </c>
      <c r="D4078">
        <v>0</v>
      </c>
      <c r="E4078">
        <v>0</v>
      </c>
      <c r="F4078">
        <f>COUNTIFS(mdr_rate_cleaned!$A$2:$A$10,B4078,mdr_rate_cleaned!$B$2:$B$10,"&lt;"&amp;C4078,mdr_rate_cleaned!$F$2:$F$10,"&gt;="&amp;C4078)</f>
        <v>1</v>
      </c>
      <c r="G4078">
        <v>0</v>
      </c>
      <c r="H4078">
        <v>0</v>
      </c>
      <c r="I4078" t="s">
        <v>15</v>
      </c>
      <c r="J4078" t="s">
        <v>15</v>
      </c>
      <c r="K4078">
        <v>0</v>
      </c>
      <c r="L4078">
        <v>0</v>
      </c>
    </row>
    <row r="4079" spans="1:12" x14ac:dyDescent="0.3">
      <c r="A4079" t="s">
        <v>4095</v>
      </c>
      <c r="B4079" t="s">
        <v>21</v>
      </c>
      <c r="C4079">
        <v>349</v>
      </c>
      <c r="D4079">
        <v>0</v>
      </c>
      <c r="E4079">
        <v>0</v>
      </c>
      <c r="F4079">
        <f>COUNTIFS(mdr_rate_cleaned!$A$2:$A$10,B4079,mdr_rate_cleaned!$B$2:$B$10,"&lt;"&amp;C4079,mdr_rate_cleaned!$F$2:$F$10,"&gt;="&amp;C4079)</f>
        <v>1</v>
      </c>
      <c r="G4079">
        <v>0</v>
      </c>
      <c r="H4079">
        <v>0</v>
      </c>
      <c r="I4079" t="s">
        <v>15</v>
      </c>
      <c r="J4079" t="s">
        <v>15</v>
      </c>
      <c r="K4079">
        <v>0</v>
      </c>
      <c r="L4079">
        <v>0</v>
      </c>
    </row>
    <row r="4080" spans="1:12" x14ac:dyDescent="0.3">
      <c r="A4080" t="s">
        <v>4096</v>
      </c>
      <c r="B4080" t="s">
        <v>17</v>
      </c>
      <c r="C4080">
        <v>799</v>
      </c>
      <c r="D4080">
        <v>14.38</v>
      </c>
      <c r="E4080">
        <v>2.59</v>
      </c>
      <c r="F4080">
        <f>COUNTIFS(mdr_rate_cleaned!$A$2:$A$10,B4080,mdr_rate_cleaned!$B$2:$B$10,"&lt;"&amp;C4080,mdr_rate_cleaned!$F$2:$F$10,"&gt;="&amp;C4080)</f>
        <v>1</v>
      </c>
      <c r="G4080">
        <v>1.7999999999999999E-2</v>
      </c>
      <c r="H4080">
        <v>14.38</v>
      </c>
      <c r="I4080" t="s">
        <v>15</v>
      </c>
      <c r="J4080" t="s">
        <v>15</v>
      </c>
      <c r="K4080">
        <v>2.59</v>
      </c>
      <c r="L4080">
        <v>0</v>
      </c>
    </row>
    <row r="4081" spans="1:12" x14ac:dyDescent="0.3">
      <c r="A4081" t="s">
        <v>4097</v>
      </c>
      <c r="B4081" t="s">
        <v>21</v>
      </c>
      <c r="C4081">
        <v>2999</v>
      </c>
      <c r="D4081">
        <v>9</v>
      </c>
      <c r="E4081">
        <v>1.62</v>
      </c>
      <c r="F4081">
        <f>COUNTIFS(mdr_rate_cleaned!$A$2:$A$10,B4081,mdr_rate_cleaned!$B$2:$B$10,"&lt;"&amp;C4081,mdr_rate_cleaned!$F$2:$F$10,"&gt;="&amp;C4081)</f>
        <v>1</v>
      </c>
      <c r="G4081">
        <v>3.0000000000000001E-3</v>
      </c>
      <c r="H4081">
        <v>9</v>
      </c>
      <c r="I4081" t="s">
        <v>15</v>
      </c>
      <c r="J4081" t="s">
        <v>15</v>
      </c>
      <c r="K4081">
        <v>1.62</v>
      </c>
      <c r="L4081">
        <v>0</v>
      </c>
    </row>
    <row r="4082" spans="1:12" x14ac:dyDescent="0.3">
      <c r="A4082" t="s">
        <v>4098</v>
      </c>
      <c r="B4082" t="s">
        <v>17</v>
      </c>
      <c r="C4082">
        <v>4798</v>
      </c>
      <c r="D4082">
        <v>76.77</v>
      </c>
      <c r="E4082">
        <v>13.82</v>
      </c>
      <c r="F4082">
        <f>COUNTIFS(mdr_rate_cleaned!$A$2:$A$10,B4082,mdr_rate_cleaned!$B$2:$B$10,"&lt;"&amp;C4082,mdr_rate_cleaned!$F$2:$F$10,"&gt;="&amp;C4082)</f>
        <v>1</v>
      </c>
      <c r="G4082">
        <v>1.6E-2</v>
      </c>
      <c r="H4082">
        <v>76.77</v>
      </c>
      <c r="I4082" t="s">
        <v>15</v>
      </c>
      <c r="J4082" t="s">
        <v>15</v>
      </c>
      <c r="K4082">
        <v>13.82</v>
      </c>
      <c r="L4082">
        <v>0</v>
      </c>
    </row>
    <row r="4083" spans="1:12" x14ac:dyDescent="0.3">
      <c r="A4083" t="s">
        <v>4099</v>
      </c>
      <c r="B4083" t="s">
        <v>39</v>
      </c>
      <c r="C4083">
        <v>2347</v>
      </c>
      <c r="D4083">
        <v>28.16</v>
      </c>
      <c r="E4083">
        <v>5.07</v>
      </c>
      <c r="F4083">
        <f>COUNTIFS(mdr_rate_cleaned!$A$2:$A$10,B4083,mdr_rate_cleaned!$B$2:$B$10,"&lt;"&amp;C4083,mdr_rate_cleaned!$F$2:$F$10,"&gt;="&amp;C4083)</f>
        <v>1</v>
      </c>
      <c r="G4083">
        <v>1.2E-2</v>
      </c>
      <c r="H4083">
        <v>28.16</v>
      </c>
      <c r="I4083" t="s">
        <v>15</v>
      </c>
      <c r="J4083" t="s">
        <v>15</v>
      </c>
      <c r="K4083">
        <v>5.07</v>
      </c>
      <c r="L4083">
        <v>0</v>
      </c>
    </row>
    <row r="4084" spans="1:12" x14ac:dyDescent="0.3">
      <c r="A4084" t="s">
        <v>4100</v>
      </c>
      <c r="B4084" t="s">
        <v>21</v>
      </c>
      <c r="C4084">
        <v>7997</v>
      </c>
      <c r="D4084">
        <v>23.99</v>
      </c>
      <c r="E4084">
        <v>4.32</v>
      </c>
      <c r="F4084">
        <f>COUNTIFS(mdr_rate_cleaned!$A$2:$A$10,B4084,mdr_rate_cleaned!$B$2:$B$10,"&lt;"&amp;C4084,mdr_rate_cleaned!$F$2:$F$10,"&gt;="&amp;C4084)</f>
        <v>1</v>
      </c>
      <c r="G4084">
        <v>3.0000000000000001E-3</v>
      </c>
      <c r="H4084">
        <v>23.99</v>
      </c>
      <c r="I4084" t="s">
        <v>15</v>
      </c>
      <c r="J4084" t="s">
        <v>15</v>
      </c>
      <c r="K4084">
        <v>4.32</v>
      </c>
      <c r="L4084">
        <v>0</v>
      </c>
    </row>
    <row r="4085" spans="1:12" x14ac:dyDescent="0.3">
      <c r="A4085" t="s">
        <v>4101</v>
      </c>
      <c r="B4085" t="s">
        <v>39</v>
      </c>
      <c r="C4085">
        <v>999</v>
      </c>
      <c r="D4085">
        <v>14.99</v>
      </c>
      <c r="E4085">
        <v>2.7</v>
      </c>
      <c r="F4085">
        <f>COUNTIFS(mdr_rate_cleaned!$A$2:$A$10,B4085,mdr_rate_cleaned!$B$2:$B$10,"&lt;"&amp;C4085,mdr_rate_cleaned!$F$2:$F$10,"&gt;="&amp;C4085)</f>
        <v>1</v>
      </c>
      <c r="G4085">
        <v>1.4999999999999999E-2</v>
      </c>
      <c r="H4085">
        <v>14.99</v>
      </c>
      <c r="I4085" t="s">
        <v>15</v>
      </c>
      <c r="J4085" t="s">
        <v>15</v>
      </c>
      <c r="K4085">
        <v>2.7</v>
      </c>
      <c r="L4085">
        <v>0</v>
      </c>
    </row>
    <row r="4086" spans="1:12" x14ac:dyDescent="0.3">
      <c r="A4086" t="s">
        <v>4102</v>
      </c>
      <c r="B4086" t="s">
        <v>21</v>
      </c>
      <c r="C4086">
        <v>3298</v>
      </c>
      <c r="D4086">
        <v>9.89</v>
      </c>
      <c r="E4086">
        <v>1.78</v>
      </c>
      <c r="F4086">
        <f>COUNTIFS(mdr_rate_cleaned!$A$2:$A$10,B4086,mdr_rate_cleaned!$B$2:$B$10,"&lt;"&amp;C4086,mdr_rate_cleaned!$F$2:$F$10,"&gt;="&amp;C4086)</f>
        <v>1</v>
      </c>
      <c r="G4086">
        <v>3.0000000000000001E-3</v>
      </c>
      <c r="H4086">
        <v>9.89</v>
      </c>
      <c r="I4086" t="s">
        <v>15</v>
      </c>
      <c r="J4086" t="s">
        <v>15</v>
      </c>
      <c r="K4086">
        <v>1.78</v>
      </c>
      <c r="L4086">
        <v>0</v>
      </c>
    </row>
    <row r="4087" spans="1:12" x14ac:dyDescent="0.3">
      <c r="A4087" t="s">
        <v>4103</v>
      </c>
      <c r="B4087" t="s">
        <v>21</v>
      </c>
      <c r="C4087">
        <v>3098</v>
      </c>
      <c r="D4087">
        <v>9.2899999999999991</v>
      </c>
      <c r="E4087">
        <v>1.67</v>
      </c>
      <c r="F4087">
        <f>COUNTIFS(mdr_rate_cleaned!$A$2:$A$10,B4087,mdr_rate_cleaned!$B$2:$B$10,"&lt;"&amp;C4087,mdr_rate_cleaned!$F$2:$F$10,"&gt;="&amp;C4087)</f>
        <v>1</v>
      </c>
      <c r="G4087">
        <v>3.0000000000000001E-3</v>
      </c>
      <c r="H4087">
        <v>9.2899999999999991</v>
      </c>
      <c r="I4087" t="s">
        <v>15</v>
      </c>
      <c r="J4087" t="s">
        <v>15</v>
      </c>
      <c r="K4087">
        <v>1.67</v>
      </c>
      <c r="L4087">
        <v>0</v>
      </c>
    </row>
    <row r="4088" spans="1:12" x14ac:dyDescent="0.3">
      <c r="A4088" t="s">
        <v>4104</v>
      </c>
      <c r="B4088" t="s">
        <v>17</v>
      </c>
      <c r="C4088">
        <v>948</v>
      </c>
      <c r="D4088">
        <v>17.059999999999999</v>
      </c>
      <c r="E4088">
        <v>3.07</v>
      </c>
      <c r="F4088">
        <f>COUNTIFS(mdr_rate_cleaned!$A$2:$A$10,B4088,mdr_rate_cleaned!$B$2:$B$10,"&lt;"&amp;C4088,mdr_rate_cleaned!$F$2:$F$10,"&gt;="&amp;C4088)</f>
        <v>1</v>
      </c>
      <c r="G4088">
        <v>1.7999999999999999E-2</v>
      </c>
      <c r="H4088">
        <v>17.059999999999999</v>
      </c>
      <c r="I4088" t="s">
        <v>15</v>
      </c>
      <c r="J4088" t="s">
        <v>15</v>
      </c>
      <c r="K4088">
        <v>3.07</v>
      </c>
      <c r="L4088">
        <v>0</v>
      </c>
    </row>
    <row r="4089" spans="1:12" x14ac:dyDescent="0.3">
      <c r="A4089" t="s">
        <v>4105</v>
      </c>
      <c r="B4089" t="s">
        <v>21</v>
      </c>
      <c r="C4089">
        <v>999</v>
      </c>
      <c r="D4089">
        <v>0</v>
      </c>
      <c r="E4089">
        <v>0</v>
      </c>
      <c r="F4089">
        <f>COUNTIFS(mdr_rate_cleaned!$A$2:$A$10,B4089,mdr_rate_cleaned!$B$2:$B$10,"&lt;"&amp;C4089,mdr_rate_cleaned!$F$2:$F$10,"&gt;="&amp;C4089)</f>
        <v>1</v>
      </c>
      <c r="G4089">
        <v>0</v>
      </c>
      <c r="H4089">
        <v>0</v>
      </c>
      <c r="I4089" t="s">
        <v>15</v>
      </c>
      <c r="J4089" t="s">
        <v>15</v>
      </c>
      <c r="K4089">
        <v>0</v>
      </c>
      <c r="L4089">
        <v>0</v>
      </c>
    </row>
    <row r="4090" spans="1:12" x14ac:dyDescent="0.3">
      <c r="A4090" t="s">
        <v>4106</v>
      </c>
      <c r="B4090" t="s">
        <v>21</v>
      </c>
      <c r="C4090">
        <v>7999</v>
      </c>
      <c r="D4090">
        <v>24</v>
      </c>
      <c r="E4090">
        <v>4.32</v>
      </c>
      <c r="F4090">
        <f>COUNTIFS(mdr_rate_cleaned!$A$2:$A$10,B4090,mdr_rate_cleaned!$B$2:$B$10,"&lt;"&amp;C4090,mdr_rate_cleaned!$F$2:$F$10,"&gt;="&amp;C4090)</f>
        <v>1</v>
      </c>
      <c r="G4090">
        <v>3.0000000000000001E-3</v>
      </c>
      <c r="H4090">
        <v>24</v>
      </c>
      <c r="I4090" t="s">
        <v>15</v>
      </c>
      <c r="J4090" t="s">
        <v>15</v>
      </c>
      <c r="K4090">
        <v>4.32</v>
      </c>
      <c r="L4090">
        <v>0</v>
      </c>
    </row>
    <row r="4091" spans="1:12" x14ac:dyDescent="0.3">
      <c r="A4091" t="s">
        <v>4107</v>
      </c>
      <c r="B4091" t="s">
        <v>21</v>
      </c>
      <c r="C4091">
        <v>7998</v>
      </c>
      <c r="D4091">
        <v>23.99</v>
      </c>
      <c r="E4091">
        <v>4.32</v>
      </c>
      <c r="F4091">
        <f>COUNTIFS(mdr_rate_cleaned!$A$2:$A$10,B4091,mdr_rate_cleaned!$B$2:$B$10,"&lt;"&amp;C4091,mdr_rate_cleaned!$F$2:$F$10,"&gt;="&amp;C4091)</f>
        <v>1</v>
      </c>
      <c r="G4091">
        <v>3.0000000000000001E-3</v>
      </c>
      <c r="H4091">
        <v>23.99</v>
      </c>
      <c r="I4091" t="s">
        <v>15</v>
      </c>
      <c r="J4091" t="s">
        <v>15</v>
      </c>
      <c r="K4091">
        <v>4.32</v>
      </c>
      <c r="L4091">
        <v>0</v>
      </c>
    </row>
    <row r="4092" spans="1:12" x14ac:dyDescent="0.3">
      <c r="A4092" t="s">
        <v>4108</v>
      </c>
      <c r="B4092" t="s">
        <v>17</v>
      </c>
      <c r="C4092">
        <v>798</v>
      </c>
      <c r="D4092">
        <v>14.36</v>
      </c>
      <c r="E4092">
        <v>2.58</v>
      </c>
      <c r="F4092">
        <f>COUNTIFS(mdr_rate_cleaned!$A$2:$A$10,B4092,mdr_rate_cleaned!$B$2:$B$10,"&lt;"&amp;C4092,mdr_rate_cleaned!$F$2:$F$10,"&gt;="&amp;C4092)</f>
        <v>1</v>
      </c>
      <c r="G4092">
        <v>1.7999999999999999E-2</v>
      </c>
      <c r="H4092">
        <v>14.36</v>
      </c>
      <c r="I4092" t="s">
        <v>15</v>
      </c>
      <c r="J4092" t="s">
        <v>15</v>
      </c>
      <c r="K4092">
        <v>2.58</v>
      </c>
      <c r="L4092">
        <v>0</v>
      </c>
    </row>
    <row r="4093" spans="1:12" x14ac:dyDescent="0.3">
      <c r="A4093" t="s">
        <v>4109</v>
      </c>
      <c r="B4093" t="s">
        <v>17</v>
      </c>
      <c r="C4093">
        <v>1799</v>
      </c>
      <c r="D4093">
        <v>32.380000000000003</v>
      </c>
      <c r="E4093">
        <v>5.83</v>
      </c>
      <c r="F4093">
        <f>COUNTIFS(mdr_rate_cleaned!$A$2:$A$10,B4093,mdr_rate_cleaned!$B$2:$B$10,"&lt;"&amp;C4093,mdr_rate_cleaned!$F$2:$F$10,"&gt;="&amp;C4093)</f>
        <v>1</v>
      </c>
      <c r="G4093">
        <v>1.7999999999999999E-2</v>
      </c>
      <c r="H4093">
        <v>32.380000000000003</v>
      </c>
      <c r="I4093" t="s">
        <v>15</v>
      </c>
      <c r="J4093" t="s">
        <v>15</v>
      </c>
      <c r="K4093">
        <v>5.83</v>
      </c>
      <c r="L4093">
        <v>0</v>
      </c>
    </row>
    <row r="4094" spans="1:12" x14ac:dyDescent="0.3">
      <c r="A4094" t="s">
        <v>4110</v>
      </c>
      <c r="B4094" t="s">
        <v>13</v>
      </c>
      <c r="C4094">
        <v>9297</v>
      </c>
      <c r="D4094">
        <v>158.05000000000001</v>
      </c>
      <c r="E4094">
        <v>28.45</v>
      </c>
      <c r="F4094">
        <f>COUNTIFS(mdr_rate_cleaned!$A$2:$A$10,B4094,mdr_rate_cleaned!$B$2:$B$10,"&lt;"&amp;C4094,mdr_rate_cleaned!$F$2:$F$10,"&gt;="&amp;C4094)</f>
        <v>1</v>
      </c>
      <c r="G4094">
        <v>1.7000000000000001E-2</v>
      </c>
      <c r="H4094">
        <v>158.05000000000001</v>
      </c>
      <c r="I4094" t="s">
        <v>15</v>
      </c>
      <c r="J4094" t="s">
        <v>15</v>
      </c>
      <c r="K4094">
        <v>28.45</v>
      </c>
      <c r="L4094">
        <v>0</v>
      </c>
    </row>
    <row r="4095" spans="1:12" x14ac:dyDescent="0.3">
      <c r="A4095" t="s">
        <v>4111</v>
      </c>
      <c r="B4095" t="s">
        <v>17</v>
      </c>
      <c r="C4095">
        <v>13997</v>
      </c>
      <c r="D4095">
        <v>223.95</v>
      </c>
      <c r="E4095">
        <v>40.31</v>
      </c>
      <c r="F4095">
        <f>COUNTIFS(mdr_rate_cleaned!$A$2:$A$10,B4095,mdr_rate_cleaned!$B$2:$B$10,"&lt;"&amp;C4095,mdr_rate_cleaned!$F$2:$F$10,"&gt;="&amp;C4095)</f>
        <v>1</v>
      </c>
      <c r="G4095">
        <v>1.6E-2</v>
      </c>
      <c r="H4095">
        <v>223.95</v>
      </c>
      <c r="I4095" t="s">
        <v>15</v>
      </c>
      <c r="J4095" t="s">
        <v>15</v>
      </c>
      <c r="K4095">
        <v>40.31</v>
      </c>
      <c r="L4095">
        <v>0</v>
      </c>
    </row>
    <row r="4096" spans="1:12" x14ac:dyDescent="0.3">
      <c r="A4096" t="s">
        <v>4112</v>
      </c>
      <c r="B4096" t="s">
        <v>17</v>
      </c>
      <c r="C4096">
        <v>499</v>
      </c>
      <c r="D4096">
        <v>8.98</v>
      </c>
      <c r="E4096">
        <v>1.62</v>
      </c>
      <c r="F4096">
        <f>COUNTIFS(mdr_rate_cleaned!$A$2:$A$10,B4096,mdr_rate_cleaned!$B$2:$B$10,"&lt;"&amp;C4096,mdr_rate_cleaned!$F$2:$F$10,"&gt;="&amp;C4096)</f>
        <v>1</v>
      </c>
      <c r="G4096">
        <v>1.7999999999999999E-2</v>
      </c>
      <c r="H4096">
        <v>8.98</v>
      </c>
      <c r="I4096" t="s">
        <v>15</v>
      </c>
      <c r="J4096" t="s">
        <v>15</v>
      </c>
      <c r="K4096">
        <v>1.62</v>
      </c>
      <c r="L4096">
        <v>0</v>
      </c>
    </row>
    <row r="4097" spans="1:12" x14ac:dyDescent="0.3">
      <c r="A4097" t="s">
        <v>4113</v>
      </c>
      <c r="B4097" t="s">
        <v>21</v>
      </c>
      <c r="C4097">
        <v>999</v>
      </c>
      <c r="D4097">
        <v>0</v>
      </c>
      <c r="E4097">
        <v>0</v>
      </c>
      <c r="F4097">
        <f>COUNTIFS(mdr_rate_cleaned!$A$2:$A$10,B4097,mdr_rate_cleaned!$B$2:$B$10,"&lt;"&amp;C4097,mdr_rate_cleaned!$F$2:$F$10,"&gt;="&amp;C4097)</f>
        <v>1</v>
      </c>
      <c r="G4097">
        <v>0</v>
      </c>
      <c r="H4097">
        <v>0</v>
      </c>
      <c r="I4097" t="s">
        <v>15</v>
      </c>
      <c r="J4097" t="s">
        <v>15</v>
      </c>
      <c r="K4097">
        <v>0</v>
      </c>
      <c r="L4097">
        <v>0</v>
      </c>
    </row>
    <row r="4098" spans="1:12" x14ac:dyDescent="0.3">
      <c r="A4098" t="s">
        <v>4114</v>
      </c>
      <c r="B4098" t="s">
        <v>21</v>
      </c>
      <c r="C4098">
        <v>8498</v>
      </c>
      <c r="D4098">
        <v>25.49</v>
      </c>
      <c r="E4098">
        <v>4.59</v>
      </c>
      <c r="F4098">
        <f>COUNTIFS(mdr_rate_cleaned!$A$2:$A$10,B4098,mdr_rate_cleaned!$B$2:$B$10,"&lt;"&amp;C4098,mdr_rate_cleaned!$F$2:$F$10,"&gt;="&amp;C4098)</f>
        <v>1</v>
      </c>
      <c r="G4098">
        <v>3.0000000000000001E-3</v>
      </c>
      <c r="H4098">
        <v>25.49</v>
      </c>
      <c r="I4098" t="s">
        <v>15</v>
      </c>
      <c r="J4098" t="s">
        <v>15</v>
      </c>
      <c r="K4098">
        <v>4.59</v>
      </c>
      <c r="L4098">
        <v>0</v>
      </c>
    </row>
    <row r="4099" spans="1:12" x14ac:dyDescent="0.3">
      <c r="A4099" t="s">
        <v>4115</v>
      </c>
      <c r="B4099" t="s">
        <v>21</v>
      </c>
      <c r="C4099">
        <v>999</v>
      </c>
      <c r="D4099">
        <v>0</v>
      </c>
      <c r="E4099">
        <v>0</v>
      </c>
      <c r="F4099">
        <f>COUNTIFS(mdr_rate_cleaned!$A$2:$A$10,B4099,mdr_rate_cleaned!$B$2:$B$10,"&lt;"&amp;C4099,mdr_rate_cleaned!$F$2:$F$10,"&gt;="&amp;C4099)</f>
        <v>1</v>
      </c>
      <c r="G4099">
        <v>0</v>
      </c>
      <c r="H4099">
        <v>0</v>
      </c>
      <c r="I4099" t="s">
        <v>15</v>
      </c>
      <c r="J4099" t="s">
        <v>15</v>
      </c>
      <c r="K4099">
        <v>0</v>
      </c>
      <c r="L4099">
        <v>0</v>
      </c>
    </row>
    <row r="4100" spans="1:12" x14ac:dyDescent="0.3">
      <c r="A4100" t="s">
        <v>4116</v>
      </c>
      <c r="B4100" t="s">
        <v>21</v>
      </c>
      <c r="C4100">
        <v>1598</v>
      </c>
      <c r="D4100">
        <v>0</v>
      </c>
      <c r="E4100">
        <v>0</v>
      </c>
      <c r="F4100">
        <f>COUNTIFS(mdr_rate_cleaned!$A$2:$A$10,B4100,mdr_rate_cleaned!$B$2:$B$10,"&lt;"&amp;C4100,mdr_rate_cleaned!$F$2:$F$10,"&gt;="&amp;C4100)</f>
        <v>1</v>
      </c>
      <c r="G4100">
        <v>0</v>
      </c>
      <c r="H4100">
        <v>0</v>
      </c>
      <c r="I4100" t="s">
        <v>15</v>
      </c>
      <c r="J4100" t="s">
        <v>15</v>
      </c>
      <c r="K4100">
        <v>0</v>
      </c>
      <c r="L4100">
        <v>0</v>
      </c>
    </row>
    <row r="4101" spans="1:12" x14ac:dyDescent="0.3">
      <c r="A4101" t="s">
        <v>4117</v>
      </c>
      <c r="B4101" t="s">
        <v>21</v>
      </c>
      <c r="C4101">
        <v>2999</v>
      </c>
      <c r="D4101">
        <v>9</v>
      </c>
      <c r="E4101">
        <v>1.62</v>
      </c>
      <c r="F4101">
        <f>COUNTIFS(mdr_rate_cleaned!$A$2:$A$10,B4101,mdr_rate_cleaned!$B$2:$B$10,"&lt;"&amp;C4101,mdr_rate_cleaned!$F$2:$F$10,"&gt;="&amp;C4101)</f>
        <v>1</v>
      </c>
      <c r="G4101">
        <v>3.0000000000000001E-3</v>
      </c>
      <c r="H4101">
        <v>9</v>
      </c>
      <c r="I4101" t="s">
        <v>15</v>
      </c>
      <c r="J4101" t="s">
        <v>15</v>
      </c>
      <c r="K4101">
        <v>1.62</v>
      </c>
      <c r="L4101">
        <v>0</v>
      </c>
    </row>
    <row r="4102" spans="1:12" x14ac:dyDescent="0.3">
      <c r="A4102" t="s">
        <v>4118</v>
      </c>
      <c r="B4102" t="s">
        <v>17</v>
      </c>
      <c r="C4102">
        <v>349</v>
      </c>
      <c r="D4102">
        <v>6.28</v>
      </c>
      <c r="E4102">
        <v>1.1299999999999999</v>
      </c>
      <c r="F4102">
        <f>COUNTIFS(mdr_rate_cleaned!$A$2:$A$10,B4102,mdr_rate_cleaned!$B$2:$B$10,"&lt;"&amp;C4102,mdr_rate_cleaned!$F$2:$F$10,"&gt;="&amp;C4102)</f>
        <v>1</v>
      </c>
      <c r="G4102">
        <v>1.7999999999999999E-2</v>
      </c>
      <c r="H4102">
        <v>6.28</v>
      </c>
      <c r="I4102" t="s">
        <v>15</v>
      </c>
      <c r="J4102" t="s">
        <v>15</v>
      </c>
      <c r="K4102">
        <v>1.1299999999999999</v>
      </c>
      <c r="L4102">
        <v>0</v>
      </c>
    </row>
    <row r="4103" spans="1:12" x14ac:dyDescent="0.3">
      <c r="A4103" t="s">
        <v>4119</v>
      </c>
      <c r="B4103" t="s">
        <v>21</v>
      </c>
      <c r="C4103">
        <v>1299</v>
      </c>
      <c r="D4103">
        <v>0</v>
      </c>
      <c r="E4103">
        <v>0</v>
      </c>
      <c r="F4103">
        <f>COUNTIFS(mdr_rate_cleaned!$A$2:$A$10,B4103,mdr_rate_cleaned!$B$2:$B$10,"&lt;"&amp;C4103,mdr_rate_cleaned!$F$2:$F$10,"&gt;="&amp;C4103)</f>
        <v>1</v>
      </c>
      <c r="G4103">
        <v>0</v>
      </c>
      <c r="H4103">
        <v>0</v>
      </c>
      <c r="I4103" t="s">
        <v>15</v>
      </c>
      <c r="J4103" t="s">
        <v>15</v>
      </c>
      <c r="K4103">
        <v>0</v>
      </c>
      <c r="L4103">
        <v>0</v>
      </c>
    </row>
    <row r="4104" spans="1:12" x14ac:dyDescent="0.3">
      <c r="A4104" t="s">
        <v>4120</v>
      </c>
      <c r="B4104" t="s">
        <v>21</v>
      </c>
      <c r="C4104">
        <v>999</v>
      </c>
      <c r="D4104">
        <v>0</v>
      </c>
      <c r="E4104">
        <v>0</v>
      </c>
      <c r="F4104">
        <f>COUNTIFS(mdr_rate_cleaned!$A$2:$A$10,B4104,mdr_rate_cleaned!$B$2:$B$10,"&lt;"&amp;C4104,mdr_rate_cleaned!$F$2:$F$10,"&gt;="&amp;C4104)</f>
        <v>1</v>
      </c>
      <c r="G4104">
        <v>0</v>
      </c>
      <c r="H4104">
        <v>0</v>
      </c>
      <c r="I4104" t="s">
        <v>15</v>
      </c>
      <c r="J4104" t="s">
        <v>15</v>
      </c>
      <c r="K4104">
        <v>0</v>
      </c>
      <c r="L4104">
        <v>0</v>
      </c>
    </row>
    <row r="4105" spans="1:12" x14ac:dyDescent="0.3">
      <c r="A4105" t="s">
        <v>4121</v>
      </c>
      <c r="B4105" t="s">
        <v>21</v>
      </c>
      <c r="C4105">
        <v>599</v>
      </c>
      <c r="D4105">
        <v>0</v>
      </c>
      <c r="E4105">
        <v>0</v>
      </c>
      <c r="F4105">
        <f>COUNTIFS(mdr_rate_cleaned!$A$2:$A$10,B4105,mdr_rate_cleaned!$B$2:$B$10,"&lt;"&amp;C4105,mdr_rate_cleaned!$F$2:$F$10,"&gt;="&amp;C4105)</f>
        <v>1</v>
      </c>
      <c r="G4105">
        <v>0</v>
      </c>
      <c r="H4105">
        <v>0</v>
      </c>
      <c r="I4105" t="s">
        <v>15</v>
      </c>
      <c r="J4105" t="s">
        <v>15</v>
      </c>
      <c r="K4105">
        <v>0</v>
      </c>
      <c r="L4105">
        <v>0</v>
      </c>
    </row>
    <row r="4106" spans="1:12" x14ac:dyDescent="0.3">
      <c r="A4106" t="s">
        <v>4122</v>
      </c>
      <c r="B4106" t="s">
        <v>39</v>
      </c>
      <c r="C4106">
        <v>2798</v>
      </c>
      <c r="D4106">
        <v>33.58</v>
      </c>
      <c r="E4106">
        <v>6.04</v>
      </c>
      <c r="F4106">
        <f>COUNTIFS(mdr_rate_cleaned!$A$2:$A$10,B4106,mdr_rate_cleaned!$B$2:$B$10,"&lt;"&amp;C4106,mdr_rate_cleaned!$F$2:$F$10,"&gt;="&amp;C4106)</f>
        <v>1</v>
      </c>
      <c r="G4106">
        <v>1.2E-2</v>
      </c>
      <c r="H4106">
        <v>33.58</v>
      </c>
      <c r="I4106" t="s">
        <v>15</v>
      </c>
      <c r="J4106" t="s">
        <v>15</v>
      </c>
      <c r="K4106">
        <v>6.04</v>
      </c>
      <c r="L4106">
        <v>0</v>
      </c>
    </row>
    <row r="4107" spans="1:12" x14ac:dyDescent="0.3">
      <c r="A4107" t="s">
        <v>4123</v>
      </c>
      <c r="B4107" t="s">
        <v>21</v>
      </c>
      <c r="C4107">
        <v>349</v>
      </c>
      <c r="D4107">
        <v>0</v>
      </c>
      <c r="E4107">
        <v>0</v>
      </c>
      <c r="F4107">
        <f>COUNTIFS(mdr_rate_cleaned!$A$2:$A$10,B4107,mdr_rate_cleaned!$B$2:$B$10,"&lt;"&amp;C4107,mdr_rate_cleaned!$F$2:$F$10,"&gt;="&amp;C4107)</f>
        <v>1</v>
      </c>
      <c r="G4107">
        <v>0</v>
      </c>
      <c r="H4107">
        <v>0</v>
      </c>
      <c r="I4107" t="s">
        <v>15</v>
      </c>
      <c r="J4107" t="s">
        <v>15</v>
      </c>
      <c r="K4107">
        <v>0</v>
      </c>
      <c r="L4107">
        <v>0</v>
      </c>
    </row>
    <row r="4108" spans="1:12" x14ac:dyDescent="0.3">
      <c r="A4108" t="s">
        <v>4124</v>
      </c>
      <c r="B4108" t="s">
        <v>21</v>
      </c>
      <c r="C4108">
        <v>9297</v>
      </c>
      <c r="D4108">
        <v>27.89</v>
      </c>
      <c r="E4108">
        <v>5.0199999999999996</v>
      </c>
      <c r="F4108">
        <f>COUNTIFS(mdr_rate_cleaned!$A$2:$A$10,B4108,mdr_rate_cleaned!$B$2:$B$10,"&lt;"&amp;C4108,mdr_rate_cleaned!$F$2:$F$10,"&gt;="&amp;C4108)</f>
        <v>1</v>
      </c>
      <c r="G4108">
        <v>3.0000000000000001E-3</v>
      </c>
      <c r="H4108">
        <v>27.89</v>
      </c>
      <c r="I4108" t="s">
        <v>15</v>
      </c>
      <c r="J4108" t="s">
        <v>15</v>
      </c>
      <c r="K4108">
        <v>5.0199999999999996</v>
      </c>
      <c r="L4108">
        <v>0</v>
      </c>
    </row>
    <row r="4109" spans="1:12" x14ac:dyDescent="0.3">
      <c r="A4109" t="s">
        <v>4125</v>
      </c>
      <c r="B4109" t="s">
        <v>21</v>
      </c>
      <c r="C4109">
        <v>2999</v>
      </c>
      <c r="D4109">
        <v>9</v>
      </c>
      <c r="E4109">
        <v>1.62</v>
      </c>
      <c r="F4109">
        <f>COUNTIFS(mdr_rate_cleaned!$A$2:$A$10,B4109,mdr_rate_cleaned!$B$2:$B$10,"&lt;"&amp;C4109,mdr_rate_cleaned!$F$2:$F$10,"&gt;="&amp;C4109)</f>
        <v>1</v>
      </c>
      <c r="G4109">
        <v>3.0000000000000001E-3</v>
      </c>
      <c r="H4109">
        <v>9</v>
      </c>
      <c r="I4109" t="s">
        <v>15</v>
      </c>
      <c r="J4109" t="s">
        <v>15</v>
      </c>
      <c r="K4109">
        <v>1.62</v>
      </c>
      <c r="L4109">
        <v>0</v>
      </c>
    </row>
    <row r="4110" spans="1:12" x14ac:dyDescent="0.3">
      <c r="A4110" t="s">
        <v>4126</v>
      </c>
      <c r="B4110" t="s">
        <v>13</v>
      </c>
      <c r="C4110">
        <v>5498</v>
      </c>
      <c r="D4110">
        <v>131.94999999999999</v>
      </c>
      <c r="E4110">
        <v>23.75</v>
      </c>
      <c r="F4110">
        <f>COUNTIFS(mdr_rate_cleaned!$A$2:$A$10,B4110,mdr_rate_cleaned!$B$2:$B$10,"&lt;"&amp;C4110,mdr_rate_cleaned!$F$2:$F$10,"&gt;="&amp;C4110)</f>
        <v>1</v>
      </c>
      <c r="G4110">
        <v>1.7000000000000001E-2</v>
      </c>
      <c r="H4110">
        <v>93.47</v>
      </c>
      <c r="I4110" t="s">
        <v>14</v>
      </c>
      <c r="J4110" t="s">
        <v>15</v>
      </c>
      <c r="K4110">
        <v>16.82</v>
      </c>
      <c r="L4110">
        <v>45.41</v>
      </c>
    </row>
    <row r="4111" spans="1:12" x14ac:dyDescent="0.3">
      <c r="A4111" t="s">
        <v>4127</v>
      </c>
      <c r="B4111" t="s">
        <v>17</v>
      </c>
      <c r="C4111">
        <v>9498</v>
      </c>
      <c r="D4111">
        <v>151.97</v>
      </c>
      <c r="E4111">
        <v>27.35</v>
      </c>
      <c r="F4111">
        <f>COUNTIFS(mdr_rate_cleaned!$A$2:$A$10,B4111,mdr_rate_cleaned!$B$2:$B$10,"&lt;"&amp;C4111,mdr_rate_cleaned!$F$2:$F$10,"&gt;="&amp;C4111)</f>
        <v>1</v>
      </c>
      <c r="G4111">
        <v>1.6E-2</v>
      </c>
      <c r="H4111">
        <v>151.97</v>
      </c>
      <c r="I4111" t="s">
        <v>15</v>
      </c>
      <c r="J4111" t="s">
        <v>15</v>
      </c>
      <c r="K4111">
        <v>27.35</v>
      </c>
      <c r="L4111">
        <v>0</v>
      </c>
    </row>
    <row r="4112" spans="1:12" x14ac:dyDescent="0.3">
      <c r="A4112" t="s">
        <v>4128</v>
      </c>
      <c r="B4112" t="s">
        <v>21</v>
      </c>
      <c r="C4112">
        <v>349</v>
      </c>
      <c r="D4112">
        <v>0</v>
      </c>
      <c r="E4112">
        <v>0</v>
      </c>
      <c r="F4112">
        <f>COUNTIFS(mdr_rate_cleaned!$A$2:$A$10,B4112,mdr_rate_cleaned!$B$2:$B$10,"&lt;"&amp;C4112,mdr_rate_cleaned!$F$2:$F$10,"&gt;="&amp;C4112)</f>
        <v>1</v>
      </c>
      <c r="G4112">
        <v>0</v>
      </c>
      <c r="H4112">
        <v>0</v>
      </c>
      <c r="I4112" t="s">
        <v>15</v>
      </c>
      <c r="J4112" t="s">
        <v>15</v>
      </c>
      <c r="K4112">
        <v>0</v>
      </c>
      <c r="L4112">
        <v>0</v>
      </c>
    </row>
    <row r="4113" spans="1:12" x14ac:dyDescent="0.3">
      <c r="A4113" t="s">
        <v>4129</v>
      </c>
      <c r="B4113" t="s">
        <v>21</v>
      </c>
      <c r="C4113">
        <v>999</v>
      </c>
      <c r="D4113">
        <v>0</v>
      </c>
      <c r="E4113">
        <v>0</v>
      </c>
      <c r="F4113">
        <f>COUNTIFS(mdr_rate_cleaned!$A$2:$A$10,B4113,mdr_rate_cleaned!$B$2:$B$10,"&lt;"&amp;C4113,mdr_rate_cleaned!$F$2:$F$10,"&gt;="&amp;C4113)</f>
        <v>1</v>
      </c>
      <c r="G4113">
        <v>0</v>
      </c>
      <c r="H4113">
        <v>0</v>
      </c>
      <c r="I4113" t="s">
        <v>15</v>
      </c>
      <c r="J4113" t="s">
        <v>15</v>
      </c>
      <c r="K4113">
        <v>0</v>
      </c>
      <c r="L4113">
        <v>0</v>
      </c>
    </row>
    <row r="4114" spans="1:12" x14ac:dyDescent="0.3">
      <c r="A4114" t="s">
        <v>4130</v>
      </c>
      <c r="B4114" t="s">
        <v>21</v>
      </c>
      <c r="C4114">
        <v>5598</v>
      </c>
      <c r="D4114">
        <v>16.79</v>
      </c>
      <c r="E4114">
        <v>3.02</v>
      </c>
      <c r="F4114">
        <f>COUNTIFS(mdr_rate_cleaned!$A$2:$A$10,B4114,mdr_rate_cleaned!$B$2:$B$10,"&lt;"&amp;C4114,mdr_rate_cleaned!$F$2:$F$10,"&gt;="&amp;C4114)</f>
        <v>1</v>
      </c>
      <c r="G4114">
        <v>3.0000000000000001E-3</v>
      </c>
      <c r="H4114">
        <v>16.79</v>
      </c>
      <c r="I4114" t="s">
        <v>15</v>
      </c>
      <c r="J4114" t="s">
        <v>15</v>
      </c>
      <c r="K4114">
        <v>3.02</v>
      </c>
      <c r="L4114">
        <v>0</v>
      </c>
    </row>
    <row r="4115" spans="1:12" x14ac:dyDescent="0.3">
      <c r="A4115" t="s">
        <v>4131</v>
      </c>
      <c r="B4115" t="s">
        <v>39</v>
      </c>
      <c r="C4115">
        <v>7998</v>
      </c>
      <c r="D4115">
        <v>95.98</v>
      </c>
      <c r="E4115">
        <v>17.28</v>
      </c>
      <c r="F4115">
        <f>COUNTIFS(mdr_rate_cleaned!$A$2:$A$10,B4115,mdr_rate_cleaned!$B$2:$B$10,"&lt;"&amp;C4115,mdr_rate_cleaned!$F$2:$F$10,"&gt;="&amp;C4115)</f>
        <v>1</v>
      </c>
      <c r="G4115">
        <v>1.2E-2</v>
      </c>
      <c r="H4115">
        <v>95.98</v>
      </c>
      <c r="I4115" t="s">
        <v>15</v>
      </c>
      <c r="J4115" t="s">
        <v>15</v>
      </c>
      <c r="K4115">
        <v>17.28</v>
      </c>
      <c r="L4115">
        <v>0</v>
      </c>
    </row>
    <row r="4116" spans="1:12" x14ac:dyDescent="0.3">
      <c r="A4116" t="s">
        <v>4132</v>
      </c>
      <c r="B4116" t="s">
        <v>21</v>
      </c>
      <c r="C4116">
        <v>499</v>
      </c>
      <c r="D4116">
        <v>0</v>
      </c>
      <c r="E4116">
        <v>0</v>
      </c>
      <c r="F4116">
        <f>COUNTIFS(mdr_rate_cleaned!$A$2:$A$10,B4116,mdr_rate_cleaned!$B$2:$B$10,"&lt;"&amp;C4116,mdr_rate_cleaned!$F$2:$F$10,"&gt;="&amp;C4116)</f>
        <v>1</v>
      </c>
      <c r="G4116">
        <v>0</v>
      </c>
      <c r="H4116">
        <v>0</v>
      </c>
      <c r="I4116" t="s">
        <v>15</v>
      </c>
      <c r="J4116" t="s">
        <v>15</v>
      </c>
      <c r="K4116">
        <v>0</v>
      </c>
      <c r="L4116">
        <v>0</v>
      </c>
    </row>
    <row r="4117" spans="1:12" x14ac:dyDescent="0.3">
      <c r="A4117" t="s">
        <v>4133</v>
      </c>
      <c r="B4117" t="s">
        <v>21</v>
      </c>
      <c r="C4117">
        <v>5298</v>
      </c>
      <c r="D4117">
        <v>15.89</v>
      </c>
      <c r="E4117">
        <v>2.86</v>
      </c>
      <c r="F4117">
        <f>COUNTIFS(mdr_rate_cleaned!$A$2:$A$10,B4117,mdr_rate_cleaned!$B$2:$B$10,"&lt;"&amp;C4117,mdr_rate_cleaned!$F$2:$F$10,"&gt;="&amp;C4117)</f>
        <v>1</v>
      </c>
      <c r="G4117">
        <v>3.0000000000000001E-3</v>
      </c>
      <c r="H4117">
        <v>15.89</v>
      </c>
      <c r="I4117" t="s">
        <v>15</v>
      </c>
      <c r="J4117" t="s">
        <v>15</v>
      </c>
      <c r="K4117">
        <v>2.86</v>
      </c>
      <c r="L4117">
        <v>0</v>
      </c>
    </row>
    <row r="4118" spans="1:12" x14ac:dyDescent="0.3">
      <c r="A4118" t="s">
        <v>4134</v>
      </c>
      <c r="B4118" t="s">
        <v>21</v>
      </c>
      <c r="C4118">
        <v>798</v>
      </c>
      <c r="D4118">
        <v>0</v>
      </c>
      <c r="E4118">
        <v>0</v>
      </c>
      <c r="F4118">
        <f>COUNTIFS(mdr_rate_cleaned!$A$2:$A$10,B4118,mdr_rate_cleaned!$B$2:$B$10,"&lt;"&amp;C4118,mdr_rate_cleaned!$F$2:$F$10,"&gt;="&amp;C4118)</f>
        <v>1</v>
      </c>
      <c r="G4118">
        <v>0</v>
      </c>
      <c r="H4118">
        <v>0</v>
      </c>
      <c r="I4118" t="s">
        <v>15</v>
      </c>
      <c r="J4118" t="s">
        <v>15</v>
      </c>
      <c r="K4118">
        <v>0</v>
      </c>
      <c r="L4118">
        <v>0</v>
      </c>
    </row>
    <row r="4119" spans="1:12" x14ac:dyDescent="0.3">
      <c r="A4119" t="s">
        <v>4135</v>
      </c>
      <c r="B4119" t="s">
        <v>21</v>
      </c>
      <c r="C4119">
        <v>349</v>
      </c>
      <c r="D4119">
        <v>0</v>
      </c>
      <c r="E4119">
        <v>0</v>
      </c>
      <c r="F4119">
        <f>COUNTIFS(mdr_rate_cleaned!$A$2:$A$10,B4119,mdr_rate_cleaned!$B$2:$B$10,"&lt;"&amp;C4119,mdr_rate_cleaned!$F$2:$F$10,"&gt;="&amp;C4119)</f>
        <v>1</v>
      </c>
      <c r="G4119">
        <v>0</v>
      </c>
      <c r="H4119">
        <v>0</v>
      </c>
      <c r="I4119" t="s">
        <v>15</v>
      </c>
      <c r="J4119" t="s">
        <v>15</v>
      </c>
      <c r="K4119">
        <v>0</v>
      </c>
      <c r="L4119">
        <v>0</v>
      </c>
    </row>
    <row r="4120" spans="1:12" x14ac:dyDescent="0.3">
      <c r="A4120" t="s">
        <v>4136</v>
      </c>
      <c r="B4120" t="s">
        <v>21</v>
      </c>
      <c r="C4120">
        <v>3197</v>
      </c>
      <c r="D4120">
        <v>9.59</v>
      </c>
      <c r="E4120">
        <v>1.73</v>
      </c>
      <c r="F4120">
        <f>COUNTIFS(mdr_rate_cleaned!$A$2:$A$10,B4120,mdr_rate_cleaned!$B$2:$B$10,"&lt;"&amp;C4120,mdr_rate_cleaned!$F$2:$F$10,"&gt;="&amp;C4120)</f>
        <v>1</v>
      </c>
      <c r="G4120">
        <v>3.0000000000000001E-3</v>
      </c>
      <c r="H4120">
        <v>9.59</v>
      </c>
      <c r="I4120" t="s">
        <v>15</v>
      </c>
      <c r="J4120" t="s">
        <v>15</v>
      </c>
      <c r="K4120">
        <v>1.73</v>
      </c>
      <c r="L4120">
        <v>0</v>
      </c>
    </row>
    <row r="4121" spans="1:12" x14ac:dyDescent="0.3">
      <c r="A4121" t="s">
        <v>4137</v>
      </c>
      <c r="B4121" t="s">
        <v>21</v>
      </c>
      <c r="C4121">
        <v>3298</v>
      </c>
      <c r="D4121">
        <v>9.89</v>
      </c>
      <c r="E4121">
        <v>1.78</v>
      </c>
      <c r="F4121">
        <f>COUNTIFS(mdr_rate_cleaned!$A$2:$A$10,B4121,mdr_rate_cleaned!$B$2:$B$10,"&lt;"&amp;C4121,mdr_rate_cleaned!$F$2:$F$10,"&gt;="&amp;C4121)</f>
        <v>1</v>
      </c>
      <c r="G4121">
        <v>3.0000000000000001E-3</v>
      </c>
      <c r="H4121">
        <v>9.89</v>
      </c>
      <c r="I4121" t="s">
        <v>15</v>
      </c>
      <c r="J4121" t="s">
        <v>15</v>
      </c>
      <c r="K4121">
        <v>1.78</v>
      </c>
      <c r="L4121">
        <v>0</v>
      </c>
    </row>
    <row r="4122" spans="1:12" x14ac:dyDescent="0.3">
      <c r="A4122" t="s">
        <v>4138</v>
      </c>
      <c r="B4122" t="s">
        <v>21</v>
      </c>
      <c r="C4122">
        <v>2499</v>
      </c>
      <c r="D4122">
        <v>7.5</v>
      </c>
      <c r="E4122">
        <v>1.35</v>
      </c>
      <c r="F4122">
        <f>COUNTIFS(mdr_rate_cleaned!$A$2:$A$10,B4122,mdr_rate_cleaned!$B$2:$B$10,"&lt;"&amp;C4122,mdr_rate_cleaned!$F$2:$F$10,"&gt;="&amp;C4122)</f>
        <v>1</v>
      </c>
      <c r="G4122">
        <v>3.0000000000000001E-3</v>
      </c>
      <c r="H4122">
        <v>7.5</v>
      </c>
      <c r="I4122" t="s">
        <v>15</v>
      </c>
      <c r="J4122" t="s">
        <v>15</v>
      </c>
      <c r="K4122">
        <v>1.35</v>
      </c>
      <c r="L4122">
        <v>0</v>
      </c>
    </row>
    <row r="4123" spans="1:12" x14ac:dyDescent="0.3">
      <c r="A4123" t="s">
        <v>4139</v>
      </c>
      <c r="B4123" t="s">
        <v>21</v>
      </c>
      <c r="C4123">
        <v>1598</v>
      </c>
      <c r="D4123">
        <v>0</v>
      </c>
      <c r="E4123">
        <v>0</v>
      </c>
      <c r="F4123">
        <f>COUNTIFS(mdr_rate_cleaned!$A$2:$A$10,B4123,mdr_rate_cleaned!$B$2:$B$10,"&lt;"&amp;C4123,mdr_rate_cleaned!$F$2:$F$10,"&gt;="&amp;C4123)</f>
        <v>1</v>
      </c>
      <c r="G4123">
        <v>0</v>
      </c>
      <c r="H4123">
        <v>0</v>
      </c>
      <c r="I4123" t="s">
        <v>15</v>
      </c>
      <c r="J4123" t="s">
        <v>15</v>
      </c>
      <c r="K4123">
        <v>0</v>
      </c>
      <c r="L4123">
        <v>0</v>
      </c>
    </row>
    <row r="4124" spans="1:12" x14ac:dyDescent="0.3">
      <c r="A4124" t="s">
        <v>4140</v>
      </c>
      <c r="B4124" t="s">
        <v>17</v>
      </c>
      <c r="C4124">
        <v>2097</v>
      </c>
      <c r="D4124">
        <v>33.549999999999997</v>
      </c>
      <c r="E4124">
        <v>6.04</v>
      </c>
      <c r="F4124">
        <f>COUNTIFS(mdr_rate_cleaned!$A$2:$A$10,B4124,mdr_rate_cleaned!$B$2:$B$10,"&lt;"&amp;C4124,mdr_rate_cleaned!$F$2:$F$10,"&gt;="&amp;C4124)</f>
        <v>1</v>
      </c>
      <c r="G4124">
        <v>1.6E-2</v>
      </c>
      <c r="H4124">
        <v>33.549999999999997</v>
      </c>
      <c r="I4124" t="s">
        <v>15</v>
      </c>
      <c r="J4124" t="s">
        <v>15</v>
      </c>
      <c r="K4124">
        <v>6.04</v>
      </c>
      <c r="L4124">
        <v>0</v>
      </c>
    </row>
    <row r="4125" spans="1:12" x14ac:dyDescent="0.3">
      <c r="A4125" t="s">
        <v>4141</v>
      </c>
      <c r="B4125" t="s">
        <v>17</v>
      </c>
      <c r="C4125">
        <v>3798</v>
      </c>
      <c r="D4125">
        <v>60.77</v>
      </c>
      <c r="E4125">
        <v>10.94</v>
      </c>
      <c r="F4125">
        <f>COUNTIFS(mdr_rate_cleaned!$A$2:$A$10,B4125,mdr_rate_cleaned!$B$2:$B$10,"&lt;"&amp;C4125,mdr_rate_cleaned!$F$2:$F$10,"&gt;="&amp;C4125)</f>
        <v>1</v>
      </c>
      <c r="G4125">
        <v>1.6E-2</v>
      </c>
      <c r="H4125">
        <v>60.77</v>
      </c>
      <c r="I4125" t="s">
        <v>15</v>
      </c>
      <c r="J4125" t="s">
        <v>15</v>
      </c>
      <c r="K4125">
        <v>10.94</v>
      </c>
      <c r="L4125">
        <v>0</v>
      </c>
    </row>
    <row r="4126" spans="1:12" x14ac:dyDescent="0.3">
      <c r="A4126" t="s">
        <v>4142</v>
      </c>
      <c r="B4126" t="s">
        <v>21</v>
      </c>
      <c r="C4126">
        <v>6797</v>
      </c>
      <c r="D4126">
        <v>20.39</v>
      </c>
      <c r="E4126">
        <v>3.67</v>
      </c>
      <c r="F4126">
        <f>COUNTIFS(mdr_rate_cleaned!$A$2:$A$10,B4126,mdr_rate_cleaned!$B$2:$B$10,"&lt;"&amp;C4126,mdr_rate_cleaned!$F$2:$F$10,"&gt;="&amp;C4126)</f>
        <v>1</v>
      </c>
      <c r="G4126">
        <v>3.0000000000000001E-3</v>
      </c>
      <c r="H4126">
        <v>20.39</v>
      </c>
      <c r="I4126" t="s">
        <v>15</v>
      </c>
      <c r="J4126" t="s">
        <v>15</v>
      </c>
      <c r="K4126">
        <v>3.67</v>
      </c>
      <c r="L4126">
        <v>0</v>
      </c>
    </row>
    <row r="4127" spans="1:12" x14ac:dyDescent="0.3">
      <c r="A4127" t="s">
        <v>4143</v>
      </c>
      <c r="B4127" t="s">
        <v>39</v>
      </c>
      <c r="C4127">
        <v>499</v>
      </c>
      <c r="D4127">
        <v>7.49</v>
      </c>
      <c r="E4127">
        <v>1.35</v>
      </c>
      <c r="F4127">
        <f>COUNTIFS(mdr_rate_cleaned!$A$2:$A$10,B4127,mdr_rate_cleaned!$B$2:$B$10,"&lt;"&amp;C4127,mdr_rate_cleaned!$F$2:$F$10,"&gt;="&amp;C4127)</f>
        <v>1</v>
      </c>
      <c r="G4127">
        <v>1.4999999999999999E-2</v>
      </c>
      <c r="H4127">
        <v>7.49</v>
      </c>
      <c r="I4127" t="s">
        <v>15</v>
      </c>
      <c r="J4127" t="s">
        <v>15</v>
      </c>
      <c r="K4127">
        <v>1.35</v>
      </c>
      <c r="L4127">
        <v>0</v>
      </c>
    </row>
    <row r="4128" spans="1:12" x14ac:dyDescent="0.3">
      <c r="A4128" t="s">
        <v>4144</v>
      </c>
      <c r="B4128" t="s">
        <v>21</v>
      </c>
      <c r="C4128">
        <v>7999</v>
      </c>
      <c r="D4128">
        <v>24</v>
      </c>
      <c r="E4128">
        <v>4.32</v>
      </c>
      <c r="F4128">
        <f>COUNTIFS(mdr_rate_cleaned!$A$2:$A$10,B4128,mdr_rate_cleaned!$B$2:$B$10,"&lt;"&amp;C4128,mdr_rate_cleaned!$F$2:$F$10,"&gt;="&amp;C4128)</f>
        <v>1</v>
      </c>
      <c r="G4128">
        <v>3.0000000000000001E-3</v>
      </c>
      <c r="H4128">
        <v>24</v>
      </c>
      <c r="I4128" t="s">
        <v>15</v>
      </c>
      <c r="J4128" t="s">
        <v>15</v>
      </c>
      <c r="K4128">
        <v>4.32</v>
      </c>
      <c r="L4128">
        <v>0</v>
      </c>
    </row>
    <row r="4129" spans="1:12" x14ac:dyDescent="0.3">
      <c r="A4129" t="s">
        <v>4145</v>
      </c>
      <c r="B4129" t="s">
        <v>13</v>
      </c>
      <c r="C4129">
        <v>7999</v>
      </c>
      <c r="D4129">
        <v>135.97999999999999</v>
      </c>
      <c r="E4129">
        <v>24.48</v>
      </c>
      <c r="F4129">
        <f>COUNTIFS(mdr_rate_cleaned!$A$2:$A$10,B4129,mdr_rate_cleaned!$B$2:$B$10,"&lt;"&amp;C4129,mdr_rate_cleaned!$F$2:$F$10,"&gt;="&amp;C4129)</f>
        <v>1</v>
      </c>
      <c r="G4129">
        <v>1.7000000000000001E-2</v>
      </c>
      <c r="H4129">
        <v>135.97999999999999</v>
      </c>
      <c r="I4129" t="s">
        <v>15</v>
      </c>
      <c r="J4129" t="s">
        <v>15</v>
      </c>
      <c r="K4129">
        <v>24.48</v>
      </c>
      <c r="L4129">
        <v>0</v>
      </c>
    </row>
    <row r="4130" spans="1:12" x14ac:dyDescent="0.3">
      <c r="A4130" t="s">
        <v>4146</v>
      </c>
      <c r="B4130" t="s">
        <v>17</v>
      </c>
      <c r="C4130">
        <v>8298</v>
      </c>
      <c r="D4130">
        <v>132.77000000000001</v>
      </c>
      <c r="E4130">
        <v>23.9</v>
      </c>
      <c r="F4130">
        <f>COUNTIFS(mdr_rate_cleaned!$A$2:$A$10,B4130,mdr_rate_cleaned!$B$2:$B$10,"&lt;"&amp;C4130,mdr_rate_cleaned!$F$2:$F$10,"&gt;="&amp;C4130)</f>
        <v>1</v>
      </c>
      <c r="G4130">
        <v>1.6E-2</v>
      </c>
      <c r="H4130">
        <v>132.77000000000001</v>
      </c>
      <c r="I4130" t="s">
        <v>15</v>
      </c>
      <c r="J4130" t="s">
        <v>15</v>
      </c>
      <c r="K4130">
        <v>23.9</v>
      </c>
      <c r="L4130">
        <v>0</v>
      </c>
    </row>
    <row r="4131" spans="1:12" x14ac:dyDescent="0.3">
      <c r="A4131" t="s">
        <v>4147</v>
      </c>
      <c r="B4131" t="s">
        <v>17</v>
      </c>
      <c r="C4131">
        <v>15998</v>
      </c>
      <c r="D4131">
        <v>255.97</v>
      </c>
      <c r="E4131">
        <v>46.07</v>
      </c>
      <c r="F4131">
        <f>COUNTIFS(mdr_rate_cleaned!$A$2:$A$10,B4131,mdr_rate_cleaned!$B$2:$B$10,"&lt;"&amp;C4131,mdr_rate_cleaned!$F$2:$F$10,"&gt;="&amp;C4131)</f>
        <v>1</v>
      </c>
      <c r="G4131">
        <v>1.6E-2</v>
      </c>
      <c r="H4131">
        <v>255.97</v>
      </c>
      <c r="I4131" t="s">
        <v>15</v>
      </c>
      <c r="J4131" t="s">
        <v>15</v>
      </c>
      <c r="K4131">
        <v>46.07</v>
      </c>
      <c r="L4131">
        <v>0</v>
      </c>
    </row>
    <row r="4132" spans="1:12" x14ac:dyDescent="0.3">
      <c r="A4132" t="s">
        <v>4148</v>
      </c>
      <c r="B4132" t="s">
        <v>21</v>
      </c>
      <c r="C4132">
        <v>4298</v>
      </c>
      <c r="D4132">
        <v>12.89</v>
      </c>
      <c r="E4132">
        <v>2.3199999999999998</v>
      </c>
      <c r="F4132">
        <f>COUNTIFS(mdr_rate_cleaned!$A$2:$A$10,B4132,mdr_rate_cleaned!$B$2:$B$10,"&lt;"&amp;C4132,mdr_rate_cleaned!$F$2:$F$10,"&gt;="&amp;C4132)</f>
        <v>1</v>
      </c>
      <c r="G4132">
        <v>3.0000000000000001E-3</v>
      </c>
      <c r="H4132">
        <v>12.89</v>
      </c>
      <c r="I4132" t="s">
        <v>15</v>
      </c>
      <c r="J4132" t="s">
        <v>15</v>
      </c>
      <c r="K4132">
        <v>2.3199999999999998</v>
      </c>
      <c r="L4132">
        <v>0</v>
      </c>
    </row>
    <row r="4133" spans="1:12" x14ac:dyDescent="0.3">
      <c r="A4133" t="s">
        <v>4149</v>
      </c>
      <c r="B4133" t="s">
        <v>17</v>
      </c>
      <c r="C4133">
        <v>3098</v>
      </c>
      <c r="D4133">
        <v>49.57</v>
      </c>
      <c r="E4133">
        <v>8.92</v>
      </c>
      <c r="F4133">
        <f>COUNTIFS(mdr_rate_cleaned!$A$2:$A$10,B4133,mdr_rate_cleaned!$B$2:$B$10,"&lt;"&amp;C4133,mdr_rate_cleaned!$F$2:$F$10,"&gt;="&amp;C4133)</f>
        <v>1</v>
      </c>
      <c r="G4133">
        <v>1.6E-2</v>
      </c>
      <c r="H4133">
        <v>49.57</v>
      </c>
      <c r="I4133" t="s">
        <v>15</v>
      </c>
      <c r="J4133" t="s">
        <v>15</v>
      </c>
      <c r="K4133">
        <v>8.92</v>
      </c>
      <c r="L4133">
        <v>0</v>
      </c>
    </row>
    <row r="4134" spans="1:12" x14ac:dyDescent="0.3">
      <c r="A4134" t="s">
        <v>4150</v>
      </c>
      <c r="B4134" t="s">
        <v>21</v>
      </c>
      <c r="C4134">
        <v>1298</v>
      </c>
      <c r="D4134">
        <v>0</v>
      </c>
      <c r="E4134">
        <v>0</v>
      </c>
      <c r="F4134">
        <f>COUNTIFS(mdr_rate_cleaned!$A$2:$A$10,B4134,mdr_rate_cleaned!$B$2:$B$10,"&lt;"&amp;C4134,mdr_rate_cleaned!$F$2:$F$10,"&gt;="&amp;C4134)</f>
        <v>1</v>
      </c>
      <c r="G4134">
        <v>0</v>
      </c>
      <c r="H4134">
        <v>0</v>
      </c>
      <c r="I4134" t="s">
        <v>15</v>
      </c>
      <c r="J4134" t="s">
        <v>15</v>
      </c>
      <c r="K4134">
        <v>0</v>
      </c>
      <c r="L4134">
        <v>0</v>
      </c>
    </row>
    <row r="4135" spans="1:12" x14ac:dyDescent="0.3">
      <c r="A4135" t="s">
        <v>4151</v>
      </c>
      <c r="B4135" t="s">
        <v>21</v>
      </c>
      <c r="C4135">
        <v>2498</v>
      </c>
      <c r="D4135">
        <v>7.49</v>
      </c>
      <c r="E4135">
        <v>1.35</v>
      </c>
      <c r="F4135">
        <f>COUNTIFS(mdr_rate_cleaned!$A$2:$A$10,B4135,mdr_rate_cleaned!$B$2:$B$10,"&lt;"&amp;C4135,mdr_rate_cleaned!$F$2:$F$10,"&gt;="&amp;C4135)</f>
        <v>1</v>
      </c>
      <c r="G4135">
        <v>3.0000000000000001E-3</v>
      </c>
      <c r="H4135">
        <v>7.49</v>
      </c>
      <c r="I4135" t="s">
        <v>15</v>
      </c>
      <c r="J4135" t="s">
        <v>15</v>
      </c>
      <c r="K4135">
        <v>1.35</v>
      </c>
      <c r="L4135">
        <v>0</v>
      </c>
    </row>
    <row r="4136" spans="1:12" x14ac:dyDescent="0.3">
      <c r="A4136" t="s">
        <v>4152</v>
      </c>
      <c r="B4136" t="s">
        <v>39</v>
      </c>
      <c r="C4136">
        <v>4498</v>
      </c>
      <c r="D4136">
        <v>53.98</v>
      </c>
      <c r="E4136">
        <v>9.7200000000000006</v>
      </c>
      <c r="F4136">
        <f>COUNTIFS(mdr_rate_cleaned!$A$2:$A$10,B4136,mdr_rate_cleaned!$B$2:$B$10,"&lt;"&amp;C4136,mdr_rate_cleaned!$F$2:$F$10,"&gt;="&amp;C4136)</f>
        <v>1</v>
      </c>
      <c r="G4136">
        <v>1.2E-2</v>
      </c>
      <c r="H4136">
        <v>53.98</v>
      </c>
      <c r="I4136" t="s">
        <v>15</v>
      </c>
      <c r="J4136" t="s">
        <v>15</v>
      </c>
      <c r="K4136">
        <v>9.7200000000000006</v>
      </c>
      <c r="L4136">
        <v>0</v>
      </c>
    </row>
    <row r="4137" spans="1:12" x14ac:dyDescent="0.3">
      <c r="A4137" t="s">
        <v>4153</v>
      </c>
      <c r="B4137" t="s">
        <v>17</v>
      </c>
      <c r="C4137">
        <v>999</v>
      </c>
      <c r="D4137">
        <v>17.98</v>
      </c>
      <c r="E4137">
        <v>3.24</v>
      </c>
      <c r="F4137">
        <f>COUNTIFS(mdr_rate_cleaned!$A$2:$A$10,B4137,mdr_rate_cleaned!$B$2:$B$10,"&lt;"&amp;C4137,mdr_rate_cleaned!$F$2:$F$10,"&gt;="&amp;C4137)</f>
        <v>1</v>
      </c>
      <c r="G4137">
        <v>1.7999999999999999E-2</v>
      </c>
      <c r="H4137">
        <v>17.98</v>
      </c>
      <c r="I4137" t="s">
        <v>15</v>
      </c>
      <c r="J4137" t="s">
        <v>15</v>
      </c>
      <c r="K4137">
        <v>3.24</v>
      </c>
      <c r="L4137">
        <v>0</v>
      </c>
    </row>
    <row r="4138" spans="1:12" x14ac:dyDescent="0.3">
      <c r="A4138" t="s">
        <v>4154</v>
      </c>
      <c r="B4138" t="s">
        <v>21</v>
      </c>
      <c r="C4138">
        <v>8298</v>
      </c>
      <c r="D4138">
        <v>24.89</v>
      </c>
      <c r="E4138">
        <v>4.4800000000000004</v>
      </c>
      <c r="F4138">
        <f>COUNTIFS(mdr_rate_cleaned!$A$2:$A$10,B4138,mdr_rate_cleaned!$B$2:$B$10,"&lt;"&amp;C4138,mdr_rate_cleaned!$F$2:$F$10,"&gt;="&amp;C4138)</f>
        <v>1</v>
      </c>
      <c r="G4138">
        <v>3.0000000000000001E-3</v>
      </c>
      <c r="H4138">
        <v>24.89</v>
      </c>
      <c r="I4138" t="s">
        <v>15</v>
      </c>
      <c r="J4138" t="s">
        <v>15</v>
      </c>
      <c r="K4138">
        <v>4.4800000000000004</v>
      </c>
      <c r="L4138">
        <v>0</v>
      </c>
    </row>
    <row r="4139" spans="1:12" x14ac:dyDescent="0.3">
      <c r="A4139" t="s">
        <v>4155</v>
      </c>
      <c r="B4139" t="s">
        <v>21</v>
      </c>
      <c r="C4139">
        <v>2998</v>
      </c>
      <c r="D4139">
        <v>8.99</v>
      </c>
      <c r="E4139">
        <v>1.62</v>
      </c>
      <c r="F4139">
        <f>COUNTIFS(mdr_rate_cleaned!$A$2:$A$10,B4139,mdr_rate_cleaned!$B$2:$B$10,"&lt;"&amp;C4139,mdr_rate_cleaned!$F$2:$F$10,"&gt;="&amp;C4139)</f>
        <v>1</v>
      </c>
      <c r="G4139">
        <v>3.0000000000000001E-3</v>
      </c>
      <c r="H4139">
        <v>8.99</v>
      </c>
      <c r="I4139" t="s">
        <v>15</v>
      </c>
      <c r="J4139" t="s">
        <v>15</v>
      </c>
      <c r="K4139">
        <v>1.62</v>
      </c>
      <c r="L4139">
        <v>0</v>
      </c>
    </row>
    <row r="4140" spans="1:12" x14ac:dyDescent="0.3">
      <c r="A4140" t="s">
        <v>4156</v>
      </c>
      <c r="B4140" t="s">
        <v>17</v>
      </c>
      <c r="C4140">
        <v>799</v>
      </c>
      <c r="D4140">
        <v>14.38</v>
      </c>
      <c r="E4140">
        <v>2.59</v>
      </c>
      <c r="F4140">
        <f>COUNTIFS(mdr_rate_cleaned!$A$2:$A$10,B4140,mdr_rate_cleaned!$B$2:$B$10,"&lt;"&amp;C4140,mdr_rate_cleaned!$F$2:$F$10,"&gt;="&amp;C4140)</f>
        <v>1</v>
      </c>
      <c r="G4140">
        <v>1.7999999999999999E-2</v>
      </c>
      <c r="H4140">
        <v>14.38</v>
      </c>
      <c r="I4140" t="s">
        <v>15</v>
      </c>
      <c r="J4140" t="s">
        <v>15</v>
      </c>
      <c r="K4140">
        <v>2.59</v>
      </c>
      <c r="L4140">
        <v>0</v>
      </c>
    </row>
    <row r="4141" spans="1:12" x14ac:dyDescent="0.3">
      <c r="A4141" t="s">
        <v>4157</v>
      </c>
      <c r="B4141" t="s">
        <v>13</v>
      </c>
      <c r="C4141">
        <v>8797</v>
      </c>
      <c r="D4141">
        <v>149.55000000000001</v>
      </c>
      <c r="E4141">
        <v>26.92</v>
      </c>
      <c r="F4141">
        <f>COUNTIFS(mdr_rate_cleaned!$A$2:$A$10,B4141,mdr_rate_cleaned!$B$2:$B$10,"&lt;"&amp;C4141,mdr_rate_cleaned!$F$2:$F$10,"&gt;="&amp;C4141)</f>
        <v>1</v>
      </c>
      <c r="G4141">
        <v>1.7000000000000001E-2</v>
      </c>
      <c r="H4141">
        <v>149.55000000000001</v>
      </c>
      <c r="I4141" t="s">
        <v>15</v>
      </c>
      <c r="J4141" t="s">
        <v>15</v>
      </c>
      <c r="K4141">
        <v>26.92</v>
      </c>
      <c r="L4141">
        <v>0</v>
      </c>
    </row>
    <row r="4142" spans="1:12" x14ac:dyDescent="0.3">
      <c r="A4142" t="s">
        <v>4158</v>
      </c>
      <c r="B4142" t="s">
        <v>17</v>
      </c>
      <c r="C4142">
        <v>4497</v>
      </c>
      <c r="D4142">
        <v>71.95</v>
      </c>
      <c r="E4142">
        <v>12.95</v>
      </c>
      <c r="F4142">
        <f>COUNTIFS(mdr_rate_cleaned!$A$2:$A$10,B4142,mdr_rate_cleaned!$B$2:$B$10,"&lt;"&amp;C4142,mdr_rate_cleaned!$F$2:$F$10,"&gt;="&amp;C4142)</f>
        <v>1</v>
      </c>
      <c r="G4142">
        <v>1.6E-2</v>
      </c>
      <c r="H4142">
        <v>71.95</v>
      </c>
      <c r="I4142" t="s">
        <v>15</v>
      </c>
      <c r="J4142" t="s">
        <v>15</v>
      </c>
      <c r="K4142">
        <v>12.95</v>
      </c>
      <c r="L4142">
        <v>0</v>
      </c>
    </row>
    <row r="4143" spans="1:12" x14ac:dyDescent="0.3">
      <c r="A4143" t="s">
        <v>4159</v>
      </c>
      <c r="B4143" t="s">
        <v>17</v>
      </c>
      <c r="C4143">
        <v>3499</v>
      </c>
      <c r="D4143">
        <v>55.98</v>
      </c>
      <c r="E4143">
        <v>10.08</v>
      </c>
      <c r="F4143">
        <f>COUNTIFS(mdr_rate_cleaned!$A$2:$A$10,B4143,mdr_rate_cleaned!$B$2:$B$10,"&lt;"&amp;C4143,mdr_rate_cleaned!$F$2:$F$10,"&gt;="&amp;C4143)</f>
        <v>1</v>
      </c>
      <c r="G4143">
        <v>1.6E-2</v>
      </c>
      <c r="H4143">
        <v>55.98</v>
      </c>
      <c r="I4143" t="s">
        <v>15</v>
      </c>
      <c r="J4143" t="s">
        <v>15</v>
      </c>
      <c r="K4143">
        <v>10.08</v>
      </c>
      <c r="L4143">
        <v>0</v>
      </c>
    </row>
    <row r="4144" spans="1:12" x14ac:dyDescent="0.3">
      <c r="A4144" t="s">
        <v>4160</v>
      </c>
      <c r="B4144" t="s">
        <v>17</v>
      </c>
      <c r="C4144">
        <v>4999</v>
      </c>
      <c r="D4144">
        <v>79.98</v>
      </c>
      <c r="E4144">
        <v>14.4</v>
      </c>
      <c r="F4144">
        <f>COUNTIFS(mdr_rate_cleaned!$A$2:$A$10,B4144,mdr_rate_cleaned!$B$2:$B$10,"&lt;"&amp;C4144,mdr_rate_cleaned!$F$2:$F$10,"&gt;="&amp;C4144)</f>
        <v>1</v>
      </c>
      <c r="G4144">
        <v>1.6E-2</v>
      </c>
      <c r="H4144">
        <v>79.98</v>
      </c>
      <c r="I4144" t="s">
        <v>15</v>
      </c>
      <c r="J4144" t="s">
        <v>15</v>
      </c>
      <c r="K4144">
        <v>14.4</v>
      </c>
      <c r="L4144">
        <v>0</v>
      </c>
    </row>
    <row r="4145" spans="1:12" x14ac:dyDescent="0.3">
      <c r="A4145" t="s">
        <v>4161</v>
      </c>
      <c r="B4145" t="s">
        <v>13</v>
      </c>
      <c r="C4145">
        <v>1299</v>
      </c>
      <c r="D4145">
        <v>24.68</v>
      </c>
      <c r="E4145">
        <v>4.4400000000000004</v>
      </c>
      <c r="F4145">
        <f>COUNTIFS(mdr_rate_cleaned!$A$2:$A$10,B4145,mdr_rate_cleaned!$B$2:$B$10,"&lt;"&amp;C4145,mdr_rate_cleaned!$F$2:$F$10,"&gt;="&amp;C4145)</f>
        <v>1</v>
      </c>
      <c r="G4145">
        <v>1.9E-2</v>
      </c>
      <c r="H4145">
        <v>24.68</v>
      </c>
      <c r="I4145" t="s">
        <v>15</v>
      </c>
      <c r="J4145" t="s">
        <v>15</v>
      </c>
      <c r="K4145">
        <v>4.4400000000000004</v>
      </c>
      <c r="L4145">
        <v>0</v>
      </c>
    </row>
    <row r="4146" spans="1:12" x14ac:dyDescent="0.3">
      <c r="A4146" t="s">
        <v>4162</v>
      </c>
      <c r="B4146" t="s">
        <v>21</v>
      </c>
      <c r="C4146">
        <v>349</v>
      </c>
      <c r="D4146">
        <v>0</v>
      </c>
      <c r="E4146">
        <v>0</v>
      </c>
      <c r="F4146">
        <f>COUNTIFS(mdr_rate_cleaned!$A$2:$A$10,B4146,mdr_rate_cleaned!$B$2:$B$10,"&lt;"&amp;C4146,mdr_rate_cleaned!$F$2:$F$10,"&gt;="&amp;C4146)</f>
        <v>1</v>
      </c>
      <c r="G4146">
        <v>0</v>
      </c>
      <c r="H4146">
        <v>0</v>
      </c>
      <c r="I4146" t="s">
        <v>15</v>
      </c>
      <c r="J4146" t="s">
        <v>15</v>
      </c>
      <c r="K4146">
        <v>0</v>
      </c>
      <c r="L4146">
        <v>0</v>
      </c>
    </row>
    <row r="4147" spans="1:12" x14ac:dyDescent="0.3">
      <c r="A4147" t="s">
        <v>4163</v>
      </c>
      <c r="B4147" t="s">
        <v>13</v>
      </c>
      <c r="C4147">
        <v>1498</v>
      </c>
      <c r="D4147">
        <v>28.46</v>
      </c>
      <c r="E4147">
        <v>5.12</v>
      </c>
      <c r="F4147">
        <f>COUNTIFS(mdr_rate_cleaned!$A$2:$A$10,B4147,mdr_rate_cleaned!$B$2:$B$10,"&lt;"&amp;C4147,mdr_rate_cleaned!$F$2:$F$10,"&gt;="&amp;C4147)</f>
        <v>1</v>
      </c>
      <c r="G4147">
        <v>1.9E-2</v>
      </c>
      <c r="H4147">
        <v>28.46</v>
      </c>
      <c r="I4147" t="s">
        <v>15</v>
      </c>
      <c r="J4147" t="s">
        <v>15</v>
      </c>
      <c r="K4147">
        <v>5.12</v>
      </c>
      <c r="L4147">
        <v>0</v>
      </c>
    </row>
    <row r="4148" spans="1:12" x14ac:dyDescent="0.3">
      <c r="A4148" t="s">
        <v>4164</v>
      </c>
      <c r="B4148" t="s">
        <v>13</v>
      </c>
      <c r="C4148">
        <v>2598</v>
      </c>
      <c r="D4148">
        <v>44.17</v>
      </c>
      <c r="E4148">
        <v>7.95</v>
      </c>
      <c r="F4148">
        <f>COUNTIFS(mdr_rate_cleaned!$A$2:$A$10,B4148,mdr_rate_cleaned!$B$2:$B$10,"&lt;"&amp;C4148,mdr_rate_cleaned!$F$2:$F$10,"&gt;="&amp;C4148)</f>
        <v>1</v>
      </c>
      <c r="G4148">
        <v>1.7000000000000001E-2</v>
      </c>
      <c r="H4148">
        <v>44.17</v>
      </c>
      <c r="I4148" t="s">
        <v>15</v>
      </c>
      <c r="J4148" t="s">
        <v>15</v>
      </c>
      <c r="K4148">
        <v>7.95</v>
      </c>
      <c r="L4148">
        <v>0</v>
      </c>
    </row>
    <row r="4149" spans="1:12" x14ac:dyDescent="0.3">
      <c r="A4149" t="s">
        <v>4165</v>
      </c>
      <c r="B4149" t="s">
        <v>21</v>
      </c>
      <c r="C4149">
        <v>4297</v>
      </c>
      <c r="D4149">
        <v>12.89</v>
      </c>
      <c r="E4149">
        <v>2.3199999999999998</v>
      </c>
      <c r="F4149">
        <f>COUNTIFS(mdr_rate_cleaned!$A$2:$A$10,B4149,mdr_rate_cleaned!$B$2:$B$10,"&lt;"&amp;C4149,mdr_rate_cleaned!$F$2:$F$10,"&gt;="&amp;C4149)</f>
        <v>1</v>
      </c>
      <c r="G4149">
        <v>3.0000000000000001E-3</v>
      </c>
      <c r="H4149">
        <v>12.89</v>
      </c>
      <c r="I4149" t="s">
        <v>15</v>
      </c>
      <c r="J4149" t="s">
        <v>15</v>
      </c>
      <c r="K4149">
        <v>2.3199999999999998</v>
      </c>
      <c r="L4149">
        <v>0</v>
      </c>
    </row>
    <row r="4150" spans="1:12" x14ac:dyDescent="0.3">
      <c r="A4150" t="s">
        <v>4166</v>
      </c>
      <c r="B4150" t="s">
        <v>17</v>
      </c>
      <c r="C4150">
        <v>598</v>
      </c>
      <c r="D4150">
        <v>10.76</v>
      </c>
      <c r="E4150">
        <v>1.94</v>
      </c>
      <c r="F4150">
        <f>COUNTIFS(mdr_rate_cleaned!$A$2:$A$10,B4150,mdr_rate_cleaned!$B$2:$B$10,"&lt;"&amp;C4150,mdr_rate_cleaned!$F$2:$F$10,"&gt;="&amp;C4150)</f>
        <v>1</v>
      </c>
      <c r="G4150">
        <v>1.7999999999999999E-2</v>
      </c>
      <c r="H4150">
        <v>10.76</v>
      </c>
      <c r="I4150" t="s">
        <v>15</v>
      </c>
      <c r="J4150" t="s">
        <v>15</v>
      </c>
      <c r="K4150">
        <v>1.94</v>
      </c>
      <c r="L4150">
        <v>0</v>
      </c>
    </row>
    <row r="4151" spans="1:12" x14ac:dyDescent="0.3">
      <c r="A4151" t="s">
        <v>4167</v>
      </c>
      <c r="B4151" t="s">
        <v>21</v>
      </c>
      <c r="C4151">
        <v>8348</v>
      </c>
      <c r="D4151">
        <v>25.04</v>
      </c>
      <c r="E4151">
        <v>4.51</v>
      </c>
      <c r="F4151">
        <f>COUNTIFS(mdr_rate_cleaned!$A$2:$A$10,B4151,mdr_rate_cleaned!$B$2:$B$10,"&lt;"&amp;C4151,mdr_rate_cleaned!$F$2:$F$10,"&gt;="&amp;C4151)</f>
        <v>1</v>
      </c>
      <c r="G4151">
        <v>3.0000000000000001E-3</v>
      </c>
      <c r="H4151">
        <v>25.04</v>
      </c>
      <c r="I4151" t="s">
        <v>15</v>
      </c>
      <c r="J4151" t="s">
        <v>15</v>
      </c>
      <c r="K4151">
        <v>4.51</v>
      </c>
      <c r="L4151">
        <v>0</v>
      </c>
    </row>
    <row r="4152" spans="1:12" x14ac:dyDescent="0.3">
      <c r="A4152" t="s">
        <v>4168</v>
      </c>
      <c r="B4152" t="s">
        <v>21</v>
      </c>
      <c r="C4152">
        <v>3197</v>
      </c>
      <c r="D4152">
        <v>9.59</v>
      </c>
      <c r="E4152">
        <v>1.73</v>
      </c>
      <c r="F4152">
        <f>COUNTIFS(mdr_rate_cleaned!$A$2:$A$10,B4152,mdr_rate_cleaned!$B$2:$B$10,"&lt;"&amp;C4152,mdr_rate_cleaned!$F$2:$F$10,"&gt;="&amp;C4152)</f>
        <v>1</v>
      </c>
      <c r="G4152">
        <v>3.0000000000000001E-3</v>
      </c>
      <c r="H4152">
        <v>9.59</v>
      </c>
      <c r="I4152" t="s">
        <v>15</v>
      </c>
      <c r="J4152" t="s">
        <v>15</v>
      </c>
      <c r="K4152">
        <v>1.73</v>
      </c>
      <c r="L4152">
        <v>0</v>
      </c>
    </row>
    <row r="4153" spans="1:12" x14ac:dyDescent="0.3">
      <c r="A4153" t="s">
        <v>4169</v>
      </c>
      <c r="B4153" t="s">
        <v>17</v>
      </c>
      <c r="C4153">
        <v>12998</v>
      </c>
      <c r="D4153">
        <v>207.97</v>
      </c>
      <c r="E4153">
        <v>37.43</v>
      </c>
      <c r="F4153">
        <f>COUNTIFS(mdr_rate_cleaned!$A$2:$A$10,B4153,mdr_rate_cleaned!$B$2:$B$10,"&lt;"&amp;C4153,mdr_rate_cleaned!$F$2:$F$10,"&gt;="&amp;C4153)</f>
        <v>1</v>
      </c>
      <c r="G4153">
        <v>1.6E-2</v>
      </c>
      <c r="H4153">
        <v>207.97</v>
      </c>
      <c r="I4153" t="s">
        <v>15</v>
      </c>
      <c r="J4153" t="s">
        <v>15</v>
      </c>
      <c r="K4153">
        <v>37.43</v>
      </c>
      <c r="L4153">
        <v>0</v>
      </c>
    </row>
    <row r="4154" spans="1:12" x14ac:dyDescent="0.3">
      <c r="A4154" t="s">
        <v>4170</v>
      </c>
      <c r="B4154" t="s">
        <v>13</v>
      </c>
      <c r="C4154">
        <v>3499</v>
      </c>
      <c r="D4154">
        <v>59.48</v>
      </c>
      <c r="E4154">
        <v>10.71</v>
      </c>
      <c r="F4154">
        <f>COUNTIFS(mdr_rate_cleaned!$A$2:$A$10,B4154,mdr_rate_cleaned!$B$2:$B$10,"&lt;"&amp;C4154,mdr_rate_cleaned!$F$2:$F$10,"&gt;="&amp;C4154)</f>
        <v>1</v>
      </c>
      <c r="G4154">
        <v>1.7000000000000001E-2</v>
      </c>
      <c r="H4154">
        <v>59.48</v>
      </c>
      <c r="I4154" t="s">
        <v>15</v>
      </c>
      <c r="J4154" t="s">
        <v>15</v>
      </c>
      <c r="K4154">
        <v>10.71</v>
      </c>
      <c r="L4154">
        <v>0</v>
      </c>
    </row>
    <row r="4155" spans="1:12" x14ac:dyDescent="0.3">
      <c r="A4155" t="s">
        <v>4171</v>
      </c>
      <c r="B4155" t="s">
        <v>21</v>
      </c>
      <c r="C4155">
        <v>1799</v>
      </c>
      <c r="D4155">
        <v>0</v>
      </c>
      <c r="E4155">
        <v>0</v>
      </c>
      <c r="F4155">
        <f>COUNTIFS(mdr_rate_cleaned!$A$2:$A$10,B4155,mdr_rate_cleaned!$B$2:$B$10,"&lt;"&amp;C4155,mdr_rate_cleaned!$F$2:$F$10,"&gt;="&amp;C4155)</f>
        <v>1</v>
      </c>
      <c r="G4155">
        <v>0</v>
      </c>
      <c r="H4155">
        <v>0</v>
      </c>
      <c r="I4155" t="s">
        <v>15</v>
      </c>
      <c r="J4155" t="s">
        <v>15</v>
      </c>
      <c r="K4155">
        <v>0</v>
      </c>
      <c r="L4155">
        <v>0</v>
      </c>
    </row>
    <row r="4156" spans="1:12" x14ac:dyDescent="0.3">
      <c r="A4156" t="s">
        <v>4172</v>
      </c>
      <c r="B4156" t="s">
        <v>21</v>
      </c>
      <c r="C4156">
        <v>8798</v>
      </c>
      <c r="D4156">
        <v>26.39</v>
      </c>
      <c r="E4156">
        <v>4.75</v>
      </c>
      <c r="F4156">
        <f>COUNTIFS(mdr_rate_cleaned!$A$2:$A$10,B4156,mdr_rate_cleaned!$B$2:$B$10,"&lt;"&amp;C4156,mdr_rate_cleaned!$F$2:$F$10,"&gt;="&amp;C4156)</f>
        <v>1</v>
      </c>
      <c r="G4156">
        <v>3.0000000000000001E-3</v>
      </c>
      <c r="H4156">
        <v>26.39</v>
      </c>
      <c r="I4156" t="s">
        <v>15</v>
      </c>
      <c r="J4156" t="s">
        <v>15</v>
      </c>
      <c r="K4156">
        <v>4.75</v>
      </c>
      <c r="L4156">
        <v>0</v>
      </c>
    </row>
    <row r="4157" spans="1:12" x14ac:dyDescent="0.3">
      <c r="A4157" t="s">
        <v>4173</v>
      </c>
      <c r="B4157" t="s">
        <v>17</v>
      </c>
      <c r="C4157">
        <v>6798</v>
      </c>
      <c r="D4157">
        <v>108.77</v>
      </c>
      <c r="E4157">
        <v>19.579999999999998</v>
      </c>
      <c r="F4157">
        <f>COUNTIFS(mdr_rate_cleaned!$A$2:$A$10,B4157,mdr_rate_cleaned!$B$2:$B$10,"&lt;"&amp;C4157,mdr_rate_cleaned!$F$2:$F$10,"&gt;="&amp;C4157)</f>
        <v>1</v>
      </c>
      <c r="G4157">
        <v>1.6E-2</v>
      </c>
      <c r="H4157">
        <v>108.77</v>
      </c>
      <c r="I4157" t="s">
        <v>15</v>
      </c>
      <c r="J4157" t="s">
        <v>15</v>
      </c>
      <c r="K4157">
        <v>19.579999999999998</v>
      </c>
      <c r="L4157">
        <v>0</v>
      </c>
    </row>
    <row r="4158" spans="1:12" x14ac:dyDescent="0.3">
      <c r="A4158" t="s">
        <v>4174</v>
      </c>
      <c r="B4158" t="s">
        <v>17</v>
      </c>
      <c r="C4158">
        <v>7999</v>
      </c>
      <c r="D4158">
        <v>127.98</v>
      </c>
      <c r="E4158">
        <v>23.04</v>
      </c>
      <c r="F4158">
        <f>COUNTIFS(mdr_rate_cleaned!$A$2:$A$10,B4158,mdr_rate_cleaned!$B$2:$B$10,"&lt;"&amp;C4158,mdr_rate_cleaned!$F$2:$F$10,"&gt;="&amp;C4158)</f>
        <v>1</v>
      </c>
      <c r="G4158">
        <v>1.6E-2</v>
      </c>
      <c r="H4158">
        <v>127.98</v>
      </c>
      <c r="I4158" t="s">
        <v>15</v>
      </c>
      <c r="J4158" t="s">
        <v>15</v>
      </c>
      <c r="K4158">
        <v>23.04</v>
      </c>
      <c r="L4158">
        <v>0</v>
      </c>
    </row>
    <row r="4159" spans="1:12" x14ac:dyDescent="0.3">
      <c r="A4159" t="s">
        <v>4175</v>
      </c>
      <c r="B4159" t="s">
        <v>21</v>
      </c>
      <c r="C4159">
        <v>599</v>
      </c>
      <c r="D4159">
        <v>1.8</v>
      </c>
      <c r="E4159">
        <v>0.32</v>
      </c>
      <c r="F4159">
        <f>COUNTIFS(mdr_rate_cleaned!$A$2:$A$10,B4159,mdr_rate_cleaned!$B$2:$B$10,"&lt;"&amp;C4159,mdr_rate_cleaned!$F$2:$F$10,"&gt;="&amp;C4159)</f>
        <v>1</v>
      </c>
      <c r="G4159">
        <v>0</v>
      </c>
      <c r="H4159">
        <v>0</v>
      </c>
      <c r="I4159" t="s">
        <v>14</v>
      </c>
      <c r="J4159" t="s">
        <v>15</v>
      </c>
      <c r="K4159">
        <v>0</v>
      </c>
      <c r="L4159">
        <v>2.12</v>
      </c>
    </row>
    <row r="4160" spans="1:12" x14ac:dyDescent="0.3">
      <c r="A4160" t="s">
        <v>4176</v>
      </c>
      <c r="B4160" t="s">
        <v>21</v>
      </c>
      <c r="C4160">
        <v>349</v>
      </c>
      <c r="D4160">
        <v>0</v>
      </c>
      <c r="E4160">
        <v>0</v>
      </c>
      <c r="F4160">
        <f>COUNTIFS(mdr_rate_cleaned!$A$2:$A$10,B4160,mdr_rate_cleaned!$B$2:$B$10,"&lt;"&amp;C4160,mdr_rate_cleaned!$F$2:$F$10,"&gt;="&amp;C4160)</f>
        <v>1</v>
      </c>
      <c r="G4160">
        <v>0</v>
      </c>
      <c r="H4160">
        <v>0</v>
      </c>
      <c r="I4160" t="s">
        <v>15</v>
      </c>
      <c r="J4160" t="s">
        <v>15</v>
      </c>
      <c r="K4160">
        <v>0</v>
      </c>
      <c r="L4160">
        <v>0</v>
      </c>
    </row>
    <row r="4161" spans="1:12" x14ac:dyDescent="0.3">
      <c r="A4161" t="s">
        <v>4177</v>
      </c>
      <c r="B4161" t="s">
        <v>21</v>
      </c>
      <c r="C4161">
        <v>3499</v>
      </c>
      <c r="D4161">
        <v>10.5</v>
      </c>
      <c r="E4161">
        <v>1.89</v>
      </c>
      <c r="F4161">
        <f>COUNTIFS(mdr_rate_cleaned!$A$2:$A$10,B4161,mdr_rate_cleaned!$B$2:$B$10,"&lt;"&amp;C4161,mdr_rate_cleaned!$F$2:$F$10,"&gt;="&amp;C4161)</f>
        <v>1</v>
      </c>
      <c r="G4161">
        <v>3.0000000000000001E-3</v>
      </c>
      <c r="H4161">
        <v>10.5</v>
      </c>
      <c r="I4161" t="s">
        <v>15</v>
      </c>
      <c r="J4161" t="s">
        <v>15</v>
      </c>
      <c r="K4161">
        <v>1.89</v>
      </c>
      <c r="L4161">
        <v>0</v>
      </c>
    </row>
    <row r="4162" spans="1:12" x14ac:dyDescent="0.3">
      <c r="A4162" t="s">
        <v>4178</v>
      </c>
      <c r="B4162" t="s">
        <v>13</v>
      </c>
      <c r="C4162">
        <v>1499</v>
      </c>
      <c r="D4162">
        <v>28.48</v>
      </c>
      <c r="E4162">
        <v>5.13</v>
      </c>
      <c r="F4162">
        <f>COUNTIFS(mdr_rate_cleaned!$A$2:$A$10,B4162,mdr_rate_cleaned!$B$2:$B$10,"&lt;"&amp;C4162,mdr_rate_cleaned!$F$2:$F$10,"&gt;="&amp;C4162)</f>
        <v>1</v>
      </c>
      <c r="G4162">
        <v>1.9E-2</v>
      </c>
      <c r="H4162">
        <v>28.48</v>
      </c>
      <c r="I4162" t="s">
        <v>15</v>
      </c>
      <c r="J4162" t="s">
        <v>15</v>
      </c>
      <c r="K4162">
        <v>5.13</v>
      </c>
      <c r="L4162">
        <v>0</v>
      </c>
    </row>
    <row r="4163" spans="1:12" x14ac:dyDescent="0.3">
      <c r="A4163" t="s">
        <v>4179</v>
      </c>
      <c r="B4163" t="s">
        <v>21</v>
      </c>
      <c r="C4163">
        <v>1299</v>
      </c>
      <c r="D4163">
        <v>0</v>
      </c>
      <c r="E4163">
        <v>0</v>
      </c>
      <c r="F4163">
        <f>COUNTIFS(mdr_rate_cleaned!$A$2:$A$10,B4163,mdr_rate_cleaned!$B$2:$B$10,"&lt;"&amp;C4163,mdr_rate_cleaned!$F$2:$F$10,"&gt;="&amp;C4163)</f>
        <v>1</v>
      </c>
      <c r="G4163">
        <v>0</v>
      </c>
      <c r="H4163">
        <v>0</v>
      </c>
      <c r="I4163" t="s">
        <v>15</v>
      </c>
      <c r="J4163" t="s">
        <v>15</v>
      </c>
      <c r="K4163">
        <v>0</v>
      </c>
      <c r="L4163">
        <v>0</v>
      </c>
    </row>
    <row r="4164" spans="1:12" x14ac:dyDescent="0.3">
      <c r="A4164" t="s">
        <v>4180</v>
      </c>
      <c r="B4164" t="s">
        <v>39</v>
      </c>
      <c r="C4164">
        <v>3798</v>
      </c>
      <c r="D4164">
        <v>45.58</v>
      </c>
      <c r="E4164">
        <v>8.1999999999999993</v>
      </c>
      <c r="F4164">
        <f>COUNTIFS(mdr_rate_cleaned!$A$2:$A$10,B4164,mdr_rate_cleaned!$B$2:$B$10,"&lt;"&amp;C4164,mdr_rate_cleaned!$F$2:$F$10,"&gt;="&amp;C4164)</f>
        <v>1</v>
      </c>
      <c r="G4164">
        <v>1.2E-2</v>
      </c>
      <c r="H4164">
        <v>45.58</v>
      </c>
      <c r="I4164" t="s">
        <v>15</v>
      </c>
      <c r="J4164" t="s">
        <v>15</v>
      </c>
      <c r="K4164">
        <v>8.1999999999999993</v>
      </c>
      <c r="L4164">
        <v>0</v>
      </c>
    </row>
    <row r="4165" spans="1:12" x14ac:dyDescent="0.3">
      <c r="A4165" t="s">
        <v>4181</v>
      </c>
      <c r="B4165" t="s">
        <v>21</v>
      </c>
      <c r="C4165">
        <v>2499</v>
      </c>
      <c r="D4165">
        <v>7.5</v>
      </c>
      <c r="E4165">
        <v>1.35</v>
      </c>
      <c r="F4165">
        <f>COUNTIFS(mdr_rate_cleaned!$A$2:$A$10,B4165,mdr_rate_cleaned!$B$2:$B$10,"&lt;"&amp;C4165,mdr_rate_cleaned!$F$2:$F$10,"&gt;="&amp;C4165)</f>
        <v>1</v>
      </c>
      <c r="G4165">
        <v>3.0000000000000001E-3</v>
      </c>
      <c r="H4165">
        <v>7.5</v>
      </c>
      <c r="I4165" t="s">
        <v>15</v>
      </c>
      <c r="J4165" t="s">
        <v>15</v>
      </c>
      <c r="K4165">
        <v>1.35</v>
      </c>
      <c r="L4165">
        <v>0</v>
      </c>
    </row>
    <row r="4166" spans="1:12" x14ac:dyDescent="0.3">
      <c r="A4166" t="s">
        <v>4182</v>
      </c>
      <c r="B4166" t="s">
        <v>21</v>
      </c>
      <c r="C4166">
        <v>3499</v>
      </c>
      <c r="D4166">
        <v>10.5</v>
      </c>
      <c r="E4166">
        <v>1.89</v>
      </c>
      <c r="F4166">
        <f>COUNTIFS(mdr_rate_cleaned!$A$2:$A$10,B4166,mdr_rate_cleaned!$B$2:$B$10,"&lt;"&amp;C4166,mdr_rate_cleaned!$F$2:$F$10,"&gt;="&amp;C4166)</f>
        <v>1</v>
      </c>
      <c r="G4166">
        <v>3.0000000000000001E-3</v>
      </c>
      <c r="H4166">
        <v>10.5</v>
      </c>
      <c r="I4166" t="s">
        <v>15</v>
      </c>
      <c r="J4166" t="s">
        <v>15</v>
      </c>
      <c r="K4166">
        <v>1.89</v>
      </c>
      <c r="L4166">
        <v>0</v>
      </c>
    </row>
    <row r="4167" spans="1:12" x14ac:dyDescent="0.3">
      <c r="A4167" t="s">
        <v>4183</v>
      </c>
      <c r="B4167" t="s">
        <v>17</v>
      </c>
      <c r="C4167">
        <v>5798</v>
      </c>
      <c r="D4167">
        <v>92.77</v>
      </c>
      <c r="E4167">
        <v>16.7</v>
      </c>
      <c r="F4167">
        <f>COUNTIFS(mdr_rate_cleaned!$A$2:$A$10,B4167,mdr_rate_cleaned!$B$2:$B$10,"&lt;"&amp;C4167,mdr_rate_cleaned!$F$2:$F$10,"&gt;="&amp;C4167)</f>
        <v>1</v>
      </c>
      <c r="G4167">
        <v>1.6E-2</v>
      </c>
      <c r="H4167">
        <v>92.77</v>
      </c>
      <c r="I4167" t="s">
        <v>15</v>
      </c>
      <c r="J4167" t="s">
        <v>15</v>
      </c>
      <c r="K4167">
        <v>16.7</v>
      </c>
      <c r="L4167">
        <v>0</v>
      </c>
    </row>
    <row r="4168" spans="1:12" x14ac:dyDescent="0.3">
      <c r="A4168" t="s">
        <v>4184</v>
      </c>
      <c r="B4168" t="s">
        <v>21</v>
      </c>
      <c r="C4168">
        <v>1299</v>
      </c>
      <c r="D4168">
        <v>0</v>
      </c>
      <c r="E4168">
        <v>0</v>
      </c>
      <c r="F4168">
        <f>COUNTIFS(mdr_rate_cleaned!$A$2:$A$10,B4168,mdr_rate_cleaned!$B$2:$B$10,"&lt;"&amp;C4168,mdr_rate_cleaned!$F$2:$F$10,"&gt;="&amp;C4168)</f>
        <v>1</v>
      </c>
      <c r="G4168">
        <v>0</v>
      </c>
      <c r="H4168">
        <v>0</v>
      </c>
      <c r="I4168" t="s">
        <v>15</v>
      </c>
      <c r="J4168" t="s">
        <v>15</v>
      </c>
      <c r="K4168">
        <v>0</v>
      </c>
      <c r="L4168">
        <v>0</v>
      </c>
    </row>
    <row r="4169" spans="1:12" x14ac:dyDescent="0.3">
      <c r="A4169" t="s">
        <v>4185</v>
      </c>
      <c r="B4169" t="s">
        <v>17</v>
      </c>
      <c r="C4169">
        <v>4999</v>
      </c>
      <c r="D4169">
        <v>79.98</v>
      </c>
      <c r="E4169">
        <v>14.4</v>
      </c>
      <c r="F4169">
        <f>COUNTIFS(mdr_rate_cleaned!$A$2:$A$10,B4169,mdr_rate_cleaned!$B$2:$B$10,"&lt;"&amp;C4169,mdr_rate_cleaned!$F$2:$F$10,"&gt;="&amp;C4169)</f>
        <v>1</v>
      </c>
      <c r="G4169">
        <v>1.6E-2</v>
      </c>
      <c r="H4169">
        <v>79.98</v>
      </c>
      <c r="I4169" t="s">
        <v>15</v>
      </c>
      <c r="J4169" t="s">
        <v>15</v>
      </c>
      <c r="K4169">
        <v>14.4</v>
      </c>
      <c r="L4169">
        <v>0</v>
      </c>
    </row>
    <row r="4170" spans="1:12" x14ac:dyDescent="0.3">
      <c r="A4170" t="s">
        <v>4186</v>
      </c>
      <c r="B4170" t="s">
        <v>21</v>
      </c>
      <c r="C4170">
        <v>3597</v>
      </c>
      <c r="D4170">
        <v>10.79</v>
      </c>
      <c r="E4170">
        <v>1.94</v>
      </c>
      <c r="F4170">
        <f>COUNTIFS(mdr_rate_cleaned!$A$2:$A$10,B4170,mdr_rate_cleaned!$B$2:$B$10,"&lt;"&amp;C4170,mdr_rate_cleaned!$F$2:$F$10,"&gt;="&amp;C4170)</f>
        <v>1</v>
      </c>
      <c r="G4170">
        <v>3.0000000000000001E-3</v>
      </c>
      <c r="H4170">
        <v>10.79</v>
      </c>
      <c r="I4170" t="s">
        <v>15</v>
      </c>
      <c r="J4170" t="s">
        <v>15</v>
      </c>
      <c r="K4170">
        <v>1.94</v>
      </c>
      <c r="L4170">
        <v>0</v>
      </c>
    </row>
    <row r="4171" spans="1:12" x14ac:dyDescent="0.3">
      <c r="A4171" t="s">
        <v>4187</v>
      </c>
      <c r="B4171" t="s">
        <v>21</v>
      </c>
      <c r="C4171">
        <v>4498</v>
      </c>
      <c r="D4171">
        <v>13.49</v>
      </c>
      <c r="E4171">
        <v>2.4300000000000002</v>
      </c>
      <c r="F4171">
        <f>COUNTIFS(mdr_rate_cleaned!$A$2:$A$10,B4171,mdr_rate_cleaned!$B$2:$B$10,"&lt;"&amp;C4171,mdr_rate_cleaned!$F$2:$F$10,"&gt;="&amp;C4171)</f>
        <v>1</v>
      </c>
      <c r="G4171">
        <v>3.0000000000000001E-3</v>
      </c>
      <c r="H4171">
        <v>13.49</v>
      </c>
      <c r="I4171" t="s">
        <v>15</v>
      </c>
      <c r="J4171" t="s">
        <v>15</v>
      </c>
      <c r="K4171">
        <v>2.4300000000000002</v>
      </c>
      <c r="L4171">
        <v>0</v>
      </c>
    </row>
    <row r="4172" spans="1:12" x14ac:dyDescent="0.3">
      <c r="A4172" t="s">
        <v>4188</v>
      </c>
      <c r="B4172" t="s">
        <v>17</v>
      </c>
      <c r="C4172">
        <v>1499</v>
      </c>
      <c r="D4172">
        <v>26.98</v>
      </c>
      <c r="E4172">
        <v>4.8600000000000003</v>
      </c>
      <c r="F4172">
        <f>COUNTIFS(mdr_rate_cleaned!$A$2:$A$10,B4172,mdr_rate_cleaned!$B$2:$B$10,"&lt;"&amp;C4172,mdr_rate_cleaned!$F$2:$F$10,"&gt;="&amp;C4172)</f>
        <v>1</v>
      </c>
      <c r="G4172">
        <v>1.7999999999999999E-2</v>
      </c>
      <c r="H4172">
        <v>26.98</v>
      </c>
      <c r="I4172" t="s">
        <v>15</v>
      </c>
      <c r="J4172" t="s">
        <v>15</v>
      </c>
      <c r="K4172">
        <v>4.8600000000000003</v>
      </c>
      <c r="L4172">
        <v>0</v>
      </c>
    </row>
    <row r="4173" spans="1:12" x14ac:dyDescent="0.3">
      <c r="A4173" t="s">
        <v>4189</v>
      </c>
      <c r="B4173" t="s">
        <v>13</v>
      </c>
      <c r="C4173">
        <v>1998</v>
      </c>
      <c r="D4173">
        <v>37.96</v>
      </c>
      <c r="E4173">
        <v>6.83</v>
      </c>
      <c r="F4173">
        <f>COUNTIFS(mdr_rate_cleaned!$A$2:$A$10,B4173,mdr_rate_cleaned!$B$2:$B$10,"&lt;"&amp;C4173,mdr_rate_cleaned!$F$2:$F$10,"&gt;="&amp;C4173)</f>
        <v>1</v>
      </c>
      <c r="G4173">
        <v>1.9E-2</v>
      </c>
      <c r="H4173">
        <v>37.96</v>
      </c>
      <c r="I4173" t="s">
        <v>15</v>
      </c>
      <c r="J4173" t="s">
        <v>15</v>
      </c>
      <c r="K4173">
        <v>6.83</v>
      </c>
      <c r="L4173">
        <v>0</v>
      </c>
    </row>
    <row r="4174" spans="1:12" x14ac:dyDescent="0.3">
      <c r="A4174" t="s">
        <v>4190</v>
      </c>
      <c r="B4174" t="s">
        <v>17</v>
      </c>
      <c r="C4174">
        <v>3499</v>
      </c>
      <c r="D4174">
        <v>55.98</v>
      </c>
      <c r="E4174">
        <v>10.08</v>
      </c>
      <c r="F4174">
        <f>COUNTIFS(mdr_rate_cleaned!$A$2:$A$10,B4174,mdr_rate_cleaned!$B$2:$B$10,"&lt;"&amp;C4174,mdr_rate_cleaned!$F$2:$F$10,"&gt;="&amp;C4174)</f>
        <v>1</v>
      </c>
      <c r="G4174">
        <v>1.6E-2</v>
      </c>
      <c r="H4174">
        <v>55.98</v>
      </c>
      <c r="I4174" t="s">
        <v>15</v>
      </c>
      <c r="J4174" t="s">
        <v>15</v>
      </c>
      <c r="K4174">
        <v>10.08</v>
      </c>
      <c r="L4174">
        <v>0</v>
      </c>
    </row>
    <row r="4175" spans="1:12" x14ac:dyDescent="0.3">
      <c r="A4175" t="s">
        <v>4191</v>
      </c>
      <c r="B4175" t="s">
        <v>39</v>
      </c>
      <c r="C4175">
        <v>599</v>
      </c>
      <c r="D4175">
        <v>8.99</v>
      </c>
      <c r="E4175">
        <v>1.62</v>
      </c>
      <c r="F4175">
        <f>COUNTIFS(mdr_rate_cleaned!$A$2:$A$10,B4175,mdr_rate_cleaned!$B$2:$B$10,"&lt;"&amp;C4175,mdr_rate_cleaned!$F$2:$F$10,"&gt;="&amp;C4175)</f>
        <v>1</v>
      </c>
      <c r="G4175">
        <v>1.4999999999999999E-2</v>
      </c>
      <c r="H4175">
        <v>8.99</v>
      </c>
      <c r="I4175" t="s">
        <v>15</v>
      </c>
      <c r="J4175" t="s">
        <v>15</v>
      </c>
      <c r="K4175">
        <v>1.62</v>
      </c>
      <c r="L4175">
        <v>0</v>
      </c>
    </row>
    <row r="4176" spans="1:12" x14ac:dyDescent="0.3">
      <c r="A4176" t="s">
        <v>4192</v>
      </c>
      <c r="B4176" t="s">
        <v>21</v>
      </c>
      <c r="C4176">
        <v>1799</v>
      </c>
      <c r="D4176">
        <v>0</v>
      </c>
      <c r="E4176">
        <v>0</v>
      </c>
      <c r="F4176">
        <f>COUNTIFS(mdr_rate_cleaned!$A$2:$A$10,B4176,mdr_rate_cleaned!$B$2:$B$10,"&lt;"&amp;C4176,mdr_rate_cleaned!$F$2:$F$10,"&gt;="&amp;C4176)</f>
        <v>1</v>
      </c>
      <c r="G4176">
        <v>0</v>
      </c>
      <c r="H4176">
        <v>0</v>
      </c>
      <c r="I4176" t="s">
        <v>15</v>
      </c>
      <c r="J4176" t="s">
        <v>15</v>
      </c>
      <c r="K4176">
        <v>0</v>
      </c>
      <c r="L4176">
        <v>0</v>
      </c>
    </row>
    <row r="4177" spans="1:12" x14ac:dyDescent="0.3">
      <c r="A4177" t="s">
        <v>4193</v>
      </c>
      <c r="B4177" t="s">
        <v>13</v>
      </c>
      <c r="C4177">
        <v>6798</v>
      </c>
      <c r="D4177">
        <v>115.57</v>
      </c>
      <c r="E4177">
        <v>20.8</v>
      </c>
      <c r="F4177">
        <f>COUNTIFS(mdr_rate_cleaned!$A$2:$A$10,B4177,mdr_rate_cleaned!$B$2:$B$10,"&lt;"&amp;C4177,mdr_rate_cleaned!$F$2:$F$10,"&gt;="&amp;C4177)</f>
        <v>1</v>
      </c>
      <c r="G4177">
        <v>1.7000000000000001E-2</v>
      </c>
      <c r="H4177">
        <v>115.57</v>
      </c>
      <c r="I4177" t="s">
        <v>15</v>
      </c>
      <c r="J4177" t="s">
        <v>15</v>
      </c>
      <c r="K4177">
        <v>20.8</v>
      </c>
      <c r="L4177">
        <v>0</v>
      </c>
    </row>
    <row r="4178" spans="1:12" x14ac:dyDescent="0.3">
      <c r="A4178" t="s">
        <v>4194</v>
      </c>
      <c r="B4178" t="s">
        <v>21</v>
      </c>
      <c r="C4178">
        <v>8798</v>
      </c>
      <c r="D4178">
        <v>26.39</v>
      </c>
      <c r="E4178">
        <v>4.75</v>
      </c>
      <c r="F4178">
        <f>COUNTIFS(mdr_rate_cleaned!$A$2:$A$10,B4178,mdr_rate_cleaned!$B$2:$B$10,"&lt;"&amp;C4178,mdr_rate_cleaned!$F$2:$F$10,"&gt;="&amp;C4178)</f>
        <v>1</v>
      </c>
      <c r="G4178">
        <v>3.0000000000000001E-3</v>
      </c>
      <c r="H4178">
        <v>26.39</v>
      </c>
      <c r="I4178" t="s">
        <v>15</v>
      </c>
      <c r="J4178" t="s">
        <v>15</v>
      </c>
      <c r="K4178">
        <v>4.75</v>
      </c>
      <c r="L4178">
        <v>0</v>
      </c>
    </row>
    <row r="4179" spans="1:12" x14ac:dyDescent="0.3">
      <c r="A4179" t="s">
        <v>4195</v>
      </c>
      <c r="B4179" t="s">
        <v>13</v>
      </c>
      <c r="C4179">
        <v>4999</v>
      </c>
      <c r="D4179">
        <v>84.98</v>
      </c>
      <c r="E4179">
        <v>15.3</v>
      </c>
      <c r="F4179">
        <f>COUNTIFS(mdr_rate_cleaned!$A$2:$A$10,B4179,mdr_rate_cleaned!$B$2:$B$10,"&lt;"&amp;C4179,mdr_rate_cleaned!$F$2:$F$10,"&gt;="&amp;C4179)</f>
        <v>1</v>
      </c>
      <c r="G4179">
        <v>1.7000000000000001E-2</v>
      </c>
      <c r="H4179">
        <v>84.98</v>
      </c>
      <c r="I4179" t="s">
        <v>15</v>
      </c>
      <c r="J4179" t="s">
        <v>15</v>
      </c>
      <c r="K4179">
        <v>15.3</v>
      </c>
      <c r="L4179">
        <v>0</v>
      </c>
    </row>
    <row r="4180" spans="1:12" x14ac:dyDescent="0.3">
      <c r="A4180" t="s">
        <v>4196</v>
      </c>
      <c r="B4180" t="s">
        <v>21</v>
      </c>
      <c r="C4180">
        <v>1299</v>
      </c>
      <c r="D4180">
        <v>0</v>
      </c>
      <c r="E4180">
        <v>0</v>
      </c>
      <c r="F4180">
        <f>COUNTIFS(mdr_rate_cleaned!$A$2:$A$10,B4180,mdr_rate_cleaned!$B$2:$B$10,"&lt;"&amp;C4180,mdr_rate_cleaned!$F$2:$F$10,"&gt;="&amp;C4180)</f>
        <v>1</v>
      </c>
      <c r="G4180">
        <v>0</v>
      </c>
      <c r="H4180">
        <v>0</v>
      </c>
      <c r="I4180" t="s">
        <v>15</v>
      </c>
      <c r="J4180" t="s">
        <v>15</v>
      </c>
      <c r="K4180">
        <v>0</v>
      </c>
      <c r="L4180">
        <v>0</v>
      </c>
    </row>
    <row r="4181" spans="1:12" x14ac:dyDescent="0.3">
      <c r="A4181" t="s">
        <v>4197</v>
      </c>
      <c r="B4181" t="s">
        <v>17</v>
      </c>
      <c r="C4181">
        <v>1598</v>
      </c>
      <c r="D4181">
        <v>28.76</v>
      </c>
      <c r="E4181">
        <v>5.18</v>
      </c>
      <c r="F4181">
        <f>COUNTIFS(mdr_rate_cleaned!$A$2:$A$10,B4181,mdr_rate_cleaned!$B$2:$B$10,"&lt;"&amp;C4181,mdr_rate_cleaned!$F$2:$F$10,"&gt;="&amp;C4181)</f>
        <v>1</v>
      </c>
      <c r="G4181">
        <v>1.7999999999999999E-2</v>
      </c>
      <c r="H4181">
        <v>28.76</v>
      </c>
      <c r="I4181" t="s">
        <v>15</v>
      </c>
      <c r="J4181" t="s">
        <v>15</v>
      </c>
      <c r="K4181">
        <v>5.18</v>
      </c>
      <c r="L4181">
        <v>0</v>
      </c>
    </row>
    <row r="4182" spans="1:12" x14ac:dyDescent="0.3">
      <c r="A4182" t="s">
        <v>4198</v>
      </c>
      <c r="B4182" t="s">
        <v>21</v>
      </c>
      <c r="C4182">
        <v>3098</v>
      </c>
      <c r="D4182">
        <v>9.2899999999999991</v>
      </c>
      <c r="E4182">
        <v>1.67</v>
      </c>
      <c r="F4182">
        <f>COUNTIFS(mdr_rate_cleaned!$A$2:$A$10,B4182,mdr_rate_cleaned!$B$2:$B$10,"&lt;"&amp;C4182,mdr_rate_cleaned!$F$2:$F$10,"&gt;="&amp;C4182)</f>
        <v>1</v>
      </c>
      <c r="G4182">
        <v>3.0000000000000001E-3</v>
      </c>
      <c r="H4182">
        <v>9.2899999999999991</v>
      </c>
      <c r="I4182" t="s">
        <v>15</v>
      </c>
      <c r="J4182" t="s">
        <v>15</v>
      </c>
      <c r="K4182">
        <v>1.67</v>
      </c>
      <c r="L4182">
        <v>0</v>
      </c>
    </row>
    <row r="4183" spans="1:12" x14ac:dyDescent="0.3">
      <c r="A4183" t="s">
        <v>4199</v>
      </c>
      <c r="B4183" t="s">
        <v>21</v>
      </c>
      <c r="C4183">
        <v>999</v>
      </c>
      <c r="D4183">
        <v>0</v>
      </c>
      <c r="E4183">
        <v>0</v>
      </c>
      <c r="F4183">
        <f>COUNTIFS(mdr_rate_cleaned!$A$2:$A$10,B4183,mdr_rate_cleaned!$B$2:$B$10,"&lt;"&amp;C4183,mdr_rate_cleaned!$F$2:$F$10,"&gt;="&amp;C4183)</f>
        <v>1</v>
      </c>
      <c r="G4183">
        <v>0</v>
      </c>
      <c r="H4183">
        <v>0</v>
      </c>
      <c r="I4183" t="s">
        <v>15</v>
      </c>
      <c r="J4183" t="s">
        <v>15</v>
      </c>
      <c r="K4183">
        <v>0</v>
      </c>
      <c r="L4183">
        <v>0</v>
      </c>
    </row>
    <row r="4184" spans="1:12" x14ac:dyDescent="0.3">
      <c r="A4184" t="s">
        <v>4200</v>
      </c>
      <c r="B4184" t="s">
        <v>21</v>
      </c>
      <c r="C4184">
        <v>7999</v>
      </c>
      <c r="D4184">
        <v>24</v>
      </c>
      <c r="E4184">
        <v>4.32</v>
      </c>
      <c r="F4184">
        <f>COUNTIFS(mdr_rate_cleaned!$A$2:$A$10,B4184,mdr_rate_cleaned!$B$2:$B$10,"&lt;"&amp;C4184,mdr_rate_cleaned!$F$2:$F$10,"&gt;="&amp;C4184)</f>
        <v>1</v>
      </c>
      <c r="G4184">
        <v>3.0000000000000001E-3</v>
      </c>
      <c r="H4184">
        <v>24</v>
      </c>
      <c r="I4184" t="s">
        <v>15</v>
      </c>
      <c r="J4184" t="s">
        <v>15</v>
      </c>
      <c r="K4184">
        <v>4.32</v>
      </c>
      <c r="L4184">
        <v>0</v>
      </c>
    </row>
    <row r="4185" spans="1:12" x14ac:dyDescent="0.3">
      <c r="A4185" t="s">
        <v>4201</v>
      </c>
      <c r="B4185" t="s">
        <v>21</v>
      </c>
      <c r="C4185">
        <v>1299</v>
      </c>
      <c r="D4185">
        <v>0</v>
      </c>
      <c r="E4185">
        <v>0</v>
      </c>
      <c r="F4185">
        <f>COUNTIFS(mdr_rate_cleaned!$A$2:$A$10,B4185,mdr_rate_cleaned!$B$2:$B$10,"&lt;"&amp;C4185,mdr_rate_cleaned!$F$2:$F$10,"&gt;="&amp;C4185)</f>
        <v>1</v>
      </c>
      <c r="G4185">
        <v>0</v>
      </c>
      <c r="H4185">
        <v>0</v>
      </c>
      <c r="I4185" t="s">
        <v>15</v>
      </c>
      <c r="J4185" t="s">
        <v>15</v>
      </c>
      <c r="K4185">
        <v>0</v>
      </c>
      <c r="L4185">
        <v>0</v>
      </c>
    </row>
    <row r="4186" spans="1:12" x14ac:dyDescent="0.3">
      <c r="A4186" t="s">
        <v>4202</v>
      </c>
      <c r="B4186" t="s">
        <v>21</v>
      </c>
      <c r="C4186">
        <v>299</v>
      </c>
      <c r="D4186">
        <v>0</v>
      </c>
      <c r="E4186">
        <v>0</v>
      </c>
      <c r="F4186">
        <f>COUNTIFS(mdr_rate_cleaned!$A$2:$A$10,B4186,mdr_rate_cleaned!$B$2:$B$10,"&lt;"&amp;C4186,mdr_rate_cleaned!$F$2:$F$10,"&gt;="&amp;C4186)</f>
        <v>1</v>
      </c>
      <c r="G4186">
        <v>0</v>
      </c>
      <c r="H4186">
        <v>0</v>
      </c>
      <c r="I4186" t="s">
        <v>15</v>
      </c>
      <c r="J4186" t="s">
        <v>15</v>
      </c>
      <c r="K4186">
        <v>0</v>
      </c>
      <c r="L4186">
        <v>0</v>
      </c>
    </row>
    <row r="4187" spans="1:12" x14ac:dyDescent="0.3">
      <c r="A4187" t="s">
        <v>4203</v>
      </c>
      <c r="B4187" t="s">
        <v>39</v>
      </c>
      <c r="C4187">
        <v>2847</v>
      </c>
      <c r="D4187">
        <v>34.159999999999997</v>
      </c>
      <c r="E4187">
        <v>6.15</v>
      </c>
      <c r="F4187">
        <f>COUNTIFS(mdr_rate_cleaned!$A$2:$A$10,B4187,mdr_rate_cleaned!$B$2:$B$10,"&lt;"&amp;C4187,mdr_rate_cleaned!$F$2:$F$10,"&gt;="&amp;C4187)</f>
        <v>1</v>
      </c>
      <c r="G4187">
        <v>1.2E-2</v>
      </c>
      <c r="H4187">
        <v>34.159999999999997</v>
      </c>
      <c r="I4187" t="s">
        <v>15</v>
      </c>
      <c r="J4187" t="s">
        <v>15</v>
      </c>
      <c r="K4187">
        <v>6.15</v>
      </c>
      <c r="L4187">
        <v>0</v>
      </c>
    </row>
    <row r="4188" spans="1:12" x14ac:dyDescent="0.3">
      <c r="A4188" t="s">
        <v>4204</v>
      </c>
      <c r="B4188" t="s">
        <v>21</v>
      </c>
      <c r="C4188">
        <v>6397</v>
      </c>
      <c r="D4188">
        <v>19.190000000000001</v>
      </c>
      <c r="E4188">
        <v>3.45</v>
      </c>
      <c r="F4188">
        <f>COUNTIFS(mdr_rate_cleaned!$A$2:$A$10,B4188,mdr_rate_cleaned!$B$2:$B$10,"&lt;"&amp;C4188,mdr_rate_cleaned!$F$2:$F$10,"&gt;="&amp;C4188)</f>
        <v>1</v>
      </c>
      <c r="G4188">
        <v>3.0000000000000001E-3</v>
      </c>
      <c r="H4188">
        <v>19.190000000000001</v>
      </c>
      <c r="I4188" t="s">
        <v>15</v>
      </c>
      <c r="J4188" t="s">
        <v>15</v>
      </c>
      <c r="K4188">
        <v>3.45</v>
      </c>
      <c r="L4188">
        <v>0</v>
      </c>
    </row>
    <row r="4189" spans="1:12" x14ac:dyDescent="0.3">
      <c r="A4189" t="s">
        <v>4205</v>
      </c>
      <c r="B4189" t="s">
        <v>21</v>
      </c>
      <c r="C4189">
        <v>3348</v>
      </c>
      <c r="D4189">
        <v>10.039999999999999</v>
      </c>
      <c r="E4189">
        <v>1.81</v>
      </c>
      <c r="F4189">
        <f>COUNTIFS(mdr_rate_cleaned!$A$2:$A$10,B4189,mdr_rate_cleaned!$B$2:$B$10,"&lt;"&amp;C4189,mdr_rate_cleaned!$F$2:$F$10,"&gt;="&amp;C4189)</f>
        <v>1</v>
      </c>
      <c r="G4189">
        <v>3.0000000000000001E-3</v>
      </c>
      <c r="H4189">
        <v>10.039999999999999</v>
      </c>
      <c r="I4189" t="s">
        <v>15</v>
      </c>
      <c r="J4189" t="s">
        <v>15</v>
      </c>
      <c r="K4189">
        <v>1.81</v>
      </c>
      <c r="L4189">
        <v>0</v>
      </c>
    </row>
    <row r="4190" spans="1:12" x14ac:dyDescent="0.3">
      <c r="A4190" t="s">
        <v>4206</v>
      </c>
      <c r="B4190" t="s">
        <v>17</v>
      </c>
      <c r="C4190">
        <v>299</v>
      </c>
      <c r="D4190">
        <v>5.38</v>
      </c>
      <c r="E4190">
        <v>0.97</v>
      </c>
      <c r="F4190">
        <f>COUNTIFS(mdr_rate_cleaned!$A$2:$A$10,B4190,mdr_rate_cleaned!$B$2:$B$10,"&lt;"&amp;C4190,mdr_rate_cleaned!$F$2:$F$10,"&gt;="&amp;C4190)</f>
        <v>1</v>
      </c>
      <c r="G4190">
        <v>1.7999999999999999E-2</v>
      </c>
      <c r="H4190">
        <v>5.38</v>
      </c>
      <c r="I4190" t="s">
        <v>15</v>
      </c>
      <c r="J4190" t="s">
        <v>15</v>
      </c>
      <c r="K4190">
        <v>0.97</v>
      </c>
      <c r="L4190">
        <v>0</v>
      </c>
    </row>
    <row r="4191" spans="1:12" x14ac:dyDescent="0.3">
      <c r="A4191" t="s">
        <v>4207</v>
      </c>
      <c r="B4191" t="s">
        <v>21</v>
      </c>
      <c r="C4191">
        <v>5498</v>
      </c>
      <c r="D4191">
        <v>16.489999999999998</v>
      </c>
      <c r="E4191">
        <v>2.97</v>
      </c>
      <c r="F4191">
        <f>COUNTIFS(mdr_rate_cleaned!$A$2:$A$10,B4191,mdr_rate_cleaned!$B$2:$B$10,"&lt;"&amp;C4191,mdr_rate_cleaned!$F$2:$F$10,"&gt;="&amp;C4191)</f>
        <v>1</v>
      </c>
      <c r="G4191">
        <v>3.0000000000000001E-3</v>
      </c>
      <c r="H4191">
        <v>16.489999999999998</v>
      </c>
      <c r="I4191" t="s">
        <v>15</v>
      </c>
      <c r="J4191" t="s">
        <v>15</v>
      </c>
      <c r="K4191">
        <v>2.97</v>
      </c>
      <c r="L4191">
        <v>0</v>
      </c>
    </row>
    <row r="4192" spans="1:12" x14ac:dyDescent="0.3">
      <c r="A4192" t="s">
        <v>4208</v>
      </c>
      <c r="B4192" t="s">
        <v>13</v>
      </c>
      <c r="C4192">
        <v>4298</v>
      </c>
      <c r="D4192">
        <v>73.069999999999993</v>
      </c>
      <c r="E4192">
        <v>13.15</v>
      </c>
      <c r="F4192">
        <f>COUNTIFS(mdr_rate_cleaned!$A$2:$A$10,B4192,mdr_rate_cleaned!$B$2:$B$10,"&lt;"&amp;C4192,mdr_rate_cleaned!$F$2:$F$10,"&gt;="&amp;C4192)</f>
        <v>1</v>
      </c>
      <c r="G4192">
        <v>1.7000000000000001E-2</v>
      </c>
      <c r="H4192">
        <v>73.069999999999993</v>
      </c>
      <c r="I4192" t="s">
        <v>15</v>
      </c>
      <c r="J4192" t="s">
        <v>15</v>
      </c>
      <c r="K4192">
        <v>13.15</v>
      </c>
      <c r="L4192">
        <v>0</v>
      </c>
    </row>
    <row r="4193" spans="1:12" x14ac:dyDescent="0.3">
      <c r="A4193" t="s">
        <v>4209</v>
      </c>
      <c r="B4193" t="s">
        <v>21</v>
      </c>
      <c r="C4193">
        <v>1648</v>
      </c>
      <c r="D4193">
        <v>0</v>
      </c>
      <c r="E4193">
        <v>0</v>
      </c>
      <c r="F4193">
        <f>COUNTIFS(mdr_rate_cleaned!$A$2:$A$10,B4193,mdr_rate_cleaned!$B$2:$B$10,"&lt;"&amp;C4193,mdr_rate_cleaned!$F$2:$F$10,"&gt;="&amp;C4193)</f>
        <v>1</v>
      </c>
      <c r="G4193">
        <v>0</v>
      </c>
      <c r="H4193">
        <v>0</v>
      </c>
      <c r="I4193" t="s">
        <v>15</v>
      </c>
      <c r="J4193" t="s">
        <v>15</v>
      </c>
      <c r="K4193">
        <v>0</v>
      </c>
      <c r="L4193">
        <v>0</v>
      </c>
    </row>
    <row r="4194" spans="1:12" x14ac:dyDescent="0.3">
      <c r="A4194" t="s">
        <v>4210</v>
      </c>
      <c r="B4194" t="s">
        <v>39</v>
      </c>
      <c r="C4194">
        <v>2998</v>
      </c>
      <c r="D4194">
        <v>35.979999999999997</v>
      </c>
      <c r="E4194">
        <v>6.48</v>
      </c>
      <c r="F4194">
        <f>COUNTIFS(mdr_rate_cleaned!$A$2:$A$10,B4194,mdr_rate_cleaned!$B$2:$B$10,"&lt;"&amp;C4194,mdr_rate_cleaned!$F$2:$F$10,"&gt;="&amp;C4194)</f>
        <v>1</v>
      </c>
      <c r="G4194">
        <v>1.2E-2</v>
      </c>
      <c r="H4194">
        <v>35.979999999999997</v>
      </c>
      <c r="I4194" t="s">
        <v>15</v>
      </c>
      <c r="J4194" t="s">
        <v>15</v>
      </c>
      <c r="K4194">
        <v>6.48</v>
      </c>
      <c r="L4194">
        <v>0</v>
      </c>
    </row>
    <row r="4195" spans="1:12" x14ac:dyDescent="0.3">
      <c r="A4195" t="s">
        <v>4211</v>
      </c>
      <c r="B4195" t="s">
        <v>21</v>
      </c>
      <c r="C4195">
        <v>2797</v>
      </c>
      <c r="D4195">
        <v>8.39</v>
      </c>
      <c r="E4195">
        <v>1.51</v>
      </c>
      <c r="F4195">
        <f>COUNTIFS(mdr_rate_cleaned!$A$2:$A$10,B4195,mdr_rate_cleaned!$B$2:$B$10,"&lt;"&amp;C4195,mdr_rate_cleaned!$F$2:$F$10,"&gt;="&amp;C4195)</f>
        <v>1</v>
      </c>
      <c r="G4195">
        <v>3.0000000000000001E-3</v>
      </c>
      <c r="H4195">
        <v>8.39</v>
      </c>
      <c r="I4195" t="s">
        <v>15</v>
      </c>
      <c r="J4195" t="s">
        <v>15</v>
      </c>
      <c r="K4195">
        <v>1.51</v>
      </c>
      <c r="L4195">
        <v>0</v>
      </c>
    </row>
    <row r="4196" spans="1:12" x14ac:dyDescent="0.3">
      <c r="A4196" t="s">
        <v>4212</v>
      </c>
      <c r="B4196" t="s">
        <v>21</v>
      </c>
      <c r="C4196">
        <v>4997</v>
      </c>
      <c r="D4196">
        <v>14.99</v>
      </c>
      <c r="E4196">
        <v>2.7</v>
      </c>
      <c r="F4196">
        <f>COUNTIFS(mdr_rate_cleaned!$A$2:$A$10,B4196,mdr_rate_cleaned!$B$2:$B$10,"&lt;"&amp;C4196,mdr_rate_cleaned!$F$2:$F$10,"&gt;="&amp;C4196)</f>
        <v>1</v>
      </c>
      <c r="G4196">
        <v>3.0000000000000001E-3</v>
      </c>
      <c r="H4196">
        <v>14.99</v>
      </c>
      <c r="I4196" t="s">
        <v>15</v>
      </c>
      <c r="J4196" t="s">
        <v>15</v>
      </c>
      <c r="K4196">
        <v>2.7</v>
      </c>
      <c r="L4196">
        <v>0</v>
      </c>
    </row>
    <row r="4197" spans="1:12" x14ac:dyDescent="0.3">
      <c r="A4197" t="s">
        <v>4213</v>
      </c>
      <c r="B4197" t="s">
        <v>13</v>
      </c>
      <c r="C4197">
        <v>1499</v>
      </c>
      <c r="D4197">
        <v>28.48</v>
      </c>
      <c r="E4197">
        <v>5.13</v>
      </c>
      <c r="F4197">
        <f>COUNTIFS(mdr_rate_cleaned!$A$2:$A$10,B4197,mdr_rate_cleaned!$B$2:$B$10,"&lt;"&amp;C4197,mdr_rate_cleaned!$F$2:$F$10,"&gt;="&amp;C4197)</f>
        <v>1</v>
      </c>
      <c r="G4197">
        <v>1.9E-2</v>
      </c>
      <c r="H4197">
        <v>28.48</v>
      </c>
      <c r="I4197" t="s">
        <v>15</v>
      </c>
      <c r="J4197" t="s">
        <v>15</v>
      </c>
      <c r="K4197">
        <v>5.13</v>
      </c>
      <c r="L4197">
        <v>0</v>
      </c>
    </row>
    <row r="4198" spans="1:12" x14ac:dyDescent="0.3">
      <c r="A4198" t="s">
        <v>4214</v>
      </c>
      <c r="B4198" t="s">
        <v>21</v>
      </c>
      <c r="C4198">
        <v>3798</v>
      </c>
      <c r="D4198">
        <v>11.39</v>
      </c>
      <c r="E4198">
        <v>2.0499999999999998</v>
      </c>
      <c r="F4198">
        <f>COUNTIFS(mdr_rate_cleaned!$A$2:$A$10,B4198,mdr_rate_cleaned!$B$2:$B$10,"&lt;"&amp;C4198,mdr_rate_cleaned!$F$2:$F$10,"&gt;="&amp;C4198)</f>
        <v>1</v>
      </c>
      <c r="G4198">
        <v>3.0000000000000001E-3</v>
      </c>
      <c r="H4198">
        <v>11.39</v>
      </c>
      <c r="I4198" t="s">
        <v>15</v>
      </c>
      <c r="J4198" t="s">
        <v>15</v>
      </c>
      <c r="K4198">
        <v>2.0499999999999998</v>
      </c>
      <c r="L4198">
        <v>0</v>
      </c>
    </row>
    <row r="4199" spans="1:12" x14ac:dyDescent="0.3">
      <c r="A4199" t="s">
        <v>4215</v>
      </c>
      <c r="B4199" t="s">
        <v>39</v>
      </c>
      <c r="C4199">
        <v>2497</v>
      </c>
      <c r="D4199">
        <v>29.96</v>
      </c>
      <c r="E4199">
        <v>5.39</v>
      </c>
      <c r="F4199">
        <f>COUNTIFS(mdr_rate_cleaned!$A$2:$A$10,B4199,mdr_rate_cleaned!$B$2:$B$10,"&lt;"&amp;C4199,mdr_rate_cleaned!$F$2:$F$10,"&gt;="&amp;C4199)</f>
        <v>1</v>
      </c>
      <c r="G4199">
        <v>1.2E-2</v>
      </c>
      <c r="H4199">
        <v>29.96</v>
      </c>
      <c r="I4199" t="s">
        <v>15</v>
      </c>
      <c r="J4199" t="s">
        <v>15</v>
      </c>
      <c r="K4199">
        <v>5.39</v>
      </c>
      <c r="L4199">
        <v>0</v>
      </c>
    </row>
    <row r="4200" spans="1:12" x14ac:dyDescent="0.3">
      <c r="A4200" t="s">
        <v>4216</v>
      </c>
      <c r="B4200" t="s">
        <v>39</v>
      </c>
      <c r="C4200">
        <v>599</v>
      </c>
      <c r="D4200">
        <v>8.99</v>
      </c>
      <c r="E4200">
        <v>1.62</v>
      </c>
      <c r="F4200">
        <f>COUNTIFS(mdr_rate_cleaned!$A$2:$A$10,B4200,mdr_rate_cleaned!$B$2:$B$10,"&lt;"&amp;C4200,mdr_rate_cleaned!$F$2:$F$10,"&gt;="&amp;C4200)</f>
        <v>1</v>
      </c>
      <c r="G4200">
        <v>1.4999999999999999E-2</v>
      </c>
      <c r="H4200">
        <v>8.99</v>
      </c>
      <c r="I4200" t="s">
        <v>15</v>
      </c>
      <c r="J4200" t="s">
        <v>15</v>
      </c>
      <c r="K4200">
        <v>1.62</v>
      </c>
      <c r="L4200">
        <v>0</v>
      </c>
    </row>
    <row r="4201" spans="1:12" x14ac:dyDescent="0.3">
      <c r="A4201" t="s">
        <v>4217</v>
      </c>
      <c r="B4201" t="s">
        <v>21</v>
      </c>
      <c r="C4201">
        <v>2498</v>
      </c>
      <c r="D4201">
        <v>7.49</v>
      </c>
      <c r="E4201">
        <v>1.35</v>
      </c>
      <c r="F4201">
        <f>COUNTIFS(mdr_rate_cleaned!$A$2:$A$10,B4201,mdr_rate_cleaned!$B$2:$B$10,"&lt;"&amp;C4201,mdr_rate_cleaned!$F$2:$F$10,"&gt;="&amp;C4201)</f>
        <v>1</v>
      </c>
      <c r="G4201">
        <v>3.0000000000000001E-3</v>
      </c>
      <c r="H4201">
        <v>7.49</v>
      </c>
      <c r="I4201" t="s">
        <v>15</v>
      </c>
      <c r="J4201" t="s">
        <v>15</v>
      </c>
      <c r="K4201">
        <v>1.35</v>
      </c>
      <c r="L4201">
        <v>0</v>
      </c>
    </row>
    <row r="4202" spans="1:12" x14ac:dyDescent="0.3">
      <c r="A4202" t="s">
        <v>4218</v>
      </c>
      <c r="B4202" t="s">
        <v>21</v>
      </c>
      <c r="C4202">
        <v>4447</v>
      </c>
      <c r="D4202">
        <v>13.34</v>
      </c>
      <c r="E4202">
        <v>2.4</v>
      </c>
      <c r="F4202">
        <f>COUNTIFS(mdr_rate_cleaned!$A$2:$A$10,B4202,mdr_rate_cleaned!$B$2:$B$10,"&lt;"&amp;C4202,mdr_rate_cleaned!$F$2:$F$10,"&gt;="&amp;C4202)</f>
        <v>1</v>
      </c>
      <c r="G4202">
        <v>3.0000000000000001E-3</v>
      </c>
      <c r="H4202">
        <v>13.34</v>
      </c>
      <c r="I4202" t="s">
        <v>15</v>
      </c>
      <c r="J4202" t="s">
        <v>15</v>
      </c>
      <c r="K4202">
        <v>2.4</v>
      </c>
      <c r="L4202">
        <v>0</v>
      </c>
    </row>
    <row r="4203" spans="1:12" x14ac:dyDescent="0.3">
      <c r="A4203" t="s">
        <v>4219</v>
      </c>
      <c r="B4203" t="s">
        <v>21</v>
      </c>
      <c r="C4203">
        <v>599</v>
      </c>
      <c r="D4203">
        <v>0</v>
      </c>
      <c r="E4203">
        <v>0</v>
      </c>
      <c r="F4203">
        <f>COUNTIFS(mdr_rate_cleaned!$A$2:$A$10,B4203,mdr_rate_cleaned!$B$2:$B$10,"&lt;"&amp;C4203,mdr_rate_cleaned!$F$2:$F$10,"&gt;="&amp;C4203)</f>
        <v>1</v>
      </c>
      <c r="G4203">
        <v>0</v>
      </c>
      <c r="H4203">
        <v>0</v>
      </c>
      <c r="I4203" t="s">
        <v>15</v>
      </c>
      <c r="J4203" t="s">
        <v>15</v>
      </c>
      <c r="K4203">
        <v>0</v>
      </c>
      <c r="L4203">
        <v>0</v>
      </c>
    </row>
    <row r="4204" spans="1:12" x14ac:dyDescent="0.3">
      <c r="A4204" t="s">
        <v>4220</v>
      </c>
      <c r="B4204" t="s">
        <v>21</v>
      </c>
      <c r="C4204">
        <v>299</v>
      </c>
      <c r="D4204">
        <v>0</v>
      </c>
      <c r="E4204">
        <v>0</v>
      </c>
      <c r="F4204">
        <f>COUNTIFS(mdr_rate_cleaned!$A$2:$A$10,B4204,mdr_rate_cleaned!$B$2:$B$10,"&lt;"&amp;C4204,mdr_rate_cleaned!$F$2:$F$10,"&gt;="&amp;C4204)</f>
        <v>1</v>
      </c>
      <c r="G4204">
        <v>0</v>
      </c>
      <c r="H4204">
        <v>0</v>
      </c>
      <c r="I4204" t="s">
        <v>15</v>
      </c>
      <c r="J4204" t="s">
        <v>15</v>
      </c>
      <c r="K4204">
        <v>0</v>
      </c>
      <c r="L4204">
        <v>0</v>
      </c>
    </row>
    <row r="4205" spans="1:12" x14ac:dyDescent="0.3">
      <c r="A4205" t="s">
        <v>4221</v>
      </c>
      <c r="B4205" t="s">
        <v>21</v>
      </c>
      <c r="C4205">
        <v>4999</v>
      </c>
      <c r="D4205">
        <v>15</v>
      </c>
      <c r="E4205">
        <v>2.7</v>
      </c>
      <c r="F4205">
        <f>COUNTIFS(mdr_rate_cleaned!$A$2:$A$10,B4205,mdr_rate_cleaned!$B$2:$B$10,"&lt;"&amp;C4205,mdr_rate_cleaned!$F$2:$F$10,"&gt;="&amp;C4205)</f>
        <v>1</v>
      </c>
      <c r="G4205">
        <v>3.0000000000000001E-3</v>
      </c>
      <c r="H4205">
        <v>15</v>
      </c>
      <c r="I4205" t="s">
        <v>15</v>
      </c>
      <c r="J4205" t="s">
        <v>15</v>
      </c>
      <c r="K4205">
        <v>2.7</v>
      </c>
      <c r="L4205">
        <v>0</v>
      </c>
    </row>
    <row r="4206" spans="1:12" x14ac:dyDescent="0.3">
      <c r="A4206" t="s">
        <v>4222</v>
      </c>
      <c r="B4206" t="s">
        <v>13</v>
      </c>
      <c r="C4206">
        <v>1648</v>
      </c>
      <c r="D4206">
        <v>31.31</v>
      </c>
      <c r="E4206">
        <v>5.64</v>
      </c>
      <c r="F4206">
        <f>COUNTIFS(mdr_rate_cleaned!$A$2:$A$10,B4206,mdr_rate_cleaned!$B$2:$B$10,"&lt;"&amp;C4206,mdr_rate_cleaned!$F$2:$F$10,"&gt;="&amp;C4206)</f>
        <v>1</v>
      </c>
      <c r="G4206">
        <v>1.9E-2</v>
      </c>
      <c r="H4206">
        <v>31.31</v>
      </c>
      <c r="I4206" t="s">
        <v>15</v>
      </c>
      <c r="J4206" t="s">
        <v>15</v>
      </c>
      <c r="K4206">
        <v>5.64</v>
      </c>
      <c r="L4206">
        <v>0</v>
      </c>
    </row>
    <row r="4207" spans="1:12" x14ac:dyDescent="0.3">
      <c r="A4207" t="s">
        <v>4223</v>
      </c>
      <c r="B4207" t="s">
        <v>21</v>
      </c>
      <c r="C4207">
        <v>2798</v>
      </c>
      <c r="D4207">
        <v>8.39</v>
      </c>
      <c r="E4207">
        <v>1.51</v>
      </c>
      <c r="F4207">
        <f>COUNTIFS(mdr_rate_cleaned!$A$2:$A$10,B4207,mdr_rate_cleaned!$B$2:$B$10,"&lt;"&amp;C4207,mdr_rate_cleaned!$F$2:$F$10,"&gt;="&amp;C4207)</f>
        <v>1</v>
      </c>
      <c r="G4207">
        <v>3.0000000000000001E-3</v>
      </c>
      <c r="H4207">
        <v>8.39</v>
      </c>
      <c r="I4207" t="s">
        <v>15</v>
      </c>
      <c r="J4207" t="s">
        <v>15</v>
      </c>
      <c r="K4207">
        <v>1.51</v>
      </c>
      <c r="L4207">
        <v>0</v>
      </c>
    </row>
    <row r="4208" spans="1:12" x14ac:dyDescent="0.3">
      <c r="A4208" t="s">
        <v>4224</v>
      </c>
      <c r="B4208" t="s">
        <v>13</v>
      </c>
      <c r="C4208">
        <v>11297</v>
      </c>
      <c r="D4208">
        <v>192.05</v>
      </c>
      <c r="E4208">
        <v>34.57</v>
      </c>
      <c r="F4208">
        <f>COUNTIFS(mdr_rate_cleaned!$A$2:$A$10,B4208,mdr_rate_cleaned!$B$2:$B$10,"&lt;"&amp;C4208,mdr_rate_cleaned!$F$2:$F$10,"&gt;="&amp;C4208)</f>
        <v>1</v>
      </c>
      <c r="G4208">
        <v>1.7000000000000001E-2</v>
      </c>
      <c r="H4208">
        <v>192.05</v>
      </c>
      <c r="I4208" t="s">
        <v>15</v>
      </c>
      <c r="J4208" t="s">
        <v>15</v>
      </c>
      <c r="K4208">
        <v>34.57</v>
      </c>
      <c r="L4208">
        <v>0</v>
      </c>
    </row>
    <row r="4209" spans="1:12" x14ac:dyDescent="0.3">
      <c r="A4209" t="s">
        <v>4225</v>
      </c>
      <c r="B4209" t="s">
        <v>17</v>
      </c>
      <c r="C4209">
        <v>799</v>
      </c>
      <c r="D4209">
        <v>14.38</v>
      </c>
      <c r="E4209">
        <v>2.59</v>
      </c>
      <c r="F4209">
        <f>COUNTIFS(mdr_rate_cleaned!$A$2:$A$10,B4209,mdr_rate_cleaned!$B$2:$B$10,"&lt;"&amp;C4209,mdr_rate_cleaned!$F$2:$F$10,"&gt;="&amp;C4209)</f>
        <v>1</v>
      </c>
      <c r="G4209">
        <v>1.7999999999999999E-2</v>
      </c>
      <c r="H4209">
        <v>14.38</v>
      </c>
      <c r="I4209" t="s">
        <v>15</v>
      </c>
      <c r="J4209" t="s">
        <v>15</v>
      </c>
      <c r="K4209">
        <v>2.59</v>
      </c>
      <c r="L4209">
        <v>0</v>
      </c>
    </row>
    <row r="4210" spans="1:12" x14ac:dyDescent="0.3">
      <c r="A4210" t="s">
        <v>4226</v>
      </c>
      <c r="B4210" t="s">
        <v>17</v>
      </c>
      <c r="C4210">
        <v>5597</v>
      </c>
      <c r="D4210">
        <v>89.55</v>
      </c>
      <c r="E4210">
        <v>16.12</v>
      </c>
      <c r="F4210">
        <f>COUNTIFS(mdr_rate_cleaned!$A$2:$A$10,B4210,mdr_rate_cleaned!$B$2:$B$10,"&lt;"&amp;C4210,mdr_rate_cleaned!$F$2:$F$10,"&gt;="&amp;C4210)</f>
        <v>1</v>
      </c>
      <c r="G4210">
        <v>1.6E-2</v>
      </c>
      <c r="H4210">
        <v>89.55</v>
      </c>
      <c r="I4210" t="s">
        <v>15</v>
      </c>
      <c r="J4210" t="s">
        <v>15</v>
      </c>
      <c r="K4210">
        <v>16.12</v>
      </c>
      <c r="L4210">
        <v>0</v>
      </c>
    </row>
    <row r="4211" spans="1:12" x14ac:dyDescent="0.3">
      <c r="A4211" t="s">
        <v>4227</v>
      </c>
      <c r="B4211" t="s">
        <v>21</v>
      </c>
      <c r="C4211">
        <v>3499</v>
      </c>
      <c r="D4211">
        <v>10.5</v>
      </c>
      <c r="E4211">
        <v>1.89</v>
      </c>
      <c r="F4211">
        <f>COUNTIFS(mdr_rate_cleaned!$A$2:$A$10,B4211,mdr_rate_cleaned!$B$2:$B$10,"&lt;"&amp;C4211,mdr_rate_cleaned!$F$2:$F$10,"&gt;="&amp;C4211)</f>
        <v>1</v>
      </c>
      <c r="G4211">
        <v>3.0000000000000001E-3</v>
      </c>
      <c r="H4211">
        <v>10.5</v>
      </c>
      <c r="I4211" t="s">
        <v>15</v>
      </c>
      <c r="J4211" t="s">
        <v>15</v>
      </c>
      <c r="K4211">
        <v>1.89</v>
      </c>
      <c r="L4211">
        <v>0</v>
      </c>
    </row>
    <row r="4212" spans="1:12" x14ac:dyDescent="0.3">
      <c r="A4212" t="s">
        <v>4228</v>
      </c>
      <c r="B4212" t="s">
        <v>21</v>
      </c>
      <c r="C4212">
        <v>3499</v>
      </c>
      <c r="D4212">
        <v>10.5</v>
      </c>
      <c r="E4212">
        <v>1.89</v>
      </c>
      <c r="F4212">
        <f>COUNTIFS(mdr_rate_cleaned!$A$2:$A$10,B4212,mdr_rate_cleaned!$B$2:$B$10,"&lt;"&amp;C4212,mdr_rate_cleaned!$F$2:$F$10,"&gt;="&amp;C4212)</f>
        <v>1</v>
      </c>
      <c r="G4212">
        <v>3.0000000000000001E-3</v>
      </c>
      <c r="H4212">
        <v>10.5</v>
      </c>
      <c r="I4212" t="s">
        <v>15</v>
      </c>
      <c r="J4212" t="s">
        <v>15</v>
      </c>
      <c r="K4212">
        <v>1.89</v>
      </c>
      <c r="L4212">
        <v>0</v>
      </c>
    </row>
    <row r="4213" spans="1:12" x14ac:dyDescent="0.3">
      <c r="A4213" t="s">
        <v>4229</v>
      </c>
      <c r="B4213" t="s">
        <v>13</v>
      </c>
      <c r="C4213">
        <v>7999</v>
      </c>
      <c r="D4213">
        <v>135.97999999999999</v>
      </c>
      <c r="E4213">
        <v>24.48</v>
      </c>
      <c r="F4213">
        <f>COUNTIFS(mdr_rate_cleaned!$A$2:$A$10,B4213,mdr_rate_cleaned!$B$2:$B$10,"&lt;"&amp;C4213,mdr_rate_cleaned!$F$2:$F$10,"&gt;="&amp;C4213)</f>
        <v>1</v>
      </c>
      <c r="G4213">
        <v>1.7000000000000001E-2</v>
      </c>
      <c r="H4213">
        <v>135.97999999999999</v>
      </c>
      <c r="I4213" t="s">
        <v>15</v>
      </c>
      <c r="J4213" t="s">
        <v>15</v>
      </c>
      <c r="K4213">
        <v>24.48</v>
      </c>
      <c r="L4213">
        <v>0</v>
      </c>
    </row>
    <row r="4214" spans="1:12" x14ac:dyDescent="0.3">
      <c r="A4214" t="s">
        <v>4230</v>
      </c>
      <c r="B4214" t="s">
        <v>13</v>
      </c>
      <c r="C4214">
        <v>799</v>
      </c>
      <c r="D4214">
        <v>15.18</v>
      </c>
      <c r="E4214">
        <v>2.73</v>
      </c>
      <c r="F4214">
        <f>COUNTIFS(mdr_rate_cleaned!$A$2:$A$10,B4214,mdr_rate_cleaned!$B$2:$B$10,"&lt;"&amp;C4214,mdr_rate_cleaned!$F$2:$F$10,"&gt;="&amp;C4214)</f>
        <v>1</v>
      </c>
      <c r="G4214">
        <v>1.9E-2</v>
      </c>
      <c r="H4214">
        <v>15.18</v>
      </c>
      <c r="I4214" t="s">
        <v>15</v>
      </c>
      <c r="J4214" t="s">
        <v>15</v>
      </c>
      <c r="K4214">
        <v>2.73</v>
      </c>
      <c r="L4214">
        <v>0</v>
      </c>
    </row>
    <row r="4215" spans="1:12" x14ac:dyDescent="0.3">
      <c r="A4215" t="s">
        <v>4231</v>
      </c>
      <c r="B4215" t="s">
        <v>21</v>
      </c>
      <c r="C4215">
        <v>6498</v>
      </c>
      <c r="D4215">
        <v>19.489999999999998</v>
      </c>
      <c r="E4215">
        <v>3.51</v>
      </c>
      <c r="F4215">
        <f>COUNTIFS(mdr_rate_cleaned!$A$2:$A$10,B4215,mdr_rate_cleaned!$B$2:$B$10,"&lt;"&amp;C4215,mdr_rate_cleaned!$F$2:$F$10,"&gt;="&amp;C4215)</f>
        <v>1</v>
      </c>
      <c r="G4215">
        <v>3.0000000000000001E-3</v>
      </c>
      <c r="H4215">
        <v>19.489999999999998</v>
      </c>
      <c r="I4215" t="s">
        <v>15</v>
      </c>
      <c r="J4215" t="s">
        <v>15</v>
      </c>
      <c r="K4215">
        <v>3.51</v>
      </c>
      <c r="L4215">
        <v>0</v>
      </c>
    </row>
    <row r="4216" spans="1:12" x14ac:dyDescent="0.3">
      <c r="A4216" t="s">
        <v>4232</v>
      </c>
      <c r="B4216" t="s">
        <v>13</v>
      </c>
      <c r="C4216">
        <v>599</v>
      </c>
      <c r="D4216">
        <v>11.38</v>
      </c>
      <c r="E4216">
        <v>2.0499999999999998</v>
      </c>
      <c r="F4216">
        <f>COUNTIFS(mdr_rate_cleaned!$A$2:$A$10,B4216,mdr_rate_cleaned!$B$2:$B$10,"&lt;"&amp;C4216,mdr_rate_cleaned!$F$2:$F$10,"&gt;="&amp;C4216)</f>
        <v>1</v>
      </c>
      <c r="G4216">
        <v>1.9E-2</v>
      </c>
      <c r="H4216">
        <v>11.38</v>
      </c>
      <c r="I4216" t="s">
        <v>15</v>
      </c>
      <c r="J4216" t="s">
        <v>15</v>
      </c>
      <c r="K4216">
        <v>2.0499999999999998</v>
      </c>
      <c r="L4216">
        <v>0</v>
      </c>
    </row>
    <row r="4217" spans="1:12" x14ac:dyDescent="0.3">
      <c r="A4217" t="s">
        <v>4233</v>
      </c>
      <c r="B4217" t="s">
        <v>17</v>
      </c>
      <c r="C4217">
        <v>998</v>
      </c>
      <c r="D4217">
        <v>17.96</v>
      </c>
      <c r="E4217">
        <v>3.23</v>
      </c>
      <c r="F4217">
        <f>COUNTIFS(mdr_rate_cleaned!$A$2:$A$10,B4217,mdr_rate_cleaned!$B$2:$B$10,"&lt;"&amp;C4217,mdr_rate_cleaned!$F$2:$F$10,"&gt;="&amp;C4217)</f>
        <v>1</v>
      </c>
      <c r="G4217">
        <v>1.7999999999999999E-2</v>
      </c>
      <c r="H4217">
        <v>17.96</v>
      </c>
      <c r="I4217" t="s">
        <v>15</v>
      </c>
      <c r="J4217" t="s">
        <v>15</v>
      </c>
      <c r="K4217">
        <v>3.23</v>
      </c>
      <c r="L4217">
        <v>0</v>
      </c>
    </row>
    <row r="4218" spans="1:12" x14ac:dyDescent="0.3">
      <c r="A4218" t="s">
        <v>4234</v>
      </c>
      <c r="B4218" t="s">
        <v>21</v>
      </c>
      <c r="C4218">
        <v>4999</v>
      </c>
      <c r="D4218">
        <v>15</v>
      </c>
      <c r="E4218">
        <v>2.7</v>
      </c>
      <c r="F4218">
        <f>COUNTIFS(mdr_rate_cleaned!$A$2:$A$10,B4218,mdr_rate_cleaned!$B$2:$B$10,"&lt;"&amp;C4218,mdr_rate_cleaned!$F$2:$F$10,"&gt;="&amp;C4218)</f>
        <v>1</v>
      </c>
      <c r="G4218">
        <v>3.0000000000000001E-3</v>
      </c>
      <c r="H4218">
        <v>15</v>
      </c>
      <c r="I4218" t="s">
        <v>15</v>
      </c>
      <c r="J4218" t="s">
        <v>15</v>
      </c>
      <c r="K4218">
        <v>2.7</v>
      </c>
      <c r="L4218">
        <v>0</v>
      </c>
    </row>
    <row r="4219" spans="1:12" x14ac:dyDescent="0.3">
      <c r="A4219" t="s">
        <v>4235</v>
      </c>
      <c r="B4219" t="s">
        <v>17</v>
      </c>
      <c r="C4219">
        <v>2999</v>
      </c>
      <c r="D4219">
        <v>47.98</v>
      </c>
      <c r="E4219">
        <v>8.64</v>
      </c>
      <c r="F4219">
        <f>COUNTIFS(mdr_rate_cleaned!$A$2:$A$10,B4219,mdr_rate_cleaned!$B$2:$B$10,"&lt;"&amp;C4219,mdr_rate_cleaned!$F$2:$F$10,"&gt;="&amp;C4219)</f>
        <v>1</v>
      </c>
      <c r="G4219">
        <v>1.6E-2</v>
      </c>
      <c r="H4219">
        <v>47.98</v>
      </c>
      <c r="I4219" t="s">
        <v>15</v>
      </c>
      <c r="J4219" t="s">
        <v>15</v>
      </c>
      <c r="K4219">
        <v>8.64</v>
      </c>
      <c r="L4219">
        <v>0</v>
      </c>
    </row>
    <row r="4220" spans="1:12" x14ac:dyDescent="0.3">
      <c r="A4220" t="s">
        <v>4236</v>
      </c>
      <c r="B4220" t="s">
        <v>13</v>
      </c>
      <c r="C4220">
        <v>17297</v>
      </c>
      <c r="D4220">
        <v>294.05</v>
      </c>
      <c r="E4220">
        <v>52.93</v>
      </c>
      <c r="F4220">
        <f>COUNTIFS(mdr_rate_cleaned!$A$2:$A$10,B4220,mdr_rate_cleaned!$B$2:$B$10,"&lt;"&amp;C4220,mdr_rate_cleaned!$F$2:$F$10,"&gt;="&amp;C4220)</f>
        <v>1</v>
      </c>
      <c r="G4220">
        <v>1.7000000000000001E-2</v>
      </c>
      <c r="H4220">
        <v>294.05</v>
      </c>
      <c r="I4220" t="s">
        <v>15</v>
      </c>
      <c r="J4220" t="s">
        <v>15</v>
      </c>
      <c r="K4220">
        <v>52.93</v>
      </c>
      <c r="L4220">
        <v>0</v>
      </c>
    </row>
    <row r="4221" spans="1:12" x14ac:dyDescent="0.3">
      <c r="A4221" t="s">
        <v>4237</v>
      </c>
      <c r="B4221" t="s">
        <v>21</v>
      </c>
      <c r="C4221">
        <v>2197</v>
      </c>
      <c r="D4221">
        <v>6.59</v>
      </c>
      <c r="E4221">
        <v>1.19</v>
      </c>
      <c r="F4221">
        <f>COUNTIFS(mdr_rate_cleaned!$A$2:$A$10,B4221,mdr_rate_cleaned!$B$2:$B$10,"&lt;"&amp;C4221,mdr_rate_cleaned!$F$2:$F$10,"&gt;="&amp;C4221)</f>
        <v>1</v>
      </c>
      <c r="G4221">
        <v>3.0000000000000001E-3</v>
      </c>
      <c r="H4221">
        <v>6.59</v>
      </c>
      <c r="I4221" t="s">
        <v>15</v>
      </c>
      <c r="J4221" t="s">
        <v>15</v>
      </c>
      <c r="K4221">
        <v>1.19</v>
      </c>
      <c r="L4221">
        <v>0</v>
      </c>
    </row>
    <row r="4222" spans="1:12" x14ac:dyDescent="0.3">
      <c r="A4222" t="s">
        <v>4238</v>
      </c>
      <c r="B4222" t="s">
        <v>21</v>
      </c>
      <c r="C4222">
        <v>299</v>
      </c>
      <c r="D4222">
        <v>0</v>
      </c>
      <c r="E4222">
        <v>0</v>
      </c>
      <c r="F4222">
        <f>COUNTIFS(mdr_rate_cleaned!$A$2:$A$10,B4222,mdr_rate_cleaned!$B$2:$B$10,"&lt;"&amp;C4222,mdr_rate_cleaned!$F$2:$F$10,"&gt;="&amp;C4222)</f>
        <v>1</v>
      </c>
      <c r="G4222">
        <v>0</v>
      </c>
      <c r="H4222">
        <v>0</v>
      </c>
      <c r="I4222" t="s">
        <v>15</v>
      </c>
      <c r="J4222" t="s">
        <v>15</v>
      </c>
      <c r="K4222">
        <v>0</v>
      </c>
      <c r="L4222">
        <v>0</v>
      </c>
    </row>
    <row r="4223" spans="1:12" x14ac:dyDescent="0.3">
      <c r="A4223" t="s">
        <v>4239</v>
      </c>
      <c r="B4223" t="s">
        <v>17</v>
      </c>
      <c r="C4223">
        <v>7797</v>
      </c>
      <c r="D4223">
        <v>124.75</v>
      </c>
      <c r="E4223">
        <v>22.46</v>
      </c>
      <c r="F4223">
        <f>COUNTIFS(mdr_rate_cleaned!$A$2:$A$10,B4223,mdr_rate_cleaned!$B$2:$B$10,"&lt;"&amp;C4223,mdr_rate_cleaned!$F$2:$F$10,"&gt;="&amp;C4223)</f>
        <v>1</v>
      </c>
      <c r="G4223">
        <v>1.6E-2</v>
      </c>
      <c r="H4223">
        <v>124.75</v>
      </c>
      <c r="I4223" t="s">
        <v>15</v>
      </c>
      <c r="J4223" t="s">
        <v>15</v>
      </c>
      <c r="K4223">
        <v>22.46</v>
      </c>
      <c r="L4223">
        <v>0</v>
      </c>
    </row>
    <row r="4224" spans="1:12" x14ac:dyDescent="0.3">
      <c r="A4224" t="s">
        <v>4240</v>
      </c>
      <c r="B4224" t="s">
        <v>21</v>
      </c>
      <c r="C4224">
        <v>8348</v>
      </c>
      <c r="D4224">
        <v>25.04</v>
      </c>
      <c r="E4224">
        <v>4.51</v>
      </c>
      <c r="F4224">
        <f>COUNTIFS(mdr_rate_cleaned!$A$2:$A$10,B4224,mdr_rate_cleaned!$B$2:$B$10,"&lt;"&amp;C4224,mdr_rate_cleaned!$F$2:$F$10,"&gt;="&amp;C4224)</f>
        <v>1</v>
      </c>
      <c r="G4224">
        <v>3.0000000000000001E-3</v>
      </c>
      <c r="H4224">
        <v>25.04</v>
      </c>
      <c r="I4224" t="s">
        <v>15</v>
      </c>
      <c r="J4224" t="s">
        <v>15</v>
      </c>
      <c r="K4224">
        <v>4.51</v>
      </c>
      <c r="L4224">
        <v>0</v>
      </c>
    </row>
    <row r="4225" spans="1:12" x14ac:dyDescent="0.3">
      <c r="A4225" t="s">
        <v>4241</v>
      </c>
      <c r="B4225" t="s">
        <v>21</v>
      </c>
      <c r="C4225">
        <v>3499</v>
      </c>
      <c r="D4225">
        <v>10.5</v>
      </c>
      <c r="E4225">
        <v>1.89</v>
      </c>
      <c r="F4225">
        <f>COUNTIFS(mdr_rate_cleaned!$A$2:$A$10,B4225,mdr_rate_cleaned!$B$2:$B$10,"&lt;"&amp;C4225,mdr_rate_cleaned!$F$2:$F$10,"&gt;="&amp;C4225)</f>
        <v>1</v>
      </c>
      <c r="G4225">
        <v>3.0000000000000001E-3</v>
      </c>
      <c r="H4225">
        <v>10.5</v>
      </c>
      <c r="I4225" t="s">
        <v>15</v>
      </c>
      <c r="J4225" t="s">
        <v>15</v>
      </c>
      <c r="K4225">
        <v>1.89</v>
      </c>
      <c r="L4225">
        <v>0</v>
      </c>
    </row>
    <row r="4226" spans="1:12" x14ac:dyDescent="0.3">
      <c r="A4226" t="s">
        <v>4242</v>
      </c>
      <c r="B4226" t="s">
        <v>39</v>
      </c>
      <c r="C4226">
        <v>8348</v>
      </c>
      <c r="D4226">
        <v>100.18</v>
      </c>
      <c r="E4226">
        <v>18.03</v>
      </c>
      <c r="F4226">
        <f>COUNTIFS(mdr_rate_cleaned!$A$2:$A$10,B4226,mdr_rate_cleaned!$B$2:$B$10,"&lt;"&amp;C4226,mdr_rate_cleaned!$F$2:$F$10,"&gt;="&amp;C4226)</f>
        <v>1</v>
      </c>
      <c r="G4226">
        <v>1.2E-2</v>
      </c>
      <c r="H4226">
        <v>100.18</v>
      </c>
      <c r="I4226" t="s">
        <v>15</v>
      </c>
      <c r="J4226" t="s">
        <v>15</v>
      </c>
      <c r="K4226">
        <v>18.03</v>
      </c>
      <c r="L4226">
        <v>0</v>
      </c>
    </row>
    <row r="4227" spans="1:12" x14ac:dyDescent="0.3">
      <c r="A4227" t="s">
        <v>4243</v>
      </c>
      <c r="B4227" t="s">
        <v>21</v>
      </c>
      <c r="C4227">
        <v>5798</v>
      </c>
      <c r="D4227">
        <v>17.39</v>
      </c>
      <c r="E4227">
        <v>3.13</v>
      </c>
      <c r="F4227">
        <f>COUNTIFS(mdr_rate_cleaned!$A$2:$A$10,B4227,mdr_rate_cleaned!$B$2:$B$10,"&lt;"&amp;C4227,mdr_rate_cleaned!$F$2:$F$10,"&gt;="&amp;C4227)</f>
        <v>1</v>
      </c>
      <c r="G4227">
        <v>3.0000000000000001E-3</v>
      </c>
      <c r="H4227">
        <v>17.39</v>
      </c>
      <c r="I4227" t="s">
        <v>15</v>
      </c>
      <c r="J4227" t="s">
        <v>15</v>
      </c>
      <c r="K4227">
        <v>3.13</v>
      </c>
      <c r="L4227">
        <v>0</v>
      </c>
    </row>
    <row r="4228" spans="1:12" x14ac:dyDescent="0.3">
      <c r="A4228" t="s">
        <v>4244</v>
      </c>
      <c r="B4228" t="s">
        <v>39</v>
      </c>
      <c r="C4228">
        <v>3798</v>
      </c>
      <c r="D4228">
        <v>45.58</v>
      </c>
      <c r="E4228">
        <v>8.1999999999999993</v>
      </c>
      <c r="F4228">
        <f>COUNTIFS(mdr_rate_cleaned!$A$2:$A$10,B4228,mdr_rate_cleaned!$B$2:$B$10,"&lt;"&amp;C4228,mdr_rate_cleaned!$F$2:$F$10,"&gt;="&amp;C4228)</f>
        <v>1</v>
      </c>
      <c r="G4228">
        <v>1.2E-2</v>
      </c>
      <c r="H4228">
        <v>45.58</v>
      </c>
      <c r="I4228" t="s">
        <v>15</v>
      </c>
      <c r="J4228" t="s">
        <v>15</v>
      </c>
      <c r="K4228">
        <v>8.1999999999999993</v>
      </c>
      <c r="L4228">
        <v>0</v>
      </c>
    </row>
    <row r="4229" spans="1:12" x14ac:dyDescent="0.3">
      <c r="A4229" t="s">
        <v>4245</v>
      </c>
      <c r="B4229" t="s">
        <v>21</v>
      </c>
      <c r="C4229">
        <v>599</v>
      </c>
      <c r="D4229">
        <v>0</v>
      </c>
      <c r="E4229">
        <v>0</v>
      </c>
      <c r="F4229">
        <f>COUNTIFS(mdr_rate_cleaned!$A$2:$A$10,B4229,mdr_rate_cleaned!$B$2:$B$10,"&lt;"&amp;C4229,mdr_rate_cleaned!$F$2:$F$10,"&gt;="&amp;C4229)</f>
        <v>1</v>
      </c>
      <c r="G4229">
        <v>0</v>
      </c>
      <c r="H4229">
        <v>0</v>
      </c>
      <c r="I4229" t="s">
        <v>15</v>
      </c>
      <c r="J4229" t="s">
        <v>15</v>
      </c>
      <c r="K4229">
        <v>0</v>
      </c>
      <c r="L4229">
        <v>0</v>
      </c>
    </row>
    <row r="4230" spans="1:12" x14ac:dyDescent="0.3">
      <c r="A4230" t="s">
        <v>4246</v>
      </c>
      <c r="B4230" t="s">
        <v>21</v>
      </c>
      <c r="C4230">
        <v>349</v>
      </c>
      <c r="D4230">
        <v>0</v>
      </c>
      <c r="E4230">
        <v>0</v>
      </c>
      <c r="F4230">
        <f>COUNTIFS(mdr_rate_cleaned!$A$2:$A$10,B4230,mdr_rate_cleaned!$B$2:$B$10,"&lt;"&amp;C4230,mdr_rate_cleaned!$F$2:$F$10,"&gt;="&amp;C4230)</f>
        <v>1</v>
      </c>
      <c r="G4230">
        <v>0</v>
      </c>
      <c r="H4230">
        <v>0</v>
      </c>
      <c r="I4230" t="s">
        <v>15</v>
      </c>
      <c r="J4230" t="s">
        <v>15</v>
      </c>
      <c r="K4230">
        <v>0</v>
      </c>
      <c r="L4230">
        <v>0</v>
      </c>
    </row>
    <row r="4231" spans="1:12" x14ac:dyDescent="0.3">
      <c r="A4231" t="s">
        <v>4247</v>
      </c>
      <c r="B4231" t="s">
        <v>13</v>
      </c>
      <c r="C4231">
        <v>6798</v>
      </c>
      <c r="D4231">
        <v>115.57</v>
      </c>
      <c r="E4231">
        <v>20.8</v>
      </c>
      <c r="F4231">
        <f>COUNTIFS(mdr_rate_cleaned!$A$2:$A$10,B4231,mdr_rate_cleaned!$B$2:$B$10,"&lt;"&amp;C4231,mdr_rate_cleaned!$F$2:$F$10,"&gt;="&amp;C4231)</f>
        <v>1</v>
      </c>
      <c r="G4231">
        <v>1.7000000000000001E-2</v>
      </c>
      <c r="H4231">
        <v>115.57</v>
      </c>
      <c r="I4231" t="s">
        <v>15</v>
      </c>
      <c r="J4231" t="s">
        <v>15</v>
      </c>
      <c r="K4231">
        <v>20.8</v>
      </c>
      <c r="L4231">
        <v>0</v>
      </c>
    </row>
    <row r="4232" spans="1:12" x14ac:dyDescent="0.3">
      <c r="A4232" t="s">
        <v>4248</v>
      </c>
      <c r="B4232" t="s">
        <v>21</v>
      </c>
      <c r="C4232">
        <v>2499</v>
      </c>
      <c r="D4232">
        <v>7.5</v>
      </c>
      <c r="E4232">
        <v>1.35</v>
      </c>
      <c r="F4232">
        <f>COUNTIFS(mdr_rate_cleaned!$A$2:$A$10,B4232,mdr_rate_cleaned!$B$2:$B$10,"&lt;"&amp;C4232,mdr_rate_cleaned!$F$2:$F$10,"&gt;="&amp;C4232)</f>
        <v>1</v>
      </c>
      <c r="G4232">
        <v>3.0000000000000001E-3</v>
      </c>
      <c r="H4232">
        <v>7.5</v>
      </c>
      <c r="I4232" t="s">
        <v>15</v>
      </c>
      <c r="J4232" t="s">
        <v>15</v>
      </c>
      <c r="K4232">
        <v>1.35</v>
      </c>
      <c r="L4232">
        <v>0</v>
      </c>
    </row>
    <row r="4233" spans="1:12" x14ac:dyDescent="0.3">
      <c r="A4233" t="s">
        <v>4249</v>
      </c>
      <c r="B4233" t="s">
        <v>21</v>
      </c>
      <c r="C4233">
        <v>5598</v>
      </c>
      <c r="D4233">
        <v>16.79</v>
      </c>
      <c r="E4233">
        <v>3.02</v>
      </c>
      <c r="F4233">
        <f>COUNTIFS(mdr_rate_cleaned!$A$2:$A$10,B4233,mdr_rate_cleaned!$B$2:$B$10,"&lt;"&amp;C4233,mdr_rate_cleaned!$F$2:$F$10,"&gt;="&amp;C4233)</f>
        <v>1</v>
      </c>
      <c r="G4233">
        <v>3.0000000000000001E-3</v>
      </c>
      <c r="H4233">
        <v>16.79</v>
      </c>
      <c r="I4233" t="s">
        <v>15</v>
      </c>
      <c r="J4233" t="s">
        <v>15</v>
      </c>
      <c r="K4233">
        <v>3.02</v>
      </c>
      <c r="L4233">
        <v>0</v>
      </c>
    </row>
    <row r="4234" spans="1:12" x14ac:dyDescent="0.3">
      <c r="A4234" t="s">
        <v>4250</v>
      </c>
      <c r="B4234" t="s">
        <v>21</v>
      </c>
      <c r="C4234">
        <v>7999</v>
      </c>
      <c r="D4234">
        <v>24</v>
      </c>
      <c r="E4234">
        <v>4.32</v>
      </c>
      <c r="F4234">
        <f>COUNTIFS(mdr_rate_cleaned!$A$2:$A$10,B4234,mdr_rate_cleaned!$B$2:$B$10,"&lt;"&amp;C4234,mdr_rate_cleaned!$F$2:$F$10,"&gt;="&amp;C4234)</f>
        <v>1</v>
      </c>
      <c r="G4234">
        <v>3.0000000000000001E-3</v>
      </c>
      <c r="H4234">
        <v>24</v>
      </c>
      <c r="I4234" t="s">
        <v>15</v>
      </c>
      <c r="J4234" t="s">
        <v>15</v>
      </c>
      <c r="K4234">
        <v>4.32</v>
      </c>
      <c r="L4234">
        <v>0</v>
      </c>
    </row>
    <row r="4235" spans="1:12" x14ac:dyDescent="0.3">
      <c r="A4235" t="s">
        <v>4251</v>
      </c>
      <c r="B4235" t="s">
        <v>13</v>
      </c>
      <c r="C4235">
        <v>3098</v>
      </c>
      <c r="D4235">
        <v>52.67</v>
      </c>
      <c r="E4235">
        <v>9.48</v>
      </c>
      <c r="F4235">
        <f>COUNTIFS(mdr_rate_cleaned!$A$2:$A$10,B4235,mdr_rate_cleaned!$B$2:$B$10,"&lt;"&amp;C4235,mdr_rate_cleaned!$F$2:$F$10,"&gt;="&amp;C4235)</f>
        <v>1</v>
      </c>
      <c r="G4235">
        <v>1.7000000000000001E-2</v>
      </c>
      <c r="H4235">
        <v>52.67</v>
      </c>
      <c r="I4235" t="s">
        <v>15</v>
      </c>
      <c r="J4235" t="s">
        <v>15</v>
      </c>
      <c r="K4235">
        <v>9.48</v>
      </c>
      <c r="L4235">
        <v>0</v>
      </c>
    </row>
    <row r="4236" spans="1:12" x14ac:dyDescent="0.3">
      <c r="A4236" t="s">
        <v>4252</v>
      </c>
      <c r="B4236" t="s">
        <v>21</v>
      </c>
      <c r="C4236">
        <v>1597</v>
      </c>
      <c r="D4236">
        <v>0</v>
      </c>
      <c r="E4236">
        <v>0</v>
      </c>
      <c r="F4236">
        <f>COUNTIFS(mdr_rate_cleaned!$A$2:$A$10,B4236,mdr_rate_cleaned!$B$2:$B$10,"&lt;"&amp;C4236,mdr_rate_cleaned!$F$2:$F$10,"&gt;="&amp;C4236)</f>
        <v>1</v>
      </c>
      <c r="G4236">
        <v>0</v>
      </c>
      <c r="H4236">
        <v>0</v>
      </c>
      <c r="I4236" t="s">
        <v>15</v>
      </c>
      <c r="J4236" t="s">
        <v>15</v>
      </c>
      <c r="K4236">
        <v>0</v>
      </c>
      <c r="L4236">
        <v>0</v>
      </c>
    </row>
    <row r="4237" spans="1:12" x14ac:dyDescent="0.3">
      <c r="A4237" t="s">
        <v>4253</v>
      </c>
      <c r="B4237" t="s">
        <v>17</v>
      </c>
      <c r="C4237">
        <v>2499</v>
      </c>
      <c r="D4237">
        <v>39.979999999999997</v>
      </c>
      <c r="E4237">
        <v>7.2</v>
      </c>
      <c r="F4237">
        <f>COUNTIFS(mdr_rate_cleaned!$A$2:$A$10,B4237,mdr_rate_cleaned!$B$2:$B$10,"&lt;"&amp;C4237,mdr_rate_cleaned!$F$2:$F$10,"&gt;="&amp;C4237)</f>
        <v>1</v>
      </c>
      <c r="G4237">
        <v>1.6E-2</v>
      </c>
      <c r="H4237">
        <v>39.979999999999997</v>
      </c>
      <c r="I4237" t="s">
        <v>15</v>
      </c>
      <c r="J4237" t="s">
        <v>15</v>
      </c>
      <c r="K4237">
        <v>7.2</v>
      </c>
      <c r="L4237">
        <v>0</v>
      </c>
    </row>
    <row r="4238" spans="1:12" x14ac:dyDescent="0.3">
      <c r="A4238" t="s">
        <v>4254</v>
      </c>
      <c r="B4238" t="s">
        <v>17</v>
      </c>
      <c r="C4238">
        <v>299</v>
      </c>
      <c r="D4238">
        <v>5.38</v>
      </c>
      <c r="E4238">
        <v>0.97</v>
      </c>
      <c r="F4238">
        <f>COUNTIFS(mdr_rate_cleaned!$A$2:$A$10,B4238,mdr_rate_cleaned!$B$2:$B$10,"&lt;"&amp;C4238,mdr_rate_cleaned!$F$2:$F$10,"&gt;="&amp;C4238)</f>
        <v>1</v>
      </c>
      <c r="G4238">
        <v>1.7999999999999999E-2</v>
      </c>
      <c r="H4238">
        <v>5.38</v>
      </c>
      <c r="I4238" t="s">
        <v>15</v>
      </c>
      <c r="J4238" t="s">
        <v>15</v>
      </c>
      <c r="K4238">
        <v>0.97</v>
      </c>
      <c r="L4238">
        <v>0</v>
      </c>
    </row>
    <row r="4239" spans="1:12" x14ac:dyDescent="0.3">
      <c r="A4239" t="s">
        <v>4255</v>
      </c>
      <c r="B4239" t="s">
        <v>17</v>
      </c>
      <c r="C4239">
        <v>3098</v>
      </c>
      <c r="D4239">
        <v>49.57</v>
      </c>
      <c r="E4239">
        <v>8.92</v>
      </c>
      <c r="F4239">
        <f>COUNTIFS(mdr_rate_cleaned!$A$2:$A$10,B4239,mdr_rate_cleaned!$B$2:$B$10,"&lt;"&amp;C4239,mdr_rate_cleaned!$F$2:$F$10,"&gt;="&amp;C4239)</f>
        <v>1</v>
      </c>
      <c r="G4239">
        <v>1.6E-2</v>
      </c>
      <c r="H4239">
        <v>49.57</v>
      </c>
      <c r="I4239" t="s">
        <v>15</v>
      </c>
      <c r="J4239" t="s">
        <v>15</v>
      </c>
      <c r="K4239">
        <v>8.92</v>
      </c>
      <c r="L4239">
        <v>0</v>
      </c>
    </row>
    <row r="4240" spans="1:12" x14ac:dyDescent="0.3">
      <c r="A4240" t="s">
        <v>4256</v>
      </c>
      <c r="B4240" t="s">
        <v>13</v>
      </c>
      <c r="C4240">
        <v>999</v>
      </c>
      <c r="D4240">
        <v>18.98</v>
      </c>
      <c r="E4240">
        <v>3.42</v>
      </c>
      <c r="F4240">
        <f>COUNTIFS(mdr_rate_cleaned!$A$2:$A$10,B4240,mdr_rate_cleaned!$B$2:$B$10,"&lt;"&amp;C4240,mdr_rate_cleaned!$F$2:$F$10,"&gt;="&amp;C4240)</f>
        <v>1</v>
      </c>
      <c r="G4240">
        <v>1.9E-2</v>
      </c>
      <c r="H4240">
        <v>18.98</v>
      </c>
      <c r="I4240" t="s">
        <v>15</v>
      </c>
      <c r="J4240" t="s">
        <v>15</v>
      </c>
      <c r="K4240">
        <v>3.42</v>
      </c>
      <c r="L4240">
        <v>0</v>
      </c>
    </row>
    <row r="4241" spans="1:12" x14ac:dyDescent="0.3">
      <c r="A4241" t="s">
        <v>4257</v>
      </c>
      <c r="B4241" t="s">
        <v>21</v>
      </c>
      <c r="C4241">
        <v>9798</v>
      </c>
      <c r="D4241">
        <v>29.39</v>
      </c>
      <c r="E4241">
        <v>5.29</v>
      </c>
      <c r="F4241">
        <f>COUNTIFS(mdr_rate_cleaned!$A$2:$A$10,B4241,mdr_rate_cleaned!$B$2:$B$10,"&lt;"&amp;C4241,mdr_rate_cleaned!$F$2:$F$10,"&gt;="&amp;C4241)</f>
        <v>1</v>
      </c>
      <c r="G4241">
        <v>3.0000000000000001E-3</v>
      </c>
      <c r="H4241">
        <v>29.39</v>
      </c>
      <c r="I4241" t="s">
        <v>15</v>
      </c>
      <c r="J4241" t="s">
        <v>15</v>
      </c>
      <c r="K4241">
        <v>5.29</v>
      </c>
      <c r="L4241">
        <v>0</v>
      </c>
    </row>
    <row r="4242" spans="1:12" x14ac:dyDescent="0.3">
      <c r="A4242" t="s">
        <v>4258</v>
      </c>
      <c r="B4242" t="s">
        <v>13</v>
      </c>
      <c r="C4242">
        <v>299</v>
      </c>
      <c r="D4242">
        <v>5.68</v>
      </c>
      <c r="E4242">
        <v>1.02</v>
      </c>
      <c r="F4242">
        <f>COUNTIFS(mdr_rate_cleaned!$A$2:$A$10,B4242,mdr_rate_cleaned!$B$2:$B$10,"&lt;"&amp;C4242,mdr_rate_cleaned!$F$2:$F$10,"&gt;="&amp;C4242)</f>
        <v>1</v>
      </c>
      <c r="G4242">
        <v>1.9E-2</v>
      </c>
      <c r="H4242">
        <v>5.68</v>
      </c>
      <c r="I4242" t="s">
        <v>15</v>
      </c>
      <c r="J4242" t="s">
        <v>15</v>
      </c>
      <c r="K4242">
        <v>1.02</v>
      </c>
      <c r="L4242">
        <v>0</v>
      </c>
    </row>
    <row r="4243" spans="1:12" x14ac:dyDescent="0.3">
      <c r="A4243" t="s">
        <v>4259</v>
      </c>
      <c r="B4243" t="s">
        <v>13</v>
      </c>
      <c r="C4243">
        <v>1098</v>
      </c>
      <c r="D4243">
        <v>20.86</v>
      </c>
      <c r="E4243">
        <v>3.75</v>
      </c>
      <c r="F4243">
        <f>COUNTIFS(mdr_rate_cleaned!$A$2:$A$10,B4243,mdr_rate_cleaned!$B$2:$B$10,"&lt;"&amp;C4243,mdr_rate_cleaned!$F$2:$F$10,"&gt;="&amp;C4243)</f>
        <v>1</v>
      </c>
      <c r="G4243">
        <v>1.9E-2</v>
      </c>
      <c r="H4243">
        <v>20.86</v>
      </c>
      <c r="I4243" t="s">
        <v>15</v>
      </c>
      <c r="J4243" t="s">
        <v>15</v>
      </c>
      <c r="K4243">
        <v>3.75</v>
      </c>
      <c r="L4243">
        <v>0</v>
      </c>
    </row>
    <row r="4244" spans="1:12" x14ac:dyDescent="0.3">
      <c r="A4244" t="s">
        <v>4260</v>
      </c>
      <c r="B4244" t="s">
        <v>17</v>
      </c>
      <c r="C4244">
        <v>5598</v>
      </c>
      <c r="D4244">
        <v>89.57</v>
      </c>
      <c r="E4244">
        <v>16.12</v>
      </c>
      <c r="F4244">
        <f>COUNTIFS(mdr_rate_cleaned!$A$2:$A$10,B4244,mdr_rate_cleaned!$B$2:$B$10,"&lt;"&amp;C4244,mdr_rate_cleaned!$F$2:$F$10,"&gt;="&amp;C4244)</f>
        <v>1</v>
      </c>
      <c r="G4244">
        <v>1.6E-2</v>
      </c>
      <c r="H4244">
        <v>89.57</v>
      </c>
      <c r="I4244" t="s">
        <v>15</v>
      </c>
      <c r="J4244" t="s">
        <v>15</v>
      </c>
      <c r="K4244">
        <v>16.12</v>
      </c>
      <c r="L4244">
        <v>0</v>
      </c>
    </row>
    <row r="4245" spans="1:12" x14ac:dyDescent="0.3">
      <c r="A4245" t="s">
        <v>4261</v>
      </c>
      <c r="B4245" t="s">
        <v>17</v>
      </c>
      <c r="C4245">
        <v>2298</v>
      </c>
      <c r="D4245">
        <v>36.770000000000003</v>
      </c>
      <c r="E4245">
        <v>6.62</v>
      </c>
      <c r="F4245">
        <f>COUNTIFS(mdr_rate_cleaned!$A$2:$A$10,B4245,mdr_rate_cleaned!$B$2:$B$10,"&lt;"&amp;C4245,mdr_rate_cleaned!$F$2:$F$10,"&gt;="&amp;C4245)</f>
        <v>1</v>
      </c>
      <c r="G4245">
        <v>1.6E-2</v>
      </c>
      <c r="H4245">
        <v>36.770000000000003</v>
      </c>
      <c r="I4245" t="s">
        <v>15</v>
      </c>
      <c r="J4245" t="s">
        <v>15</v>
      </c>
      <c r="K4245">
        <v>6.62</v>
      </c>
      <c r="L4245">
        <v>0</v>
      </c>
    </row>
    <row r="4246" spans="1:12" x14ac:dyDescent="0.3">
      <c r="A4246" t="s">
        <v>4262</v>
      </c>
      <c r="B4246" t="s">
        <v>21</v>
      </c>
      <c r="C4246">
        <v>2999</v>
      </c>
      <c r="D4246">
        <v>9</v>
      </c>
      <c r="E4246">
        <v>1.62</v>
      </c>
      <c r="F4246">
        <f>COUNTIFS(mdr_rate_cleaned!$A$2:$A$10,B4246,mdr_rate_cleaned!$B$2:$B$10,"&lt;"&amp;C4246,mdr_rate_cleaned!$F$2:$F$10,"&gt;="&amp;C4246)</f>
        <v>1</v>
      </c>
      <c r="G4246">
        <v>3.0000000000000001E-3</v>
      </c>
      <c r="H4246">
        <v>9</v>
      </c>
      <c r="I4246" t="s">
        <v>15</v>
      </c>
      <c r="J4246" t="s">
        <v>15</v>
      </c>
      <c r="K4246">
        <v>1.62</v>
      </c>
      <c r="L4246">
        <v>0</v>
      </c>
    </row>
    <row r="4247" spans="1:12" x14ac:dyDescent="0.3">
      <c r="A4247" t="s">
        <v>4263</v>
      </c>
      <c r="B4247" t="s">
        <v>13</v>
      </c>
      <c r="C4247">
        <v>999</v>
      </c>
      <c r="D4247">
        <v>18.98</v>
      </c>
      <c r="E4247">
        <v>3.42</v>
      </c>
      <c r="F4247">
        <f>COUNTIFS(mdr_rate_cleaned!$A$2:$A$10,B4247,mdr_rate_cleaned!$B$2:$B$10,"&lt;"&amp;C4247,mdr_rate_cleaned!$F$2:$F$10,"&gt;="&amp;C4247)</f>
        <v>1</v>
      </c>
      <c r="G4247">
        <v>1.9E-2</v>
      </c>
      <c r="H4247">
        <v>18.98</v>
      </c>
      <c r="I4247" t="s">
        <v>15</v>
      </c>
      <c r="J4247" t="s">
        <v>15</v>
      </c>
      <c r="K4247">
        <v>3.42</v>
      </c>
      <c r="L4247">
        <v>0</v>
      </c>
    </row>
    <row r="4248" spans="1:12" x14ac:dyDescent="0.3">
      <c r="A4248" t="s">
        <v>4264</v>
      </c>
      <c r="B4248" t="s">
        <v>21</v>
      </c>
      <c r="C4248">
        <v>3348</v>
      </c>
      <c r="D4248">
        <v>10.039999999999999</v>
      </c>
      <c r="E4248">
        <v>1.81</v>
      </c>
      <c r="F4248">
        <f>COUNTIFS(mdr_rate_cleaned!$A$2:$A$10,B4248,mdr_rate_cleaned!$B$2:$B$10,"&lt;"&amp;C4248,mdr_rate_cleaned!$F$2:$F$10,"&gt;="&amp;C4248)</f>
        <v>1</v>
      </c>
      <c r="G4248">
        <v>3.0000000000000001E-3</v>
      </c>
      <c r="H4248">
        <v>10.039999999999999</v>
      </c>
      <c r="I4248" t="s">
        <v>15</v>
      </c>
      <c r="J4248" t="s">
        <v>15</v>
      </c>
      <c r="K4248">
        <v>1.81</v>
      </c>
      <c r="L4248">
        <v>0</v>
      </c>
    </row>
    <row r="4249" spans="1:12" x14ac:dyDescent="0.3">
      <c r="A4249" t="s">
        <v>4265</v>
      </c>
      <c r="B4249" t="s">
        <v>17</v>
      </c>
      <c r="C4249">
        <v>2499</v>
      </c>
      <c r="D4249">
        <v>39.979999999999997</v>
      </c>
      <c r="E4249">
        <v>7.2</v>
      </c>
      <c r="F4249">
        <f>COUNTIFS(mdr_rate_cleaned!$A$2:$A$10,B4249,mdr_rate_cleaned!$B$2:$B$10,"&lt;"&amp;C4249,mdr_rate_cleaned!$F$2:$F$10,"&gt;="&amp;C4249)</f>
        <v>1</v>
      </c>
      <c r="G4249">
        <v>1.6E-2</v>
      </c>
      <c r="H4249">
        <v>39.979999999999997</v>
      </c>
      <c r="I4249" t="s">
        <v>15</v>
      </c>
      <c r="J4249" t="s">
        <v>15</v>
      </c>
      <c r="K4249">
        <v>7.2</v>
      </c>
      <c r="L4249">
        <v>0</v>
      </c>
    </row>
    <row r="4250" spans="1:12" x14ac:dyDescent="0.3">
      <c r="A4250" t="s">
        <v>4266</v>
      </c>
      <c r="B4250" t="s">
        <v>21</v>
      </c>
      <c r="C4250">
        <v>2999</v>
      </c>
      <c r="D4250">
        <v>9</v>
      </c>
      <c r="E4250">
        <v>1.62</v>
      </c>
      <c r="F4250">
        <f>COUNTIFS(mdr_rate_cleaned!$A$2:$A$10,B4250,mdr_rate_cleaned!$B$2:$B$10,"&lt;"&amp;C4250,mdr_rate_cleaned!$F$2:$F$10,"&gt;="&amp;C4250)</f>
        <v>1</v>
      </c>
      <c r="G4250">
        <v>3.0000000000000001E-3</v>
      </c>
      <c r="H4250">
        <v>9</v>
      </c>
      <c r="I4250" t="s">
        <v>15</v>
      </c>
      <c r="J4250" t="s">
        <v>15</v>
      </c>
      <c r="K4250">
        <v>1.62</v>
      </c>
      <c r="L4250">
        <v>0</v>
      </c>
    </row>
    <row r="4251" spans="1:12" x14ac:dyDescent="0.3">
      <c r="A4251" t="s">
        <v>4267</v>
      </c>
      <c r="B4251" t="s">
        <v>21</v>
      </c>
      <c r="C4251">
        <v>3697</v>
      </c>
      <c r="D4251">
        <v>11.09</v>
      </c>
      <c r="E4251">
        <v>2</v>
      </c>
      <c r="F4251">
        <f>COUNTIFS(mdr_rate_cleaned!$A$2:$A$10,B4251,mdr_rate_cleaned!$B$2:$B$10,"&lt;"&amp;C4251,mdr_rate_cleaned!$F$2:$F$10,"&gt;="&amp;C4251)</f>
        <v>1</v>
      </c>
      <c r="G4251">
        <v>3.0000000000000001E-3</v>
      </c>
      <c r="H4251">
        <v>11.09</v>
      </c>
      <c r="I4251" t="s">
        <v>15</v>
      </c>
      <c r="J4251" t="s">
        <v>15</v>
      </c>
      <c r="K4251">
        <v>2</v>
      </c>
      <c r="L4251">
        <v>0</v>
      </c>
    </row>
    <row r="4252" spans="1:12" x14ac:dyDescent="0.3">
      <c r="A4252" t="s">
        <v>4268</v>
      </c>
      <c r="B4252" t="s">
        <v>21</v>
      </c>
      <c r="C4252">
        <v>5498</v>
      </c>
      <c r="D4252">
        <v>16.489999999999998</v>
      </c>
      <c r="E4252">
        <v>2.97</v>
      </c>
      <c r="F4252">
        <f>COUNTIFS(mdr_rate_cleaned!$A$2:$A$10,B4252,mdr_rate_cleaned!$B$2:$B$10,"&lt;"&amp;C4252,mdr_rate_cleaned!$F$2:$F$10,"&gt;="&amp;C4252)</f>
        <v>1</v>
      </c>
      <c r="G4252">
        <v>3.0000000000000001E-3</v>
      </c>
      <c r="H4252">
        <v>16.489999999999998</v>
      </c>
      <c r="I4252" t="s">
        <v>15</v>
      </c>
      <c r="J4252" t="s">
        <v>15</v>
      </c>
      <c r="K4252">
        <v>2.97</v>
      </c>
      <c r="L4252">
        <v>0</v>
      </c>
    </row>
    <row r="4253" spans="1:12" x14ac:dyDescent="0.3">
      <c r="A4253" t="s">
        <v>4269</v>
      </c>
      <c r="B4253" t="s">
        <v>13</v>
      </c>
      <c r="C4253">
        <v>349</v>
      </c>
      <c r="D4253">
        <v>6.63</v>
      </c>
      <c r="E4253">
        <v>1.19</v>
      </c>
      <c r="F4253">
        <f>COUNTIFS(mdr_rate_cleaned!$A$2:$A$10,B4253,mdr_rate_cleaned!$B$2:$B$10,"&lt;"&amp;C4253,mdr_rate_cleaned!$F$2:$F$10,"&gt;="&amp;C4253)</f>
        <v>1</v>
      </c>
      <c r="G4253">
        <v>1.9E-2</v>
      </c>
      <c r="H4253">
        <v>6.63</v>
      </c>
      <c r="I4253" t="s">
        <v>15</v>
      </c>
      <c r="J4253" t="s">
        <v>15</v>
      </c>
      <c r="K4253">
        <v>1.19</v>
      </c>
      <c r="L4253">
        <v>0</v>
      </c>
    </row>
    <row r="4254" spans="1:12" x14ac:dyDescent="0.3">
      <c r="A4254" t="s">
        <v>4270</v>
      </c>
      <c r="B4254" t="s">
        <v>21</v>
      </c>
      <c r="C4254">
        <v>12998</v>
      </c>
      <c r="D4254">
        <v>38.99</v>
      </c>
      <c r="E4254">
        <v>7.02</v>
      </c>
      <c r="F4254">
        <f>COUNTIFS(mdr_rate_cleaned!$A$2:$A$10,B4254,mdr_rate_cleaned!$B$2:$B$10,"&lt;"&amp;C4254,mdr_rate_cleaned!$F$2:$F$10,"&gt;="&amp;C4254)</f>
        <v>1</v>
      </c>
      <c r="G4254">
        <v>3.0000000000000001E-3</v>
      </c>
      <c r="H4254">
        <v>38.99</v>
      </c>
      <c r="I4254" t="s">
        <v>15</v>
      </c>
      <c r="J4254" t="s">
        <v>15</v>
      </c>
      <c r="K4254">
        <v>7.02</v>
      </c>
      <c r="L4254">
        <v>0</v>
      </c>
    </row>
    <row r="4255" spans="1:12" x14ac:dyDescent="0.3">
      <c r="A4255" t="s">
        <v>4271</v>
      </c>
      <c r="B4255" t="s">
        <v>13</v>
      </c>
      <c r="C4255">
        <v>599</v>
      </c>
      <c r="D4255">
        <v>11.38</v>
      </c>
      <c r="E4255">
        <v>2.0499999999999998</v>
      </c>
      <c r="F4255">
        <f>COUNTIFS(mdr_rate_cleaned!$A$2:$A$10,B4255,mdr_rate_cleaned!$B$2:$B$10,"&lt;"&amp;C4255,mdr_rate_cleaned!$F$2:$F$10,"&gt;="&amp;C4255)</f>
        <v>1</v>
      </c>
      <c r="G4255">
        <v>1.9E-2</v>
      </c>
      <c r="H4255">
        <v>11.38</v>
      </c>
      <c r="I4255" t="s">
        <v>15</v>
      </c>
      <c r="J4255" t="s">
        <v>15</v>
      </c>
      <c r="K4255">
        <v>2.0499999999999998</v>
      </c>
      <c r="L4255">
        <v>0</v>
      </c>
    </row>
    <row r="4256" spans="1:12" x14ac:dyDescent="0.3">
      <c r="A4256" t="s">
        <v>4272</v>
      </c>
      <c r="B4256" t="s">
        <v>21</v>
      </c>
      <c r="C4256">
        <v>4798</v>
      </c>
      <c r="D4256">
        <v>14.39</v>
      </c>
      <c r="E4256">
        <v>2.59</v>
      </c>
      <c r="F4256">
        <f>COUNTIFS(mdr_rate_cleaned!$A$2:$A$10,B4256,mdr_rate_cleaned!$B$2:$B$10,"&lt;"&amp;C4256,mdr_rate_cleaned!$F$2:$F$10,"&gt;="&amp;C4256)</f>
        <v>1</v>
      </c>
      <c r="G4256">
        <v>3.0000000000000001E-3</v>
      </c>
      <c r="H4256">
        <v>14.39</v>
      </c>
      <c r="I4256" t="s">
        <v>15</v>
      </c>
      <c r="J4256" t="s">
        <v>15</v>
      </c>
      <c r="K4256">
        <v>2.59</v>
      </c>
      <c r="L4256">
        <v>0</v>
      </c>
    </row>
    <row r="4257" spans="1:12" x14ac:dyDescent="0.3">
      <c r="A4257" t="s">
        <v>4273</v>
      </c>
      <c r="B4257" t="s">
        <v>21</v>
      </c>
      <c r="C4257">
        <v>5997</v>
      </c>
      <c r="D4257">
        <v>17.989999999999998</v>
      </c>
      <c r="E4257">
        <v>3.24</v>
      </c>
      <c r="F4257">
        <f>COUNTIFS(mdr_rate_cleaned!$A$2:$A$10,B4257,mdr_rate_cleaned!$B$2:$B$10,"&lt;"&amp;C4257,mdr_rate_cleaned!$F$2:$F$10,"&gt;="&amp;C4257)</f>
        <v>1</v>
      </c>
      <c r="G4257">
        <v>3.0000000000000001E-3</v>
      </c>
      <c r="H4257">
        <v>17.989999999999998</v>
      </c>
      <c r="I4257" t="s">
        <v>15</v>
      </c>
      <c r="J4257" t="s">
        <v>15</v>
      </c>
      <c r="K4257">
        <v>3.24</v>
      </c>
      <c r="L4257">
        <v>0</v>
      </c>
    </row>
    <row r="4258" spans="1:12" x14ac:dyDescent="0.3">
      <c r="A4258" t="s">
        <v>4274</v>
      </c>
      <c r="B4258" t="s">
        <v>21</v>
      </c>
      <c r="C4258">
        <v>3998</v>
      </c>
      <c r="D4258">
        <v>11.99</v>
      </c>
      <c r="E4258">
        <v>2.16</v>
      </c>
      <c r="F4258">
        <f>COUNTIFS(mdr_rate_cleaned!$A$2:$A$10,B4258,mdr_rate_cleaned!$B$2:$B$10,"&lt;"&amp;C4258,mdr_rate_cleaned!$F$2:$F$10,"&gt;="&amp;C4258)</f>
        <v>1</v>
      </c>
      <c r="G4258">
        <v>3.0000000000000001E-3</v>
      </c>
      <c r="H4258">
        <v>11.99</v>
      </c>
      <c r="I4258" t="s">
        <v>15</v>
      </c>
      <c r="J4258" t="s">
        <v>15</v>
      </c>
      <c r="K4258">
        <v>2.16</v>
      </c>
      <c r="L4258">
        <v>0</v>
      </c>
    </row>
    <row r="4259" spans="1:12" x14ac:dyDescent="0.3">
      <c r="A4259" t="s">
        <v>4275</v>
      </c>
      <c r="B4259" t="s">
        <v>39</v>
      </c>
      <c r="C4259">
        <v>8798</v>
      </c>
      <c r="D4259">
        <v>105.58</v>
      </c>
      <c r="E4259">
        <v>19</v>
      </c>
      <c r="F4259">
        <f>COUNTIFS(mdr_rate_cleaned!$A$2:$A$10,B4259,mdr_rate_cleaned!$B$2:$B$10,"&lt;"&amp;C4259,mdr_rate_cleaned!$F$2:$F$10,"&gt;="&amp;C4259)</f>
        <v>1</v>
      </c>
      <c r="G4259">
        <v>1.2E-2</v>
      </c>
      <c r="H4259">
        <v>105.58</v>
      </c>
      <c r="I4259" t="s">
        <v>15</v>
      </c>
      <c r="J4259" t="s">
        <v>15</v>
      </c>
      <c r="K4259">
        <v>19</v>
      </c>
      <c r="L4259">
        <v>0</v>
      </c>
    </row>
    <row r="4260" spans="1:12" x14ac:dyDescent="0.3">
      <c r="A4260" t="s">
        <v>4276</v>
      </c>
      <c r="B4260" t="s">
        <v>21</v>
      </c>
      <c r="C4260">
        <v>4999</v>
      </c>
      <c r="D4260">
        <v>15</v>
      </c>
      <c r="E4260">
        <v>2.7</v>
      </c>
      <c r="F4260">
        <f>COUNTIFS(mdr_rate_cleaned!$A$2:$A$10,B4260,mdr_rate_cleaned!$B$2:$B$10,"&lt;"&amp;C4260,mdr_rate_cleaned!$F$2:$F$10,"&gt;="&amp;C4260)</f>
        <v>1</v>
      </c>
      <c r="G4260">
        <v>3.0000000000000001E-3</v>
      </c>
      <c r="H4260">
        <v>15</v>
      </c>
      <c r="I4260" t="s">
        <v>15</v>
      </c>
      <c r="J4260" t="s">
        <v>15</v>
      </c>
      <c r="K4260">
        <v>2.7</v>
      </c>
      <c r="L4260">
        <v>0</v>
      </c>
    </row>
    <row r="4261" spans="1:12" x14ac:dyDescent="0.3">
      <c r="A4261" t="s">
        <v>4277</v>
      </c>
      <c r="B4261" t="s">
        <v>17</v>
      </c>
      <c r="C4261">
        <v>848</v>
      </c>
      <c r="D4261">
        <v>15.26</v>
      </c>
      <c r="E4261">
        <v>2.75</v>
      </c>
      <c r="F4261">
        <f>COUNTIFS(mdr_rate_cleaned!$A$2:$A$10,B4261,mdr_rate_cleaned!$B$2:$B$10,"&lt;"&amp;C4261,mdr_rate_cleaned!$F$2:$F$10,"&gt;="&amp;C4261)</f>
        <v>1</v>
      </c>
      <c r="G4261">
        <v>1.7999999999999999E-2</v>
      </c>
      <c r="H4261">
        <v>15.26</v>
      </c>
      <c r="I4261" t="s">
        <v>15</v>
      </c>
      <c r="J4261" t="s">
        <v>15</v>
      </c>
      <c r="K4261">
        <v>2.75</v>
      </c>
      <c r="L4261">
        <v>0</v>
      </c>
    </row>
    <row r="4262" spans="1:12" x14ac:dyDescent="0.3">
      <c r="A4262" t="s">
        <v>4278</v>
      </c>
      <c r="B4262" t="s">
        <v>21</v>
      </c>
      <c r="C4262">
        <v>2597</v>
      </c>
      <c r="D4262">
        <v>7.79</v>
      </c>
      <c r="E4262">
        <v>1.4</v>
      </c>
      <c r="F4262">
        <f>COUNTIFS(mdr_rate_cleaned!$A$2:$A$10,B4262,mdr_rate_cleaned!$B$2:$B$10,"&lt;"&amp;C4262,mdr_rate_cleaned!$F$2:$F$10,"&gt;="&amp;C4262)</f>
        <v>1</v>
      </c>
      <c r="G4262">
        <v>3.0000000000000001E-3</v>
      </c>
      <c r="H4262">
        <v>7.79</v>
      </c>
      <c r="I4262" t="s">
        <v>15</v>
      </c>
      <c r="J4262" t="s">
        <v>15</v>
      </c>
      <c r="K4262">
        <v>1.4</v>
      </c>
      <c r="L4262">
        <v>0</v>
      </c>
    </row>
    <row r="4263" spans="1:12" x14ac:dyDescent="0.3">
      <c r="A4263" t="s">
        <v>4279</v>
      </c>
      <c r="B4263" t="s">
        <v>21</v>
      </c>
      <c r="C4263">
        <v>1499</v>
      </c>
      <c r="D4263">
        <v>0</v>
      </c>
      <c r="E4263">
        <v>0</v>
      </c>
      <c r="F4263">
        <f>COUNTIFS(mdr_rate_cleaned!$A$2:$A$10,B4263,mdr_rate_cleaned!$B$2:$B$10,"&lt;"&amp;C4263,mdr_rate_cleaned!$F$2:$F$10,"&gt;="&amp;C4263)</f>
        <v>1</v>
      </c>
      <c r="G4263">
        <v>0</v>
      </c>
      <c r="H4263">
        <v>0</v>
      </c>
      <c r="I4263" t="s">
        <v>15</v>
      </c>
      <c r="J4263" t="s">
        <v>15</v>
      </c>
      <c r="K4263">
        <v>0</v>
      </c>
      <c r="L4263">
        <v>0</v>
      </c>
    </row>
    <row r="4264" spans="1:12" x14ac:dyDescent="0.3">
      <c r="A4264" t="s">
        <v>4280</v>
      </c>
      <c r="B4264" t="s">
        <v>21</v>
      </c>
      <c r="C4264">
        <v>1499</v>
      </c>
      <c r="D4264">
        <v>0</v>
      </c>
      <c r="E4264">
        <v>0</v>
      </c>
      <c r="F4264">
        <f>COUNTIFS(mdr_rate_cleaned!$A$2:$A$10,B4264,mdr_rate_cleaned!$B$2:$B$10,"&lt;"&amp;C4264,mdr_rate_cleaned!$F$2:$F$10,"&gt;="&amp;C4264)</f>
        <v>1</v>
      </c>
      <c r="G4264">
        <v>0</v>
      </c>
      <c r="H4264">
        <v>0</v>
      </c>
      <c r="I4264" t="s">
        <v>15</v>
      </c>
      <c r="J4264" t="s">
        <v>15</v>
      </c>
      <c r="K4264">
        <v>0</v>
      </c>
      <c r="L4264">
        <v>0</v>
      </c>
    </row>
    <row r="4265" spans="1:12" x14ac:dyDescent="0.3">
      <c r="A4265" t="s">
        <v>4281</v>
      </c>
      <c r="B4265" t="s">
        <v>21</v>
      </c>
      <c r="C4265">
        <v>4798</v>
      </c>
      <c r="D4265">
        <v>14.39</v>
      </c>
      <c r="E4265">
        <v>2.59</v>
      </c>
      <c r="F4265">
        <f>COUNTIFS(mdr_rate_cleaned!$A$2:$A$10,B4265,mdr_rate_cleaned!$B$2:$B$10,"&lt;"&amp;C4265,mdr_rate_cleaned!$F$2:$F$10,"&gt;="&amp;C4265)</f>
        <v>1</v>
      </c>
      <c r="G4265">
        <v>3.0000000000000001E-3</v>
      </c>
      <c r="H4265">
        <v>14.39</v>
      </c>
      <c r="I4265" t="s">
        <v>15</v>
      </c>
      <c r="J4265" t="s">
        <v>15</v>
      </c>
      <c r="K4265">
        <v>2.59</v>
      </c>
      <c r="L4265">
        <v>0</v>
      </c>
    </row>
    <row r="4266" spans="1:12" x14ac:dyDescent="0.3">
      <c r="A4266" t="s">
        <v>4282</v>
      </c>
      <c r="B4266" t="s">
        <v>21</v>
      </c>
      <c r="C4266">
        <v>2298</v>
      </c>
      <c r="D4266">
        <v>6.89</v>
      </c>
      <c r="E4266">
        <v>1.24</v>
      </c>
      <c r="F4266">
        <f>COUNTIFS(mdr_rate_cleaned!$A$2:$A$10,B4266,mdr_rate_cleaned!$B$2:$B$10,"&lt;"&amp;C4266,mdr_rate_cleaned!$F$2:$F$10,"&gt;="&amp;C4266)</f>
        <v>1</v>
      </c>
      <c r="G4266">
        <v>3.0000000000000001E-3</v>
      </c>
      <c r="H4266">
        <v>6.89</v>
      </c>
      <c r="I4266" t="s">
        <v>15</v>
      </c>
      <c r="J4266" t="s">
        <v>15</v>
      </c>
      <c r="K4266">
        <v>1.24</v>
      </c>
      <c r="L4266">
        <v>0</v>
      </c>
    </row>
    <row r="4267" spans="1:12" x14ac:dyDescent="0.3">
      <c r="A4267" t="s">
        <v>4283</v>
      </c>
      <c r="B4267" t="s">
        <v>13</v>
      </c>
      <c r="C4267">
        <v>7999</v>
      </c>
      <c r="D4267">
        <v>135.97999999999999</v>
      </c>
      <c r="E4267">
        <v>24.48</v>
      </c>
      <c r="F4267">
        <f>COUNTIFS(mdr_rate_cleaned!$A$2:$A$10,B4267,mdr_rate_cleaned!$B$2:$B$10,"&lt;"&amp;C4267,mdr_rate_cleaned!$F$2:$F$10,"&gt;="&amp;C4267)</f>
        <v>1</v>
      </c>
      <c r="G4267">
        <v>1.7000000000000001E-2</v>
      </c>
      <c r="H4267">
        <v>135.97999999999999</v>
      </c>
      <c r="I4267" t="s">
        <v>15</v>
      </c>
      <c r="J4267" t="s">
        <v>15</v>
      </c>
      <c r="K4267">
        <v>24.48</v>
      </c>
      <c r="L4267">
        <v>0</v>
      </c>
    </row>
    <row r="4268" spans="1:12" x14ac:dyDescent="0.3">
      <c r="A4268" t="s">
        <v>4284</v>
      </c>
      <c r="B4268" t="s">
        <v>17</v>
      </c>
      <c r="C4268">
        <v>9798</v>
      </c>
      <c r="D4268">
        <v>156.77000000000001</v>
      </c>
      <c r="E4268">
        <v>28.22</v>
      </c>
      <c r="F4268">
        <f>COUNTIFS(mdr_rate_cleaned!$A$2:$A$10,B4268,mdr_rate_cleaned!$B$2:$B$10,"&lt;"&amp;C4268,mdr_rate_cleaned!$F$2:$F$10,"&gt;="&amp;C4268)</f>
        <v>1</v>
      </c>
      <c r="G4268">
        <v>1.6E-2</v>
      </c>
      <c r="H4268">
        <v>156.77000000000001</v>
      </c>
      <c r="I4268" t="s">
        <v>15</v>
      </c>
      <c r="J4268" t="s">
        <v>15</v>
      </c>
      <c r="K4268">
        <v>28.22</v>
      </c>
      <c r="L4268">
        <v>0</v>
      </c>
    </row>
    <row r="4269" spans="1:12" x14ac:dyDescent="0.3">
      <c r="A4269" t="s">
        <v>4285</v>
      </c>
      <c r="B4269" t="s">
        <v>17</v>
      </c>
      <c r="C4269">
        <v>648</v>
      </c>
      <c r="D4269">
        <v>11.66</v>
      </c>
      <c r="E4269">
        <v>2.1</v>
      </c>
      <c r="F4269">
        <f>COUNTIFS(mdr_rate_cleaned!$A$2:$A$10,B4269,mdr_rate_cleaned!$B$2:$B$10,"&lt;"&amp;C4269,mdr_rate_cleaned!$F$2:$F$10,"&gt;="&amp;C4269)</f>
        <v>1</v>
      </c>
      <c r="G4269">
        <v>1.7999999999999999E-2</v>
      </c>
      <c r="H4269">
        <v>11.66</v>
      </c>
      <c r="I4269" t="s">
        <v>15</v>
      </c>
      <c r="J4269" t="s">
        <v>15</v>
      </c>
      <c r="K4269">
        <v>2.1</v>
      </c>
      <c r="L4269">
        <v>0</v>
      </c>
    </row>
    <row r="4270" spans="1:12" x14ac:dyDescent="0.3">
      <c r="A4270" t="s">
        <v>4286</v>
      </c>
      <c r="B4270" t="s">
        <v>13</v>
      </c>
      <c r="C4270">
        <v>2499</v>
      </c>
      <c r="D4270">
        <v>42.48</v>
      </c>
      <c r="E4270">
        <v>7.65</v>
      </c>
      <c r="F4270">
        <f>COUNTIFS(mdr_rate_cleaned!$A$2:$A$10,B4270,mdr_rate_cleaned!$B$2:$B$10,"&lt;"&amp;C4270,mdr_rate_cleaned!$F$2:$F$10,"&gt;="&amp;C4270)</f>
        <v>1</v>
      </c>
      <c r="G4270">
        <v>1.7000000000000001E-2</v>
      </c>
      <c r="H4270">
        <v>42.48</v>
      </c>
      <c r="I4270" t="s">
        <v>15</v>
      </c>
      <c r="J4270" t="s">
        <v>15</v>
      </c>
      <c r="K4270">
        <v>7.65</v>
      </c>
      <c r="L4270">
        <v>0</v>
      </c>
    </row>
    <row r="4271" spans="1:12" x14ac:dyDescent="0.3">
      <c r="A4271" t="s">
        <v>4287</v>
      </c>
      <c r="B4271" t="s">
        <v>17</v>
      </c>
      <c r="C4271">
        <v>4298</v>
      </c>
      <c r="D4271">
        <v>68.77</v>
      </c>
      <c r="E4271">
        <v>12.38</v>
      </c>
      <c r="F4271">
        <f>COUNTIFS(mdr_rate_cleaned!$A$2:$A$10,B4271,mdr_rate_cleaned!$B$2:$B$10,"&lt;"&amp;C4271,mdr_rate_cleaned!$F$2:$F$10,"&gt;="&amp;C4271)</f>
        <v>1</v>
      </c>
      <c r="G4271">
        <v>1.6E-2</v>
      </c>
      <c r="H4271">
        <v>68.77</v>
      </c>
      <c r="I4271" t="s">
        <v>15</v>
      </c>
      <c r="J4271" t="s">
        <v>15</v>
      </c>
      <c r="K4271">
        <v>12.38</v>
      </c>
      <c r="L4271">
        <v>0</v>
      </c>
    </row>
    <row r="4272" spans="1:12" x14ac:dyDescent="0.3">
      <c r="A4272" t="s">
        <v>4288</v>
      </c>
      <c r="B4272" t="s">
        <v>21</v>
      </c>
      <c r="C4272">
        <v>6298</v>
      </c>
      <c r="D4272">
        <v>18.89</v>
      </c>
      <c r="E4272">
        <v>3.4</v>
      </c>
      <c r="F4272">
        <f>COUNTIFS(mdr_rate_cleaned!$A$2:$A$10,B4272,mdr_rate_cleaned!$B$2:$B$10,"&lt;"&amp;C4272,mdr_rate_cleaned!$F$2:$F$10,"&gt;="&amp;C4272)</f>
        <v>1</v>
      </c>
      <c r="G4272">
        <v>3.0000000000000001E-3</v>
      </c>
      <c r="H4272">
        <v>18.89</v>
      </c>
      <c r="I4272" t="s">
        <v>15</v>
      </c>
      <c r="J4272" t="s">
        <v>15</v>
      </c>
      <c r="K4272">
        <v>3.4</v>
      </c>
      <c r="L4272">
        <v>0</v>
      </c>
    </row>
    <row r="4273" spans="1:12" x14ac:dyDescent="0.3">
      <c r="A4273" t="s">
        <v>4289</v>
      </c>
      <c r="B4273" t="s">
        <v>13</v>
      </c>
      <c r="C4273">
        <v>349</v>
      </c>
      <c r="D4273">
        <v>6.63</v>
      </c>
      <c r="E4273">
        <v>1.19</v>
      </c>
      <c r="F4273">
        <f>COUNTIFS(mdr_rate_cleaned!$A$2:$A$10,B4273,mdr_rate_cleaned!$B$2:$B$10,"&lt;"&amp;C4273,mdr_rate_cleaned!$F$2:$F$10,"&gt;="&amp;C4273)</f>
        <v>1</v>
      </c>
      <c r="G4273">
        <v>1.9E-2</v>
      </c>
      <c r="H4273">
        <v>6.63</v>
      </c>
      <c r="I4273" t="s">
        <v>15</v>
      </c>
      <c r="J4273" t="s">
        <v>15</v>
      </c>
      <c r="K4273">
        <v>1.19</v>
      </c>
      <c r="L4273">
        <v>0</v>
      </c>
    </row>
    <row r="4274" spans="1:12" x14ac:dyDescent="0.3">
      <c r="A4274" t="s">
        <v>4290</v>
      </c>
      <c r="B4274" t="s">
        <v>21</v>
      </c>
      <c r="C4274">
        <v>1499</v>
      </c>
      <c r="D4274">
        <v>0</v>
      </c>
      <c r="E4274">
        <v>0</v>
      </c>
      <c r="F4274">
        <f>COUNTIFS(mdr_rate_cleaned!$A$2:$A$10,B4274,mdr_rate_cleaned!$B$2:$B$10,"&lt;"&amp;C4274,mdr_rate_cleaned!$F$2:$F$10,"&gt;="&amp;C4274)</f>
        <v>1</v>
      </c>
      <c r="G4274">
        <v>0</v>
      </c>
      <c r="H4274">
        <v>0</v>
      </c>
      <c r="I4274" t="s">
        <v>15</v>
      </c>
      <c r="J4274" t="s">
        <v>15</v>
      </c>
      <c r="K4274">
        <v>0</v>
      </c>
      <c r="L4274">
        <v>0</v>
      </c>
    </row>
    <row r="4275" spans="1:12" x14ac:dyDescent="0.3">
      <c r="A4275" t="s">
        <v>4291</v>
      </c>
      <c r="B4275" t="s">
        <v>21</v>
      </c>
      <c r="C4275">
        <v>2398</v>
      </c>
      <c r="D4275">
        <v>7.19</v>
      </c>
      <c r="E4275">
        <v>1.29</v>
      </c>
      <c r="F4275">
        <f>COUNTIFS(mdr_rate_cleaned!$A$2:$A$10,B4275,mdr_rate_cleaned!$B$2:$B$10,"&lt;"&amp;C4275,mdr_rate_cleaned!$F$2:$F$10,"&gt;="&amp;C4275)</f>
        <v>1</v>
      </c>
      <c r="G4275">
        <v>3.0000000000000001E-3</v>
      </c>
      <c r="H4275">
        <v>7.19</v>
      </c>
      <c r="I4275" t="s">
        <v>15</v>
      </c>
      <c r="J4275" t="s">
        <v>15</v>
      </c>
      <c r="K4275">
        <v>1.29</v>
      </c>
      <c r="L4275">
        <v>0</v>
      </c>
    </row>
    <row r="4276" spans="1:12" x14ac:dyDescent="0.3">
      <c r="A4276" t="s">
        <v>4292</v>
      </c>
      <c r="B4276" t="s">
        <v>21</v>
      </c>
      <c r="C4276">
        <v>1647</v>
      </c>
      <c r="D4276">
        <v>0</v>
      </c>
      <c r="E4276">
        <v>0</v>
      </c>
      <c r="F4276">
        <f>COUNTIFS(mdr_rate_cleaned!$A$2:$A$10,B4276,mdr_rate_cleaned!$B$2:$B$10,"&lt;"&amp;C4276,mdr_rate_cleaned!$F$2:$F$10,"&gt;="&amp;C4276)</f>
        <v>1</v>
      </c>
      <c r="G4276">
        <v>0</v>
      </c>
      <c r="H4276">
        <v>0</v>
      </c>
      <c r="I4276" t="s">
        <v>15</v>
      </c>
      <c r="J4276" t="s">
        <v>15</v>
      </c>
      <c r="K4276">
        <v>0</v>
      </c>
      <c r="L4276">
        <v>0</v>
      </c>
    </row>
    <row r="4277" spans="1:12" x14ac:dyDescent="0.3">
      <c r="A4277" t="s">
        <v>4293</v>
      </c>
      <c r="B4277" t="s">
        <v>21</v>
      </c>
      <c r="C4277">
        <v>299</v>
      </c>
      <c r="D4277">
        <v>0</v>
      </c>
      <c r="E4277">
        <v>0</v>
      </c>
      <c r="F4277">
        <f>COUNTIFS(mdr_rate_cleaned!$A$2:$A$10,B4277,mdr_rate_cleaned!$B$2:$B$10,"&lt;"&amp;C4277,mdr_rate_cleaned!$F$2:$F$10,"&gt;="&amp;C4277)</f>
        <v>1</v>
      </c>
      <c r="G4277">
        <v>0</v>
      </c>
      <c r="H4277">
        <v>0</v>
      </c>
      <c r="I4277" t="s">
        <v>15</v>
      </c>
      <c r="J4277" t="s">
        <v>15</v>
      </c>
      <c r="K4277">
        <v>0</v>
      </c>
      <c r="L4277">
        <v>0</v>
      </c>
    </row>
    <row r="4278" spans="1:12" x14ac:dyDescent="0.3">
      <c r="A4278" t="s">
        <v>4294</v>
      </c>
      <c r="B4278" t="s">
        <v>21</v>
      </c>
      <c r="C4278">
        <v>349</v>
      </c>
      <c r="D4278">
        <v>0</v>
      </c>
      <c r="E4278">
        <v>0</v>
      </c>
      <c r="F4278">
        <f>COUNTIFS(mdr_rate_cleaned!$A$2:$A$10,B4278,mdr_rate_cleaned!$B$2:$B$10,"&lt;"&amp;C4278,mdr_rate_cleaned!$F$2:$F$10,"&gt;="&amp;C4278)</f>
        <v>1</v>
      </c>
      <c r="G4278">
        <v>0</v>
      </c>
      <c r="H4278">
        <v>0</v>
      </c>
      <c r="I4278" t="s">
        <v>15</v>
      </c>
      <c r="J4278" t="s">
        <v>15</v>
      </c>
      <c r="K4278">
        <v>0</v>
      </c>
      <c r="L4278">
        <v>0</v>
      </c>
    </row>
    <row r="4279" spans="1:12" x14ac:dyDescent="0.3">
      <c r="A4279" t="s">
        <v>4295</v>
      </c>
      <c r="B4279" t="s">
        <v>21</v>
      </c>
      <c r="C4279">
        <v>11498</v>
      </c>
      <c r="D4279">
        <v>34.49</v>
      </c>
      <c r="E4279">
        <v>6.21</v>
      </c>
      <c r="F4279">
        <f>COUNTIFS(mdr_rate_cleaned!$A$2:$A$10,B4279,mdr_rate_cleaned!$B$2:$B$10,"&lt;"&amp;C4279,mdr_rate_cleaned!$F$2:$F$10,"&gt;="&amp;C4279)</f>
        <v>1</v>
      </c>
      <c r="G4279">
        <v>3.0000000000000001E-3</v>
      </c>
      <c r="H4279">
        <v>34.49</v>
      </c>
      <c r="I4279" t="s">
        <v>15</v>
      </c>
      <c r="J4279" t="s">
        <v>15</v>
      </c>
      <c r="K4279">
        <v>6.21</v>
      </c>
      <c r="L4279">
        <v>0</v>
      </c>
    </row>
    <row r="4280" spans="1:12" x14ac:dyDescent="0.3">
      <c r="A4280" t="s">
        <v>4296</v>
      </c>
      <c r="B4280" t="s">
        <v>17</v>
      </c>
      <c r="C4280">
        <v>2998</v>
      </c>
      <c r="D4280">
        <v>47.97</v>
      </c>
      <c r="E4280">
        <v>8.6300000000000008</v>
      </c>
      <c r="F4280">
        <f>COUNTIFS(mdr_rate_cleaned!$A$2:$A$10,B4280,mdr_rate_cleaned!$B$2:$B$10,"&lt;"&amp;C4280,mdr_rate_cleaned!$F$2:$F$10,"&gt;="&amp;C4280)</f>
        <v>1</v>
      </c>
      <c r="G4280">
        <v>1.6E-2</v>
      </c>
      <c r="H4280">
        <v>47.97</v>
      </c>
      <c r="I4280" t="s">
        <v>15</v>
      </c>
      <c r="J4280" t="s">
        <v>15</v>
      </c>
      <c r="K4280">
        <v>8.6300000000000008</v>
      </c>
      <c r="L4280">
        <v>0</v>
      </c>
    </row>
    <row r="4281" spans="1:12" x14ac:dyDescent="0.3">
      <c r="A4281" t="s">
        <v>4297</v>
      </c>
      <c r="B4281" t="s">
        <v>17</v>
      </c>
      <c r="C4281">
        <v>3498</v>
      </c>
      <c r="D4281">
        <v>55.97</v>
      </c>
      <c r="E4281">
        <v>10.07</v>
      </c>
      <c r="F4281">
        <f>COUNTIFS(mdr_rate_cleaned!$A$2:$A$10,B4281,mdr_rate_cleaned!$B$2:$B$10,"&lt;"&amp;C4281,mdr_rate_cleaned!$F$2:$F$10,"&gt;="&amp;C4281)</f>
        <v>1</v>
      </c>
      <c r="G4281">
        <v>1.6E-2</v>
      </c>
      <c r="H4281">
        <v>55.97</v>
      </c>
      <c r="I4281" t="s">
        <v>15</v>
      </c>
      <c r="J4281" t="s">
        <v>15</v>
      </c>
      <c r="K4281">
        <v>10.07</v>
      </c>
      <c r="L4281">
        <v>0</v>
      </c>
    </row>
    <row r="4282" spans="1:12" x14ac:dyDescent="0.3">
      <c r="A4282" t="s">
        <v>4298</v>
      </c>
      <c r="B4282" t="s">
        <v>21</v>
      </c>
      <c r="C4282">
        <v>3997</v>
      </c>
      <c r="D4282">
        <v>11.99</v>
      </c>
      <c r="E4282">
        <v>2.16</v>
      </c>
      <c r="F4282">
        <f>COUNTIFS(mdr_rate_cleaned!$A$2:$A$10,B4282,mdr_rate_cleaned!$B$2:$B$10,"&lt;"&amp;C4282,mdr_rate_cleaned!$F$2:$F$10,"&gt;="&amp;C4282)</f>
        <v>1</v>
      </c>
      <c r="G4282">
        <v>3.0000000000000001E-3</v>
      </c>
      <c r="H4282">
        <v>11.99</v>
      </c>
      <c r="I4282" t="s">
        <v>15</v>
      </c>
      <c r="J4282" t="s">
        <v>15</v>
      </c>
      <c r="K4282">
        <v>2.16</v>
      </c>
      <c r="L4282">
        <v>0</v>
      </c>
    </row>
    <row r="4283" spans="1:12" x14ac:dyDescent="0.3">
      <c r="A4283" t="s">
        <v>4299</v>
      </c>
      <c r="B4283" t="s">
        <v>21</v>
      </c>
      <c r="C4283">
        <v>6998</v>
      </c>
      <c r="D4283">
        <v>20.99</v>
      </c>
      <c r="E4283">
        <v>3.78</v>
      </c>
      <c r="F4283">
        <f>COUNTIFS(mdr_rate_cleaned!$A$2:$A$10,B4283,mdr_rate_cleaned!$B$2:$B$10,"&lt;"&amp;C4283,mdr_rate_cleaned!$F$2:$F$10,"&gt;="&amp;C4283)</f>
        <v>1</v>
      </c>
      <c r="G4283">
        <v>3.0000000000000001E-3</v>
      </c>
      <c r="H4283">
        <v>20.99</v>
      </c>
      <c r="I4283" t="s">
        <v>15</v>
      </c>
      <c r="J4283" t="s">
        <v>15</v>
      </c>
      <c r="K4283">
        <v>3.78</v>
      </c>
      <c r="L4283">
        <v>0</v>
      </c>
    </row>
    <row r="4284" spans="1:12" x14ac:dyDescent="0.3">
      <c r="A4284" t="s">
        <v>4300</v>
      </c>
      <c r="B4284" t="s">
        <v>21</v>
      </c>
      <c r="C4284">
        <v>1499</v>
      </c>
      <c r="D4284">
        <v>0</v>
      </c>
      <c r="E4284">
        <v>0</v>
      </c>
      <c r="F4284">
        <f>COUNTIFS(mdr_rate_cleaned!$A$2:$A$10,B4284,mdr_rate_cleaned!$B$2:$B$10,"&lt;"&amp;C4284,mdr_rate_cleaned!$F$2:$F$10,"&gt;="&amp;C4284)</f>
        <v>1</v>
      </c>
      <c r="G4284">
        <v>0</v>
      </c>
      <c r="H4284">
        <v>0</v>
      </c>
      <c r="I4284" t="s">
        <v>15</v>
      </c>
      <c r="J4284" t="s">
        <v>15</v>
      </c>
      <c r="K4284">
        <v>0</v>
      </c>
      <c r="L4284">
        <v>0</v>
      </c>
    </row>
    <row r="4285" spans="1:12" x14ac:dyDescent="0.3">
      <c r="A4285" t="s">
        <v>4301</v>
      </c>
      <c r="B4285" t="s">
        <v>13</v>
      </c>
      <c r="C4285">
        <v>12797</v>
      </c>
      <c r="D4285">
        <v>217.55</v>
      </c>
      <c r="E4285">
        <v>39.159999999999997</v>
      </c>
      <c r="F4285">
        <f>COUNTIFS(mdr_rate_cleaned!$A$2:$A$10,B4285,mdr_rate_cleaned!$B$2:$B$10,"&lt;"&amp;C4285,mdr_rate_cleaned!$F$2:$F$10,"&gt;="&amp;C4285)</f>
        <v>1</v>
      </c>
      <c r="G4285">
        <v>1.7000000000000001E-2</v>
      </c>
      <c r="H4285">
        <v>217.55</v>
      </c>
      <c r="I4285" t="s">
        <v>15</v>
      </c>
      <c r="J4285" t="s">
        <v>15</v>
      </c>
      <c r="K4285">
        <v>39.159999999999997</v>
      </c>
      <c r="L4285">
        <v>0</v>
      </c>
    </row>
    <row r="4286" spans="1:12" x14ac:dyDescent="0.3">
      <c r="A4286" t="s">
        <v>4302</v>
      </c>
      <c r="B4286" t="s">
        <v>21</v>
      </c>
      <c r="C4286">
        <v>1499</v>
      </c>
      <c r="D4286">
        <v>0</v>
      </c>
      <c r="E4286">
        <v>0</v>
      </c>
      <c r="F4286">
        <f>COUNTIFS(mdr_rate_cleaned!$A$2:$A$10,B4286,mdr_rate_cleaned!$B$2:$B$10,"&lt;"&amp;C4286,mdr_rate_cleaned!$F$2:$F$10,"&gt;="&amp;C4286)</f>
        <v>1</v>
      </c>
      <c r="G4286">
        <v>0</v>
      </c>
      <c r="H4286">
        <v>0</v>
      </c>
      <c r="I4286" t="s">
        <v>15</v>
      </c>
      <c r="J4286" t="s">
        <v>15</v>
      </c>
      <c r="K4286">
        <v>0</v>
      </c>
      <c r="L4286">
        <v>0</v>
      </c>
    </row>
    <row r="4287" spans="1:12" x14ac:dyDescent="0.3">
      <c r="A4287" t="s">
        <v>4303</v>
      </c>
      <c r="B4287" t="s">
        <v>21</v>
      </c>
      <c r="C4287">
        <v>2798</v>
      </c>
      <c r="D4287">
        <v>8.39</v>
      </c>
      <c r="E4287">
        <v>1.51</v>
      </c>
      <c r="F4287">
        <f>COUNTIFS(mdr_rate_cleaned!$A$2:$A$10,B4287,mdr_rate_cleaned!$B$2:$B$10,"&lt;"&amp;C4287,mdr_rate_cleaned!$F$2:$F$10,"&gt;="&amp;C4287)</f>
        <v>1</v>
      </c>
      <c r="G4287">
        <v>3.0000000000000001E-3</v>
      </c>
      <c r="H4287">
        <v>8.39</v>
      </c>
      <c r="I4287" t="s">
        <v>15</v>
      </c>
      <c r="J4287" t="s">
        <v>15</v>
      </c>
      <c r="K4287">
        <v>1.51</v>
      </c>
      <c r="L4287">
        <v>0</v>
      </c>
    </row>
    <row r="4288" spans="1:12" x14ac:dyDescent="0.3">
      <c r="A4288" t="s">
        <v>4304</v>
      </c>
      <c r="B4288" t="s">
        <v>21</v>
      </c>
      <c r="C4288">
        <v>7498</v>
      </c>
      <c r="D4288">
        <v>22.49</v>
      </c>
      <c r="E4288">
        <v>4.05</v>
      </c>
      <c r="F4288">
        <f>COUNTIFS(mdr_rate_cleaned!$A$2:$A$10,B4288,mdr_rate_cleaned!$B$2:$B$10,"&lt;"&amp;C4288,mdr_rate_cleaned!$F$2:$F$10,"&gt;="&amp;C4288)</f>
        <v>1</v>
      </c>
      <c r="G4288">
        <v>3.0000000000000001E-3</v>
      </c>
      <c r="H4288">
        <v>22.49</v>
      </c>
      <c r="I4288" t="s">
        <v>15</v>
      </c>
      <c r="J4288" t="s">
        <v>15</v>
      </c>
      <c r="K4288">
        <v>4.05</v>
      </c>
      <c r="L4288">
        <v>0</v>
      </c>
    </row>
    <row r="4289" spans="1:12" x14ac:dyDescent="0.3">
      <c r="A4289" t="s">
        <v>4305</v>
      </c>
      <c r="B4289" t="s">
        <v>21</v>
      </c>
      <c r="C4289">
        <v>349</v>
      </c>
      <c r="D4289">
        <v>0</v>
      </c>
      <c r="E4289">
        <v>0</v>
      </c>
      <c r="F4289">
        <f>COUNTIFS(mdr_rate_cleaned!$A$2:$A$10,B4289,mdr_rate_cleaned!$B$2:$B$10,"&lt;"&amp;C4289,mdr_rate_cleaned!$F$2:$F$10,"&gt;="&amp;C4289)</f>
        <v>1</v>
      </c>
      <c r="G4289">
        <v>0</v>
      </c>
      <c r="H4289">
        <v>0</v>
      </c>
      <c r="I4289" t="s">
        <v>15</v>
      </c>
      <c r="J4289" t="s">
        <v>15</v>
      </c>
      <c r="K4289">
        <v>0</v>
      </c>
      <c r="L4289">
        <v>0</v>
      </c>
    </row>
    <row r="4290" spans="1:12" x14ac:dyDescent="0.3">
      <c r="A4290" t="s">
        <v>4306</v>
      </c>
      <c r="B4290" t="s">
        <v>21</v>
      </c>
      <c r="C4290">
        <v>799</v>
      </c>
      <c r="D4290">
        <v>0</v>
      </c>
      <c r="E4290">
        <v>0</v>
      </c>
      <c r="F4290">
        <f>COUNTIFS(mdr_rate_cleaned!$A$2:$A$10,B4290,mdr_rate_cleaned!$B$2:$B$10,"&lt;"&amp;C4290,mdr_rate_cleaned!$F$2:$F$10,"&gt;="&amp;C4290)</f>
        <v>1</v>
      </c>
      <c r="G4290">
        <v>0</v>
      </c>
      <c r="H4290">
        <v>0</v>
      </c>
      <c r="I4290" t="s">
        <v>15</v>
      </c>
      <c r="J4290" t="s">
        <v>15</v>
      </c>
      <c r="K4290">
        <v>0</v>
      </c>
      <c r="L4290">
        <v>0</v>
      </c>
    </row>
    <row r="4291" spans="1:12" x14ac:dyDescent="0.3">
      <c r="A4291" t="s">
        <v>4307</v>
      </c>
      <c r="B4291" t="s">
        <v>17</v>
      </c>
      <c r="C4291">
        <v>349</v>
      </c>
      <c r="D4291">
        <v>6.28</v>
      </c>
      <c r="E4291">
        <v>1.1299999999999999</v>
      </c>
      <c r="F4291">
        <f>COUNTIFS(mdr_rate_cleaned!$A$2:$A$10,B4291,mdr_rate_cleaned!$B$2:$B$10,"&lt;"&amp;C4291,mdr_rate_cleaned!$F$2:$F$10,"&gt;="&amp;C4291)</f>
        <v>1</v>
      </c>
      <c r="G4291">
        <v>1.7999999999999999E-2</v>
      </c>
      <c r="H4291">
        <v>6.28</v>
      </c>
      <c r="I4291" t="s">
        <v>15</v>
      </c>
      <c r="J4291" t="s">
        <v>15</v>
      </c>
      <c r="K4291">
        <v>1.1299999999999999</v>
      </c>
      <c r="L4291">
        <v>0</v>
      </c>
    </row>
    <row r="4292" spans="1:12" x14ac:dyDescent="0.3">
      <c r="A4292" t="s">
        <v>4308</v>
      </c>
      <c r="B4292" t="s">
        <v>17</v>
      </c>
      <c r="C4292">
        <v>9298</v>
      </c>
      <c r="D4292">
        <v>148.77000000000001</v>
      </c>
      <c r="E4292">
        <v>26.78</v>
      </c>
      <c r="F4292">
        <f>COUNTIFS(mdr_rate_cleaned!$A$2:$A$10,B4292,mdr_rate_cleaned!$B$2:$B$10,"&lt;"&amp;C4292,mdr_rate_cleaned!$F$2:$F$10,"&gt;="&amp;C4292)</f>
        <v>1</v>
      </c>
      <c r="G4292">
        <v>1.6E-2</v>
      </c>
      <c r="H4292">
        <v>148.77000000000001</v>
      </c>
      <c r="I4292" t="s">
        <v>15</v>
      </c>
      <c r="J4292" t="s">
        <v>15</v>
      </c>
      <c r="K4292">
        <v>26.78</v>
      </c>
      <c r="L4292">
        <v>0</v>
      </c>
    </row>
    <row r="4293" spans="1:12" x14ac:dyDescent="0.3">
      <c r="A4293" t="s">
        <v>4309</v>
      </c>
      <c r="B4293" t="s">
        <v>21</v>
      </c>
      <c r="C4293">
        <v>3298</v>
      </c>
      <c r="D4293">
        <v>9.89</v>
      </c>
      <c r="E4293">
        <v>1.78</v>
      </c>
      <c r="F4293">
        <f>COUNTIFS(mdr_rate_cleaned!$A$2:$A$10,B4293,mdr_rate_cleaned!$B$2:$B$10,"&lt;"&amp;C4293,mdr_rate_cleaned!$F$2:$F$10,"&gt;="&amp;C4293)</f>
        <v>1</v>
      </c>
      <c r="G4293">
        <v>3.0000000000000001E-3</v>
      </c>
      <c r="H4293">
        <v>9.89</v>
      </c>
      <c r="I4293" t="s">
        <v>15</v>
      </c>
      <c r="J4293" t="s">
        <v>15</v>
      </c>
      <c r="K4293">
        <v>1.78</v>
      </c>
      <c r="L4293">
        <v>0</v>
      </c>
    </row>
    <row r="4294" spans="1:12" x14ac:dyDescent="0.3">
      <c r="A4294" t="s">
        <v>4310</v>
      </c>
      <c r="B4294" t="s">
        <v>21</v>
      </c>
      <c r="C4294">
        <v>1947</v>
      </c>
      <c r="D4294">
        <v>0</v>
      </c>
      <c r="E4294">
        <v>0</v>
      </c>
      <c r="F4294">
        <f>COUNTIFS(mdr_rate_cleaned!$A$2:$A$10,B4294,mdr_rate_cleaned!$B$2:$B$10,"&lt;"&amp;C4294,mdr_rate_cleaned!$F$2:$F$10,"&gt;="&amp;C4294)</f>
        <v>1</v>
      </c>
      <c r="G4294">
        <v>0</v>
      </c>
      <c r="H4294">
        <v>0</v>
      </c>
      <c r="I4294" t="s">
        <v>15</v>
      </c>
      <c r="J4294" t="s">
        <v>15</v>
      </c>
      <c r="K4294">
        <v>0</v>
      </c>
      <c r="L4294">
        <v>0</v>
      </c>
    </row>
    <row r="4295" spans="1:12" x14ac:dyDescent="0.3">
      <c r="A4295" t="s">
        <v>4311</v>
      </c>
      <c r="B4295" t="s">
        <v>21</v>
      </c>
      <c r="C4295">
        <v>10997</v>
      </c>
      <c r="D4295">
        <v>32.99</v>
      </c>
      <c r="E4295">
        <v>5.94</v>
      </c>
      <c r="F4295">
        <f>COUNTIFS(mdr_rate_cleaned!$A$2:$A$10,B4295,mdr_rate_cleaned!$B$2:$B$10,"&lt;"&amp;C4295,mdr_rate_cleaned!$F$2:$F$10,"&gt;="&amp;C4295)</f>
        <v>1</v>
      </c>
      <c r="G4295">
        <v>3.0000000000000001E-3</v>
      </c>
      <c r="H4295">
        <v>32.99</v>
      </c>
      <c r="I4295" t="s">
        <v>15</v>
      </c>
      <c r="J4295" t="s">
        <v>15</v>
      </c>
      <c r="K4295">
        <v>5.94</v>
      </c>
      <c r="L4295">
        <v>0</v>
      </c>
    </row>
    <row r="4296" spans="1:12" x14ac:dyDescent="0.3">
      <c r="A4296" t="s">
        <v>4312</v>
      </c>
      <c r="B4296" t="s">
        <v>39</v>
      </c>
      <c r="C4296">
        <v>9798</v>
      </c>
      <c r="D4296">
        <v>117.58</v>
      </c>
      <c r="E4296">
        <v>21.16</v>
      </c>
      <c r="F4296">
        <f>COUNTIFS(mdr_rate_cleaned!$A$2:$A$10,B4296,mdr_rate_cleaned!$B$2:$B$10,"&lt;"&amp;C4296,mdr_rate_cleaned!$F$2:$F$10,"&gt;="&amp;C4296)</f>
        <v>1</v>
      </c>
      <c r="G4296">
        <v>1.2E-2</v>
      </c>
      <c r="H4296">
        <v>117.58</v>
      </c>
      <c r="I4296" t="s">
        <v>15</v>
      </c>
      <c r="J4296" t="s">
        <v>15</v>
      </c>
      <c r="K4296">
        <v>21.16</v>
      </c>
      <c r="L4296">
        <v>0</v>
      </c>
    </row>
    <row r="4297" spans="1:12" x14ac:dyDescent="0.3">
      <c r="A4297" t="s">
        <v>4313</v>
      </c>
      <c r="B4297" t="s">
        <v>17</v>
      </c>
      <c r="C4297">
        <v>6297</v>
      </c>
      <c r="D4297">
        <v>100.75</v>
      </c>
      <c r="E4297">
        <v>18.14</v>
      </c>
      <c r="F4297">
        <f>COUNTIFS(mdr_rate_cleaned!$A$2:$A$10,B4297,mdr_rate_cleaned!$B$2:$B$10,"&lt;"&amp;C4297,mdr_rate_cleaned!$F$2:$F$10,"&gt;="&amp;C4297)</f>
        <v>1</v>
      </c>
      <c r="G4297">
        <v>1.6E-2</v>
      </c>
      <c r="H4297">
        <v>100.75</v>
      </c>
      <c r="I4297" t="s">
        <v>15</v>
      </c>
      <c r="J4297" t="s">
        <v>15</v>
      </c>
      <c r="K4297">
        <v>18.14</v>
      </c>
      <c r="L4297">
        <v>0</v>
      </c>
    </row>
    <row r="4298" spans="1:12" x14ac:dyDescent="0.3">
      <c r="A4298" t="s">
        <v>4314</v>
      </c>
      <c r="B4298" t="s">
        <v>21</v>
      </c>
      <c r="C4298">
        <v>5297</v>
      </c>
      <c r="D4298">
        <v>15.89</v>
      </c>
      <c r="E4298">
        <v>2.86</v>
      </c>
      <c r="F4298">
        <f>COUNTIFS(mdr_rate_cleaned!$A$2:$A$10,B4298,mdr_rate_cleaned!$B$2:$B$10,"&lt;"&amp;C4298,mdr_rate_cleaned!$F$2:$F$10,"&gt;="&amp;C4298)</f>
        <v>1</v>
      </c>
      <c r="G4298">
        <v>3.0000000000000001E-3</v>
      </c>
      <c r="H4298">
        <v>15.89</v>
      </c>
      <c r="I4298" t="s">
        <v>15</v>
      </c>
      <c r="J4298" t="s">
        <v>15</v>
      </c>
      <c r="K4298">
        <v>2.86</v>
      </c>
      <c r="L4298">
        <v>0</v>
      </c>
    </row>
    <row r="4299" spans="1:12" x14ac:dyDescent="0.3">
      <c r="A4299" t="s">
        <v>4315</v>
      </c>
      <c r="B4299" t="s">
        <v>21</v>
      </c>
      <c r="C4299">
        <v>7297</v>
      </c>
      <c r="D4299">
        <v>21.89</v>
      </c>
      <c r="E4299">
        <v>3.94</v>
      </c>
      <c r="F4299">
        <f>COUNTIFS(mdr_rate_cleaned!$A$2:$A$10,B4299,mdr_rate_cleaned!$B$2:$B$10,"&lt;"&amp;C4299,mdr_rate_cleaned!$F$2:$F$10,"&gt;="&amp;C4299)</f>
        <v>1</v>
      </c>
      <c r="G4299">
        <v>3.0000000000000001E-3</v>
      </c>
      <c r="H4299">
        <v>21.89</v>
      </c>
      <c r="I4299" t="s">
        <v>15</v>
      </c>
      <c r="J4299" t="s">
        <v>15</v>
      </c>
      <c r="K4299">
        <v>3.94</v>
      </c>
      <c r="L4299">
        <v>0</v>
      </c>
    </row>
    <row r="4300" spans="1:12" x14ac:dyDescent="0.3">
      <c r="A4300" t="s">
        <v>4316</v>
      </c>
      <c r="B4300" t="s">
        <v>13</v>
      </c>
      <c r="C4300">
        <v>2998</v>
      </c>
      <c r="D4300">
        <v>50.97</v>
      </c>
      <c r="E4300">
        <v>9.17</v>
      </c>
      <c r="F4300">
        <f>COUNTIFS(mdr_rate_cleaned!$A$2:$A$10,B4300,mdr_rate_cleaned!$B$2:$B$10,"&lt;"&amp;C4300,mdr_rate_cleaned!$F$2:$F$10,"&gt;="&amp;C4300)</f>
        <v>1</v>
      </c>
      <c r="G4300">
        <v>1.7000000000000001E-2</v>
      </c>
      <c r="H4300">
        <v>50.97</v>
      </c>
      <c r="I4300" t="s">
        <v>15</v>
      </c>
      <c r="J4300" t="s">
        <v>15</v>
      </c>
      <c r="K4300">
        <v>9.17</v>
      </c>
      <c r="L4300">
        <v>0</v>
      </c>
    </row>
    <row r="4301" spans="1:12" x14ac:dyDescent="0.3">
      <c r="A4301" t="s">
        <v>4317</v>
      </c>
      <c r="B4301" t="s">
        <v>21</v>
      </c>
      <c r="C4301">
        <v>7999</v>
      </c>
      <c r="D4301">
        <v>24</v>
      </c>
      <c r="E4301">
        <v>4.32</v>
      </c>
      <c r="F4301">
        <f>COUNTIFS(mdr_rate_cleaned!$A$2:$A$10,B4301,mdr_rate_cleaned!$B$2:$B$10,"&lt;"&amp;C4301,mdr_rate_cleaned!$F$2:$F$10,"&gt;="&amp;C4301)</f>
        <v>1</v>
      </c>
      <c r="G4301">
        <v>3.0000000000000001E-3</v>
      </c>
      <c r="H4301">
        <v>24</v>
      </c>
      <c r="I4301" t="s">
        <v>15</v>
      </c>
      <c r="J4301" t="s">
        <v>15</v>
      </c>
      <c r="K4301">
        <v>4.32</v>
      </c>
      <c r="L4301">
        <v>0</v>
      </c>
    </row>
    <row r="4302" spans="1:12" x14ac:dyDescent="0.3">
      <c r="A4302" t="s">
        <v>4318</v>
      </c>
      <c r="B4302" t="s">
        <v>21</v>
      </c>
      <c r="C4302">
        <v>9498</v>
      </c>
      <c r="D4302">
        <v>28.49</v>
      </c>
      <c r="E4302">
        <v>5.13</v>
      </c>
      <c r="F4302">
        <f>COUNTIFS(mdr_rate_cleaned!$A$2:$A$10,B4302,mdr_rate_cleaned!$B$2:$B$10,"&lt;"&amp;C4302,mdr_rate_cleaned!$F$2:$F$10,"&gt;="&amp;C4302)</f>
        <v>1</v>
      </c>
      <c r="G4302">
        <v>3.0000000000000001E-3</v>
      </c>
      <c r="H4302">
        <v>28.49</v>
      </c>
      <c r="I4302" t="s">
        <v>15</v>
      </c>
      <c r="J4302" t="s">
        <v>15</v>
      </c>
      <c r="K4302">
        <v>5.13</v>
      </c>
      <c r="L4302">
        <v>0</v>
      </c>
    </row>
    <row r="4303" spans="1:12" x14ac:dyDescent="0.3">
      <c r="A4303" t="s">
        <v>4319</v>
      </c>
      <c r="B4303" t="s">
        <v>21</v>
      </c>
      <c r="C4303">
        <v>1299</v>
      </c>
      <c r="D4303">
        <v>0</v>
      </c>
      <c r="E4303">
        <v>0</v>
      </c>
      <c r="F4303">
        <f>COUNTIFS(mdr_rate_cleaned!$A$2:$A$10,B4303,mdr_rate_cleaned!$B$2:$B$10,"&lt;"&amp;C4303,mdr_rate_cleaned!$F$2:$F$10,"&gt;="&amp;C4303)</f>
        <v>1</v>
      </c>
      <c r="G4303">
        <v>0</v>
      </c>
      <c r="H4303">
        <v>0</v>
      </c>
      <c r="I4303" t="s">
        <v>15</v>
      </c>
      <c r="J4303" t="s">
        <v>15</v>
      </c>
      <c r="K4303">
        <v>0</v>
      </c>
      <c r="L4303">
        <v>0</v>
      </c>
    </row>
    <row r="4304" spans="1:12" x14ac:dyDescent="0.3">
      <c r="A4304" t="s">
        <v>4320</v>
      </c>
      <c r="B4304" t="s">
        <v>17</v>
      </c>
      <c r="C4304">
        <v>499</v>
      </c>
      <c r="D4304">
        <v>8.98</v>
      </c>
      <c r="E4304">
        <v>1.62</v>
      </c>
      <c r="F4304">
        <f>COUNTIFS(mdr_rate_cleaned!$A$2:$A$10,B4304,mdr_rate_cleaned!$B$2:$B$10,"&lt;"&amp;C4304,mdr_rate_cleaned!$F$2:$F$10,"&gt;="&amp;C4304)</f>
        <v>1</v>
      </c>
      <c r="G4304">
        <v>1.7999999999999999E-2</v>
      </c>
      <c r="H4304">
        <v>8.98</v>
      </c>
      <c r="I4304" t="s">
        <v>15</v>
      </c>
      <c r="J4304" t="s">
        <v>15</v>
      </c>
      <c r="K4304">
        <v>1.62</v>
      </c>
      <c r="L4304">
        <v>0</v>
      </c>
    </row>
    <row r="4305" spans="1:12" x14ac:dyDescent="0.3">
      <c r="A4305" t="s">
        <v>4321</v>
      </c>
      <c r="B4305" t="s">
        <v>21</v>
      </c>
      <c r="C4305">
        <v>2999</v>
      </c>
      <c r="D4305">
        <v>9</v>
      </c>
      <c r="E4305">
        <v>1.62</v>
      </c>
      <c r="F4305">
        <f>COUNTIFS(mdr_rate_cleaned!$A$2:$A$10,B4305,mdr_rate_cleaned!$B$2:$B$10,"&lt;"&amp;C4305,mdr_rate_cleaned!$F$2:$F$10,"&gt;="&amp;C4305)</f>
        <v>1</v>
      </c>
      <c r="G4305">
        <v>3.0000000000000001E-3</v>
      </c>
      <c r="H4305">
        <v>9</v>
      </c>
      <c r="I4305" t="s">
        <v>15</v>
      </c>
      <c r="J4305" t="s">
        <v>15</v>
      </c>
      <c r="K4305">
        <v>1.62</v>
      </c>
      <c r="L4305">
        <v>0</v>
      </c>
    </row>
    <row r="4306" spans="1:12" x14ac:dyDescent="0.3">
      <c r="A4306" t="s">
        <v>4322</v>
      </c>
      <c r="B4306" t="s">
        <v>13</v>
      </c>
      <c r="C4306">
        <v>349</v>
      </c>
      <c r="D4306">
        <v>6.63</v>
      </c>
      <c r="E4306">
        <v>1.19</v>
      </c>
      <c r="F4306">
        <f>COUNTIFS(mdr_rate_cleaned!$A$2:$A$10,B4306,mdr_rate_cleaned!$B$2:$B$10,"&lt;"&amp;C4306,mdr_rate_cleaned!$F$2:$F$10,"&gt;="&amp;C4306)</f>
        <v>1</v>
      </c>
      <c r="G4306">
        <v>1.9E-2</v>
      </c>
      <c r="H4306">
        <v>6.63</v>
      </c>
      <c r="I4306" t="s">
        <v>15</v>
      </c>
      <c r="J4306" t="s">
        <v>15</v>
      </c>
      <c r="K4306">
        <v>1.19</v>
      </c>
      <c r="L4306">
        <v>0</v>
      </c>
    </row>
    <row r="4307" spans="1:12" x14ac:dyDescent="0.3">
      <c r="A4307" t="s">
        <v>4323</v>
      </c>
      <c r="B4307" t="s">
        <v>21</v>
      </c>
      <c r="C4307">
        <v>4999</v>
      </c>
      <c r="D4307">
        <v>15</v>
      </c>
      <c r="E4307">
        <v>2.7</v>
      </c>
      <c r="F4307">
        <f>COUNTIFS(mdr_rate_cleaned!$A$2:$A$10,B4307,mdr_rate_cleaned!$B$2:$B$10,"&lt;"&amp;C4307,mdr_rate_cleaned!$F$2:$F$10,"&gt;="&amp;C4307)</f>
        <v>1</v>
      </c>
      <c r="G4307">
        <v>3.0000000000000001E-3</v>
      </c>
      <c r="H4307">
        <v>15</v>
      </c>
      <c r="I4307" t="s">
        <v>15</v>
      </c>
      <c r="J4307" t="s">
        <v>15</v>
      </c>
      <c r="K4307">
        <v>2.7</v>
      </c>
      <c r="L4307">
        <v>0</v>
      </c>
    </row>
    <row r="4308" spans="1:12" x14ac:dyDescent="0.3">
      <c r="A4308" t="s">
        <v>4324</v>
      </c>
      <c r="B4308" t="s">
        <v>21</v>
      </c>
      <c r="C4308">
        <v>2999</v>
      </c>
      <c r="D4308">
        <v>9</v>
      </c>
      <c r="E4308">
        <v>1.62</v>
      </c>
      <c r="F4308">
        <f>COUNTIFS(mdr_rate_cleaned!$A$2:$A$10,B4308,mdr_rate_cleaned!$B$2:$B$10,"&lt;"&amp;C4308,mdr_rate_cleaned!$F$2:$F$10,"&gt;="&amp;C4308)</f>
        <v>1</v>
      </c>
      <c r="G4308">
        <v>3.0000000000000001E-3</v>
      </c>
      <c r="H4308">
        <v>9</v>
      </c>
      <c r="I4308" t="s">
        <v>15</v>
      </c>
      <c r="J4308" t="s">
        <v>15</v>
      </c>
      <c r="K4308">
        <v>1.62</v>
      </c>
      <c r="L4308">
        <v>0</v>
      </c>
    </row>
    <row r="4309" spans="1:12" x14ac:dyDescent="0.3">
      <c r="A4309" t="s">
        <v>4325</v>
      </c>
      <c r="B4309" t="s">
        <v>21</v>
      </c>
      <c r="C4309">
        <v>3347</v>
      </c>
      <c r="D4309">
        <v>10.039999999999999</v>
      </c>
      <c r="E4309">
        <v>1.81</v>
      </c>
      <c r="F4309">
        <f>COUNTIFS(mdr_rate_cleaned!$A$2:$A$10,B4309,mdr_rate_cleaned!$B$2:$B$10,"&lt;"&amp;C4309,mdr_rate_cleaned!$F$2:$F$10,"&gt;="&amp;C4309)</f>
        <v>1</v>
      </c>
      <c r="G4309">
        <v>3.0000000000000001E-3</v>
      </c>
      <c r="H4309">
        <v>10.039999999999999</v>
      </c>
      <c r="I4309" t="s">
        <v>15</v>
      </c>
      <c r="J4309" t="s">
        <v>15</v>
      </c>
      <c r="K4309">
        <v>1.81</v>
      </c>
      <c r="L4309">
        <v>0</v>
      </c>
    </row>
    <row r="4310" spans="1:12" x14ac:dyDescent="0.3">
      <c r="A4310" t="s">
        <v>4326</v>
      </c>
      <c r="B4310" t="s">
        <v>21</v>
      </c>
      <c r="C4310">
        <v>999</v>
      </c>
      <c r="D4310">
        <v>0</v>
      </c>
      <c r="E4310">
        <v>0</v>
      </c>
      <c r="F4310">
        <f>COUNTIFS(mdr_rate_cleaned!$A$2:$A$10,B4310,mdr_rate_cleaned!$B$2:$B$10,"&lt;"&amp;C4310,mdr_rate_cleaned!$F$2:$F$10,"&gt;="&amp;C4310)</f>
        <v>1</v>
      </c>
      <c r="G4310">
        <v>0</v>
      </c>
      <c r="H4310">
        <v>0</v>
      </c>
      <c r="I4310" t="s">
        <v>15</v>
      </c>
      <c r="J4310" t="s">
        <v>15</v>
      </c>
      <c r="K4310">
        <v>0</v>
      </c>
      <c r="L4310">
        <v>0</v>
      </c>
    </row>
    <row r="4311" spans="1:12" x14ac:dyDescent="0.3">
      <c r="A4311" t="s">
        <v>4327</v>
      </c>
      <c r="B4311" t="s">
        <v>21</v>
      </c>
      <c r="C4311">
        <v>10498</v>
      </c>
      <c r="D4311">
        <v>31.49</v>
      </c>
      <c r="E4311">
        <v>5.67</v>
      </c>
      <c r="F4311">
        <f>COUNTIFS(mdr_rate_cleaned!$A$2:$A$10,B4311,mdr_rate_cleaned!$B$2:$B$10,"&lt;"&amp;C4311,mdr_rate_cleaned!$F$2:$F$10,"&gt;="&amp;C4311)</f>
        <v>1</v>
      </c>
      <c r="G4311">
        <v>3.0000000000000001E-3</v>
      </c>
      <c r="H4311">
        <v>31.49</v>
      </c>
      <c r="I4311" t="s">
        <v>15</v>
      </c>
      <c r="J4311" t="s">
        <v>15</v>
      </c>
      <c r="K4311">
        <v>5.67</v>
      </c>
      <c r="L4311">
        <v>0</v>
      </c>
    </row>
    <row r="4312" spans="1:12" x14ac:dyDescent="0.3">
      <c r="A4312" t="s">
        <v>4328</v>
      </c>
      <c r="B4312" t="s">
        <v>13</v>
      </c>
      <c r="C4312">
        <v>1299</v>
      </c>
      <c r="D4312">
        <v>24.68</v>
      </c>
      <c r="E4312">
        <v>4.4400000000000004</v>
      </c>
      <c r="F4312">
        <f>COUNTIFS(mdr_rate_cleaned!$A$2:$A$10,B4312,mdr_rate_cleaned!$B$2:$B$10,"&lt;"&amp;C4312,mdr_rate_cleaned!$F$2:$F$10,"&gt;="&amp;C4312)</f>
        <v>1</v>
      </c>
      <c r="G4312">
        <v>1.9E-2</v>
      </c>
      <c r="H4312">
        <v>24.68</v>
      </c>
      <c r="I4312" t="s">
        <v>15</v>
      </c>
      <c r="J4312" t="s">
        <v>15</v>
      </c>
      <c r="K4312">
        <v>4.4400000000000004</v>
      </c>
      <c r="L4312">
        <v>0</v>
      </c>
    </row>
    <row r="4313" spans="1:12" x14ac:dyDescent="0.3">
      <c r="A4313" t="s">
        <v>4329</v>
      </c>
      <c r="B4313" t="s">
        <v>17</v>
      </c>
      <c r="C4313">
        <v>2298</v>
      </c>
      <c r="D4313">
        <v>36.770000000000003</v>
      </c>
      <c r="E4313">
        <v>6.62</v>
      </c>
      <c r="F4313">
        <f>COUNTIFS(mdr_rate_cleaned!$A$2:$A$10,B4313,mdr_rate_cleaned!$B$2:$B$10,"&lt;"&amp;C4313,mdr_rate_cleaned!$F$2:$F$10,"&gt;="&amp;C4313)</f>
        <v>1</v>
      </c>
      <c r="G4313">
        <v>1.6E-2</v>
      </c>
      <c r="H4313">
        <v>36.770000000000003</v>
      </c>
      <c r="I4313" t="s">
        <v>15</v>
      </c>
      <c r="J4313" t="s">
        <v>15</v>
      </c>
      <c r="K4313">
        <v>6.62</v>
      </c>
      <c r="L4313">
        <v>0</v>
      </c>
    </row>
    <row r="4314" spans="1:12" x14ac:dyDescent="0.3">
      <c r="A4314" t="s">
        <v>4330</v>
      </c>
      <c r="B4314" t="s">
        <v>39</v>
      </c>
      <c r="C4314">
        <v>1799</v>
      </c>
      <c r="D4314">
        <v>26.99</v>
      </c>
      <c r="E4314">
        <v>4.8600000000000003</v>
      </c>
      <c r="F4314">
        <f>COUNTIFS(mdr_rate_cleaned!$A$2:$A$10,B4314,mdr_rate_cleaned!$B$2:$B$10,"&lt;"&amp;C4314,mdr_rate_cleaned!$F$2:$F$10,"&gt;="&amp;C4314)</f>
        <v>1</v>
      </c>
      <c r="G4314">
        <v>1.4999999999999999E-2</v>
      </c>
      <c r="H4314">
        <v>26.99</v>
      </c>
      <c r="I4314" t="s">
        <v>15</v>
      </c>
      <c r="J4314" t="s">
        <v>15</v>
      </c>
      <c r="K4314">
        <v>4.8600000000000003</v>
      </c>
      <c r="L4314">
        <v>0</v>
      </c>
    </row>
    <row r="4315" spans="1:12" x14ac:dyDescent="0.3">
      <c r="A4315" t="s">
        <v>4331</v>
      </c>
      <c r="B4315" t="s">
        <v>21</v>
      </c>
      <c r="C4315">
        <v>4697</v>
      </c>
      <c r="D4315">
        <v>14.09</v>
      </c>
      <c r="E4315">
        <v>2.54</v>
      </c>
      <c r="F4315">
        <f>COUNTIFS(mdr_rate_cleaned!$A$2:$A$10,B4315,mdr_rate_cleaned!$B$2:$B$10,"&lt;"&amp;C4315,mdr_rate_cleaned!$F$2:$F$10,"&gt;="&amp;C4315)</f>
        <v>1</v>
      </c>
      <c r="G4315">
        <v>3.0000000000000001E-3</v>
      </c>
      <c r="H4315">
        <v>14.09</v>
      </c>
      <c r="I4315" t="s">
        <v>15</v>
      </c>
      <c r="J4315" t="s">
        <v>15</v>
      </c>
      <c r="K4315">
        <v>2.54</v>
      </c>
      <c r="L4315">
        <v>0</v>
      </c>
    </row>
    <row r="4316" spans="1:12" x14ac:dyDescent="0.3">
      <c r="A4316" t="s">
        <v>4332</v>
      </c>
      <c r="B4316" t="s">
        <v>39</v>
      </c>
      <c r="C4316">
        <v>2598</v>
      </c>
      <c r="D4316">
        <v>31.18</v>
      </c>
      <c r="E4316">
        <v>5.61</v>
      </c>
      <c r="F4316">
        <f>COUNTIFS(mdr_rate_cleaned!$A$2:$A$10,B4316,mdr_rate_cleaned!$B$2:$B$10,"&lt;"&amp;C4316,mdr_rate_cleaned!$F$2:$F$10,"&gt;="&amp;C4316)</f>
        <v>1</v>
      </c>
      <c r="G4316">
        <v>1.2E-2</v>
      </c>
      <c r="H4316">
        <v>31.18</v>
      </c>
      <c r="I4316" t="s">
        <v>15</v>
      </c>
      <c r="J4316" t="s">
        <v>15</v>
      </c>
      <c r="K4316">
        <v>5.61</v>
      </c>
      <c r="L4316">
        <v>0</v>
      </c>
    </row>
    <row r="4317" spans="1:12" x14ac:dyDescent="0.3">
      <c r="A4317" t="s">
        <v>4333</v>
      </c>
      <c r="B4317" t="s">
        <v>39</v>
      </c>
      <c r="C4317">
        <v>4999</v>
      </c>
      <c r="D4317">
        <v>59.99</v>
      </c>
      <c r="E4317">
        <v>10.8</v>
      </c>
      <c r="F4317">
        <f>COUNTIFS(mdr_rate_cleaned!$A$2:$A$10,B4317,mdr_rate_cleaned!$B$2:$B$10,"&lt;"&amp;C4317,mdr_rate_cleaned!$F$2:$F$10,"&gt;="&amp;C4317)</f>
        <v>1</v>
      </c>
      <c r="G4317">
        <v>1.2E-2</v>
      </c>
      <c r="H4317">
        <v>59.99</v>
      </c>
      <c r="I4317" t="s">
        <v>15</v>
      </c>
      <c r="J4317" t="s">
        <v>15</v>
      </c>
      <c r="K4317">
        <v>10.8</v>
      </c>
      <c r="L4317">
        <v>0</v>
      </c>
    </row>
    <row r="4318" spans="1:12" x14ac:dyDescent="0.3">
      <c r="A4318" t="s">
        <v>4334</v>
      </c>
      <c r="B4318" t="s">
        <v>21</v>
      </c>
      <c r="C4318">
        <v>299</v>
      </c>
      <c r="D4318">
        <v>0</v>
      </c>
      <c r="E4318">
        <v>0</v>
      </c>
      <c r="F4318">
        <f>COUNTIFS(mdr_rate_cleaned!$A$2:$A$10,B4318,mdr_rate_cleaned!$B$2:$B$10,"&lt;"&amp;C4318,mdr_rate_cleaned!$F$2:$F$10,"&gt;="&amp;C4318)</f>
        <v>1</v>
      </c>
      <c r="G4318">
        <v>0</v>
      </c>
      <c r="H4318">
        <v>0</v>
      </c>
      <c r="I4318" t="s">
        <v>15</v>
      </c>
      <c r="J4318" t="s">
        <v>15</v>
      </c>
      <c r="K4318">
        <v>0</v>
      </c>
      <c r="L4318">
        <v>0</v>
      </c>
    </row>
    <row r="4319" spans="1:12" x14ac:dyDescent="0.3">
      <c r="A4319" t="s">
        <v>4335</v>
      </c>
      <c r="B4319" t="s">
        <v>13</v>
      </c>
      <c r="C4319">
        <v>2798</v>
      </c>
      <c r="D4319">
        <v>47.57</v>
      </c>
      <c r="E4319">
        <v>8.56</v>
      </c>
      <c r="F4319">
        <f>COUNTIFS(mdr_rate_cleaned!$A$2:$A$10,B4319,mdr_rate_cleaned!$B$2:$B$10,"&lt;"&amp;C4319,mdr_rate_cleaned!$F$2:$F$10,"&gt;="&amp;C4319)</f>
        <v>1</v>
      </c>
      <c r="G4319">
        <v>1.7000000000000001E-2</v>
      </c>
      <c r="H4319">
        <v>47.57</v>
      </c>
      <c r="I4319" t="s">
        <v>15</v>
      </c>
      <c r="J4319" t="s">
        <v>15</v>
      </c>
      <c r="K4319">
        <v>8.56</v>
      </c>
      <c r="L4319">
        <v>0</v>
      </c>
    </row>
    <row r="4320" spans="1:12" x14ac:dyDescent="0.3">
      <c r="A4320" t="s">
        <v>4336</v>
      </c>
      <c r="B4320" t="s">
        <v>39</v>
      </c>
      <c r="C4320">
        <v>11597</v>
      </c>
      <c r="D4320">
        <v>104.37</v>
      </c>
      <c r="E4320">
        <v>18.79</v>
      </c>
      <c r="F4320">
        <f>COUNTIFS(mdr_rate_cleaned!$A$2:$A$10,B4320,mdr_rate_cleaned!$B$2:$B$10,"&lt;"&amp;C4320,mdr_rate_cleaned!$F$2:$F$10,"&gt;="&amp;C4320)</f>
        <v>1</v>
      </c>
      <c r="G4320">
        <v>8.9999999999999993E-3</v>
      </c>
      <c r="H4320">
        <v>104.37</v>
      </c>
      <c r="I4320" t="s">
        <v>15</v>
      </c>
      <c r="J4320" t="s">
        <v>15</v>
      </c>
      <c r="K4320">
        <v>18.79</v>
      </c>
      <c r="L4320">
        <v>0</v>
      </c>
    </row>
    <row r="4321" spans="1:12" x14ac:dyDescent="0.3">
      <c r="A4321" t="s">
        <v>4337</v>
      </c>
      <c r="B4321" t="s">
        <v>17</v>
      </c>
      <c r="C4321">
        <v>1747</v>
      </c>
      <c r="D4321">
        <v>31.45</v>
      </c>
      <c r="E4321">
        <v>5.66</v>
      </c>
      <c r="F4321">
        <f>COUNTIFS(mdr_rate_cleaned!$A$2:$A$10,B4321,mdr_rate_cleaned!$B$2:$B$10,"&lt;"&amp;C4321,mdr_rate_cleaned!$F$2:$F$10,"&gt;="&amp;C4321)</f>
        <v>1</v>
      </c>
      <c r="G4321">
        <v>1.7999999999999999E-2</v>
      </c>
      <c r="H4321">
        <v>31.45</v>
      </c>
      <c r="I4321" t="s">
        <v>15</v>
      </c>
      <c r="J4321" t="s">
        <v>15</v>
      </c>
      <c r="K4321">
        <v>5.66</v>
      </c>
      <c r="L4321">
        <v>0</v>
      </c>
    </row>
    <row r="4322" spans="1:12" x14ac:dyDescent="0.3">
      <c r="A4322" t="s">
        <v>4338</v>
      </c>
      <c r="B4322" t="s">
        <v>17</v>
      </c>
      <c r="C4322">
        <v>2098</v>
      </c>
      <c r="D4322">
        <v>33.57</v>
      </c>
      <c r="E4322">
        <v>6.04</v>
      </c>
      <c r="F4322">
        <f>COUNTIFS(mdr_rate_cleaned!$A$2:$A$10,B4322,mdr_rate_cleaned!$B$2:$B$10,"&lt;"&amp;C4322,mdr_rate_cleaned!$F$2:$F$10,"&gt;="&amp;C4322)</f>
        <v>1</v>
      </c>
      <c r="G4322">
        <v>1.6E-2</v>
      </c>
      <c r="H4322">
        <v>33.57</v>
      </c>
      <c r="I4322" t="s">
        <v>15</v>
      </c>
      <c r="J4322" t="s">
        <v>15</v>
      </c>
      <c r="K4322">
        <v>6.04</v>
      </c>
      <c r="L4322">
        <v>0</v>
      </c>
    </row>
    <row r="4323" spans="1:12" x14ac:dyDescent="0.3">
      <c r="A4323" t="s">
        <v>4339</v>
      </c>
      <c r="B4323" t="s">
        <v>21</v>
      </c>
      <c r="C4323">
        <v>1598</v>
      </c>
      <c r="D4323">
        <v>0</v>
      </c>
      <c r="E4323">
        <v>0</v>
      </c>
      <c r="F4323">
        <f>COUNTIFS(mdr_rate_cleaned!$A$2:$A$10,B4323,mdr_rate_cleaned!$B$2:$B$10,"&lt;"&amp;C4323,mdr_rate_cleaned!$F$2:$F$10,"&gt;="&amp;C4323)</f>
        <v>1</v>
      </c>
      <c r="G4323">
        <v>0</v>
      </c>
      <c r="H4323">
        <v>0</v>
      </c>
      <c r="I4323" t="s">
        <v>15</v>
      </c>
      <c r="J4323" t="s">
        <v>15</v>
      </c>
      <c r="K4323">
        <v>0</v>
      </c>
      <c r="L4323">
        <v>0</v>
      </c>
    </row>
    <row r="4324" spans="1:12" x14ac:dyDescent="0.3">
      <c r="A4324" t="s">
        <v>4340</v>
      </c>
      <c r="B4324" t="s">
        <v>21</v>
      </c>
      <c r="C4324">
        <v>4998</v>
      </c>
      <c r="D4324">
        <v>14.99</v>
      </c>
      <c r="E4324">
        <v>2.7</v>
      </c>
      <c r="F4324">
        <f>COUNTIFS(mdr_rate_cleaned!$A$2:$A$10,B4324,mdr_rate_cleaned!$B$2:$B$10,"&lt;"&amp;C4324,mdr_rate_cleaned!$F$2:$F$10,"&gt;="&amp;C4324)</f>
        <v>1</v>
      </c>
      <c r="G4324">
        <v>3.0000000000000001E-3</v>
      </c>
      <c r="H4324">
        <v>14.99</v>
      </c>
      <c r="I4324" t="s">
        <v>15</v>
      </c>
      <c r="J4324" t="s">
        <v>15</v>
      </c>
      <c r="K4324">
        <v>2.7</v>
      </c>
      <c r="L4324">
        <v>0</v>
      </c>
    </row>
    <row r="4325" spans="1:12" x14ac:dyDescent="0.3">
      <c r="A4325" t="s">
        <v>4341</v>
      </c>
      <c r="B4325" t="s">
        <v>17</v>
      </c>
      <c r="C4325">
        <v>4597</v>
      </c>
      <c r="D4325">
        <v>73.55</v>
      </c>
      <c r="E4325">
        <v>13.24</v>
      </c>
      <c r="F4325">
        <f>COUNTIFS(mdr_rate_cleaned!$A$2:$A$10,B4325,mdr_rate_cleaned!$B$2:$B$10,"&lt;"&amp;C4325,mdr_rate_cleaned!$F$2:$F$10,"&gt;="&amp;C4325)</f>
        <v>1</v>
      </c>
      <c r="G4325">
        <v>1.6E-2</v>
      </c>
      <c r="H4325">
        <v>73.55</v>
      </c>
      <c r="I4325" t="s">
        <v>15</v>
      </c>
      <c r="J4325" t="s">
        <v>15</v>
      </c>
      <c r="K4325">
        <v>13.24</v>
      </c>
      <c r="L4325">
        <v>0</v>
      </c>
    </row>
    <row r="4326" spans="1:12" x14ac:dyDescent="0.3">
      <c r="A4326" t="s">
        <v>4342</v>
      </c>
      <c r="B4326" t="s">
        <v>17</v>
      </c>
      <c r="C4326">
        <v>3098</v>
      </c>
      <c r="D4326">
        <v>49.57</v>
      </c>
      <c r="E4326">
        <v>8.92</v>
      </c>
      <c r="F4326">
        <f>COUNTIFS(mdr_rate_cleaned!$A$2:$A$10,B4326,mdr_rate_cleaned!$B$2:$B$10,"&lt;"&amp;C4326,mdr_rate_cleaned!$F$2:$F$10,"&gt;="&amp;C4326)</f>
        <v>1</v>
      </c>
      <c r="G4326">
        <v>1.6E-2</v>
      </c>
      <c r="H4326">
        <v>49.57</v>
      </c>
      <c r="I4326" t="s">
        <v>15</v>
      </c>
      <c r="J4326" t="s">
        <v>15</v>
      </c>
      <c r="K4326">
        <v>8.92</v>
      </c>
      <c r="L4326">
        <v>0</v>
      </c>
    </row>
    <row r="4327" spans="1:12" x14ac:dyDescent="0.3">
      <c r="A4327" t="s">
        <v>4343</v>
      </c>
      <c r="B4327" t="s">
        <v>17</v>
      </c>
      <c r="C4327">
        <v>3147</v>
      </c>
      <c r="D4327">
        <v>50.35</v>
      </c>
      <c r="E4327">
        <v>9.06</v>
      </c>
      <c r="F4327">
        <f>COUNTIFS(mdr_rate_cleaned!$A$2:$A$10,B4327,mdr_rate_cleaned!$B$2:$B$10,"&lt;"&amp;C4327,mdr_rate_cleaned!$F$2:$F$10,"&gt;="&amp;C4327)</f>
        <v>1</v>
      </c>
      <c r="G4327">
        <v>1.6E-2</v>
      </c>
      <c r="H4327">
        <v>50.35</v>
      </c>
      <c r="I4327" t="s">
        <v>15</v>
      </c>
      <c r="J4327" t="s">
        <v>15</v>
      </c>
      <c r="K4327">
        <v>9.06</v>
      </c>
      <c r="L4327">
        <v>0</v>
      </c>
    </row>
    <row r="4328" spans="1:12" x14ac:dyDescent="0.3">
      <c r="A4328" t="s">
        <v>4344</v>
      </c>
      <c r="B4328" t="s">
        <v>21</v>
      </c>
      <c r="C4328">
        <v>3848</v>
      </c>
      <c r="D4328">
        <v>11.54</v>
      </c>
      <c r="E4328">
        <v>2.08</v>
      </c>
      <c r="F4328">
        <f>COUNTIFS(mdr_rate_cleaned!$A$2:$A$10,B4328,mdr_rate_cleaned!$B$2:$B$10,"&lt;"&amp;C4328,mdr_rate_cleaned!$F$2:$F$10,"&gt;="&amp;C4328)</f>
        <v>1</v>
      </c>
      <c r="G4328">
        <v>3.0000000000000001E-3</v>
      </c>
      <c r="H4328">
        <v>11.54</v>
      </c>
      <c r="I4328" t="s">
        <v>15</v>
      </c>
      <c r="J4328" t="s">
        <v>15</v>
      </c>
      <c r="K4328">
        <v>2.08</v>
      </c>
      <c r="L4328">
        <v>0</v>
      </c>
    </row>
    <row r="4329" spans="1:12" x14ac:dyDescent="0.3">
      <c r="A4329" t="s">
        <v>4345</v>
      </c>
      <c r="B4329" t="s">
        <v>21</v>
      </c>
      <c r="C4329">
        <v>999</v>
      </c>
      <c r="D4329">
        <v>0</v>
      </c>
      <c r="E4329">
        <v>0</v>
      </c>
      <c r="F4329">
        <f>COUNTIFS(mdr_rate_cleaned!$A$2:$A$10,B4329,mdr_rate_cleaned!$B$2:$B$10,"&lt;"&amp;C4329,mdr_rate_cleaned!$F$2:$F$10,"&gt;="&amp;C4329)</f>
        <v>1</v>
      </c>
      <c r="G4329">
        <v>0</v>
      </c>
      <c r="H4329">
        <v>0</v>
      </c>
      <c r="I4329" t="s">
        <v>15</v>
      </c>
      <c r="J4329" t="s">
        <v>15</v>
      </c>
      <c r="K4329">
        <v>0</v>
      </c>
      <c r="L4329">
        <v>0</v>
      </c>
    </row>
    <row r="4330" spans="1:12" x14ac:dyDescent="0.3">
      <c r="A4330" t="s">
        <v>4346</v>
      </c>
      <c r="B4330" t="s">
        <v>39</v>
      </c>
      <c r="C4330">
        <v>3499</v>
      </c>
      <c r="D4330">
        <v>41.99</v>
      </c>
      <c r="E4330">
        <v>7.56</v>
      </c>
      <c r="F4330">
        <f>COUNTIFS(mdr_rate_cleaned!$A$2:$A$10,B4330,mdr_rate_cleaned!$B$2:$B$10,"&lt;"&amp;C4330,mdr_rate_cleaned!$F$2:$F$10,"&gt;="&amp;C4330)</f>
        <v>1</v>
      </c>
      <c r="G4330">
        <v>1.2E-2</v>
      </c>
      <c r="H4330">
        <v>41.99</v>
      </c>
      <c r="I4330" t="s">
        <v>15</v>
      </c>
      <c r="J4330" t="s">
        <v>15</v>
      </c>
      <c r="K4330">
        <v>7.56</v>
      </c>
      <c r="L4330">
        <v>0</v>
      </c>
    </row>
    <row r="4331" spans="1:12" x14ac:dyDescent="0.3">
      <c r="A4331" t="s">
        <v>4347</v>
      </c>
      <c r="B4331" t="s">
        <v>39</v>
      </c>
      <c r="C4331">
        <v>4798</v>
      </c>
      <c r="D4331">
        <v>57.58</v>
      </c>
      <c r="E4331">
        <v>10.36</v>
      </c>
      <c r="F4331">
        <f>COUNTIFS(mdr_rate_cleaned!$A$2:$A$10,B4331,mdr_rate_cleaned!$B$2:$B$10,"&lt;"&amp;C4331,mdr_rate_cleaned!$F$2:$F$10,"&gt;="&amp;C4331)</f>
        <v>1</v>
      </c>
      <c r="G4331">
        <v>1.2E-2</v>
      </c>
      <c r="H4331">
        <v>57.58</v>
      </c>
      <c r="I4331" t="s">
        <v>15</v>
      </c>
      <c r="J4331" t="s">
        <v>15</v>
      </c>
      <c r="K4331">
        <v>10.36</v>
      </c>
      <c r="L4331">
        <v>0</v>
      </c>
    </row>
    <row r="4332" spans="1:12" x14ac:dyDescent="0.3">
      <c r="A4332" t="s">
        <v>4348</v>
      </c>
      <c r="B4332" t="s">
        <v>21</v>
      </c>
      <c r="C4332">
        <v>12297</v>
      </c>
      <c r="D4332">
        <v>36.89</v>
      </c>
      <c r="E4332">
        <v>6.64</v>
      </c>
      <c r="F4332">
        <f>COUNTIFS(mdr_rate_cleaned!$A$2:$A$10,B4332,mdr_rate_cleaned!$B$2:$B$10,"&lt;"&amp;C4332,mdr_rate_cleaned!$F$2:$F$10,"&gt;="&amp;C4332)</f>
        <v>1</v>
      </c>
      <c r="G4332">
        <v>3.0000000000000001E-3</v>
      </c>
      <c r="H4332">
        <v>36.89</v>
      </c>
      <c r="I4332" t="s">
        <v>15</v>
      </c>
      <c r="J4332" t="s">
        <v>15</v>
      </c>
      <c r="K4332">
        <v>6.64</v>
      </c>
      <c r="L4332">
        <v>0</v>
      </c>
    </row>
    <row r="4333" spans="1:12" x14ac:dyDescent="0.3">
      <c r="A4333" t="s">
        <v>4349</v>
      </c>
      <c r="B4333" t="s">
        <v>21</v>
      </c>
      <c r="C4333">
        <v>1098</v>
      </c>
      <c r="D4333">
        <v>0</v>
      </c>
      <c r="E4333">
        <v>0</v>
      </c>
      <c r="F4333">
        <f>COUNTIFS(mdr_rate_cleaned!$A$2:$A$10,B4333,mdr_rate_cleaned!$B$2:$B$10,"&lt;"&amp;C4333,mdr_rate_cleaned!$F$2:$F$10,"&gt;="&amp;C4333)</f>
        <v>1</v>
      </c>
      <c r="G4333">
        <v>0</v>
      </c>
      <c r="H4333">
        <v>0</v>
      </c>
      <c r="I4333" t="s">
        <v>15</v>
      </c>
      <c r="J4333" t="s">
        <v>15</v>
      </c>
      <c r="K4333">
        <v>0</v>
      </c>
      <c r="L4333">
        <v>0</v>
      </c>
    </row>
    <row r="4334" spans="1:12" x14ac:dyDescent="0.3">
      <c r="A4334" t="s">
        <v>4350</v>
      </c>
      <c r="B4334" t="s">
        <v>21</v>
      </c>
      <c r="C4334">
        <v>299</v>
      </c>
      <c r="D4334">
        <v>0.9</v>
      </c>
      <c r="E4334">
        <v>0.16</v>
      </c>
      <c r="F4334">
        <f>COUNTIFS(mdr_rate_cleaned!$A$2:$A$10,B4334,mdr_rate_cleaned!$B$2:$B$10,"&lt;"&amp;C4334,mdr_rate_cleaned!$F$2:$F$10,"&gt;="&amp;C4334)</f>
        <v>1</v>
      </c>
      <c r="G4334">
        <v>0</v>
      </c>
      <c r="H4334">
        <v>0</v>
      </c>
      <c r="I4334" t="s">
        <v>14</v>
      </c>
      <c r="J4334" t="s">
        <v>15</v>
      </c>
      <c r="K4334">
        <v>0</v>
      </c>
      <c r="L4334">
        <v>1.06</v>
      </c>
    </row>
    <row r="4335" spans="1:12" x14ac:dyDescent="0.3">
      <c r="A4335" t="s">
        <v>4351</v>
      </c>
      <c r="B4335" t="s">
        <v>39</v>
      </c>
      <c r="C4335">
        <v>4397</v>
      </c>
      <c r="D4335">
        <v>52.76</v>
      </c>
      <c r="E4335">
        <v>9.5</v>
      </c>
      <c r="F4335">
        <f>COUNTIFS(mdr_rate_cleaned!$A$2:$A$10,B4335,mdr_rate_cleaned!$B$2:$B$10,"&lt;"&amp;C4335,mdr_rate_cleaned!$F$2:$F$10,"&gt;="&amp;C4335)</f>
        <v>1</v>
      </c>
      <c r="G4335">
        <v>1.2E-2</v>
      </c>
      <c r="H4335">
        <v>52.76</v>
      </c>
      <c r="I4335" t="s">
        <v>15</v>
      </c>
      <c r="J4335" t="s">
        <v>15</v>
      </c>
      <c r="K4335">
        <v>9.5</v>
      </c>
      <c r="L4335">
        <v>0</v>
      </c>
    </row>
    <row r="4336" spans="1:12" x14ac:dyDescent="0.3">
      <c r="A4336" t="s">
        <v>4352</v>
      </c>
      <c r="B4336" t="s">
        <v>17</v>
      </c>
      <c r="C4336">
        <v>3798</v>
      </c>
      <c r="D4336">
        <v>60.77</v>
      </c>
      <c r="E4336">
        <v>10.94</v>
      </c>
      <c r="F4336">
        <f>COUNTIFS(mdr_rate_cleaned!$A$2:$A$10,B4336,mdr_rate_cleaned!$B$2:$B$10,"&lt;"&amp;C4336,mdr_rate_cleaned!$F$2:$F$10,"&gt;="&amp;C4336)</f>
        <v>1</v>
      </c>
      <c r="G4336">
        <v>1.6E-2</v>
      </c>
      <c r="H4336">
        <v>60.77</v>
      </c>
      <c r="I4336" t="s">
        <v>15</v>
      </c>
      <c r="J4336" t="s">
        <v>15</v>
      </c>
      <c r="K4336">
        <v>10.94</v>
      </c>
      <c r="L4336">
        <v>0</v>
      </c>
    </row>
    <row r="4337" spans="1:12" x14ac:dyDescent="0.3">
      <c r="A4337" t="s">
        <v>4353</v>
      </c>
      <c r="B4337" t="s">
        <v>21</v>
      </c>
      <c r="C4337">
        <v>6297</v>
      </c>
      <c r="D4337">
        <v>18.89</v>
      </c>
      <c r="E4337">
        <v>3.4</v>
      </c>
      <c r="F4337">
        <f>COUNTIFS(mdr_rate_cleaned!$A$2:$A$10,B4337,mdr_rate_cleaned!$B$2:$B$10,"&lt;"&amp;C4337,mdr_rate_cleaned!$F$2:$F$10,"&gt;="&amp;C4337)</f>
        <v>1</v>
      </c>
      <c r="G4337">
        <v>3.0000000000000001E-3</v>
      </c>
      <c r="H4337">
        <v>18.89</v>
      </c>
      <c r="I4337" t="s">
        <v>15</v>
      </c>
      <c r="J4337" t="s">
        <v>15</v>
      </c>
      <c r="K4337">
        <v>3.4</v>
      </c>
      <c r="L4337">
        <v>0</v>
      </c>
    </row>
    <row r="4338" spans="1:12" x14ac:dyDescent="0.3">
      <c r="A4338" t="s">
        <v>4354</v>
      </c>
      <c r="B4338" t="s">
        <v>21</v>
      </c>
      <c r="C4338">
        <v>3597</v>
      </c>
      <c r="D4338">
        <v>10.79</v>
      </c>
      <c r="E4338">
        <v>1.94</v>
      </c>
      <c r="F4338">
        <f>COUNTIFS(mdr_rate_cleaned!$A$2:$A$10,B4338,mdr_rate_cleaned!$B$2:$B$10,"&lt;"&amp;C4338,mdr_rate_cleaned!$F$2:$F$10,"&gt;="&amp;C4338)</f>
        <v>1</v>
      </c>
      <c r="G4338">
        <v>3.0000000000000001E-3</v>
      </c>
      <c r="H4338">
        <v>10.79</v>
      </c>
      <c r="I4338" t="s">
        <v>15</v>
      </c>
      <c r="J4338" t="s">
        <v>15</v>
      </c>
      <c r="K4338">
        <v>1.94</v>
      </c>
      <c r="L4338">
        <v>0</v>
      </c>
    </row>
    <row r="4339" spans="1:12" x14ac:dyDescent="0.3">
      <c r="A4339" t="s">
        <v>4355</v>
      </c>
      <c r="B4339" t="s">
        <v>39</v>
      </c>
      <c r="C4339">
        <v>349</v>
      </c>
      <c r="D4339">
        <v>5.24</v>
      </c>
      <c r="E4339">
        <v>0.94</v>
      </c>
      <c r="F4339">
        <f>COUNTIFS(mdr_rate_cleaned!$A$2:$A$10,B4339,mdr_rate_cleaned!$B$2:$B$10,"&lt;"&amp;C4339,mdr_rate_cleaned!$F$2:$F$10,"&gt;="&amp;C4339)</f>
        <v>1</v>
      </c>
      <c r="G4339">
        <v>1.4999999999999999E-2</v>
      </c>
      <c r="H4339">
        <v>5.24</v>
      </c>
      <c r="I4339" t="s">
        <v>15</v>
      </c>
      <c r="J4339" t="s">
        <v>15</v>
      </c>
      <c r="K4339">
        <v>0.94</v>
      </c>
      <c r="L4339">
        <v>0</v>
      </c>
    </row>
    <row r="4340" spans="1:12" x14ac:dyDescent="0.3">
      <c r="A4340" t="s">
        <v>4356</v>
      </c>
      <c r="B4340" t="s">
        <v>21</v>
      </c>
      <c r="C4340">
        <v>1299</v>
      </c>
      <c r="D4340">
        <v>0</v>
      </c>
      <c r="E4340">
        <v>0</v>
      </c>
      <c r="F4340">
        <f>COUNTIFS(mdr_rate_cleaned!$A$2:$A$10,B4340,mdr_rate_cleaned!$B$2:$B$10,"&lt;"&amp;C4340,mdr_rate_cleaned!$F$2:$F$10,"&gt;="&amp;C4340)</f>
        <v>1</v>
      </c>
      <c r="G4340">
        <v>0</v>
      </c>
      <c r="H4340">
        <v>0</v>
      </c>
      <c r="I4340" t="s">
        <v>15</v>
      </c>
      <c r="J4340" t="s">
        <v>15</v>
      </c>
      <c r="K4340">
        <v>0</v>
      </c>
      <c r="L4340">
        <v>0</v>
      </c>
    </row>
    <row r="4341" spans="1:12" x14ac:dyDescent="0.3">
      <c r="A4341" t="s">
        <v>4357</v>
      </c>
      <c r="B4341" t="s">
        <v>21</v>
      </c>
      <c r="C4341">
        <v>1098</v>
      </c>
      <c r="D4341">
        <v>0</v>
      </c>
      <c r="E4341">
        <v>0</v>
      </c>
      <c r="F4341">
        <f>COUNTIFS(mdr_rate_cleaned!$A$2:$A$10,B4341,mdr_rate_cleaned!$B$2:$B$10,"&lt;"&amp;C4341,mdr_rate_cleaned!$F$2:$F$10,"&gt;="&amp;C4341)</f>
        <v>1</v>
      </c>
      <c r="G4341">
        <v>0</v>
      </c>
      <c r="H4341">
        <v>0</v>
      </c>
      <c r="I4341" t="s">
        <v>15</v>
      </c>
      <c r="J4341" t="s">
        <v>15</v>
      </c>
      <c r="K4341">
        <v>0</v>
      </c>
      <c r="L4341">
        <v>0</v>
      </c>
    </row>
    <row r="4342" spans="1:12" x14ac:dyDescent="0.3">
      <c r="A4342" t="s">
        <v>4358</v>
      </c>
      <c r="B4342" t="s">
        <v>17</v>
      </c>
      <c r="C4342">
        <v>1847</v>
      </c>
      <c r="D4342">
        <v>33.25</v>
      </c>
      <c r="E4342">
        <v>5.99</v>
      </c>
      <c r="F4342">
        <f>COUNTIFS(mdr_rate_cleaned!$A$2:$A$10,B4342,mdr_rate_cleaned!$B$2:$B$10,"&lt;"&amp;C4342,mdr_rate_cleaned!$F$2:$F$10,"&gt;="&amp;C4342)</f>
        <v>1</v>
      </c>
      <c r="G4342">
        <v>1.7999999999999999E-2</v>
      </c>
      <c r="H4342">
        <v>33.25</v>
      </c>
      <c r="I4342" t="s">
        <v>15</v>
      </c>
      <c r="J4342" t="s">
        <v>15</v>
      </c>
      <c r="K4342">
        <v>5.99</v>
      </c>
      <c r="L4342">
        <v>0</v>
      </c>
    </row>
    <row r="4343" spans="1:12" x14ac:dyDescent="0.3">
      <c r="A4343" t="s">
        <v>4359</v>
      </c>
      <c r="B4343" t="s">
        <v>21</v>
      </c>
      <c r="C4343">
        <v>1898</v>
      </c>
      <c r="D4343">
        <v>0</v>
      </c>
      <c r="E4343">
        <v>0</v>
      </c>
      <c r="F4343">
        <f>COUNTIFS(mdr_rate_cleaned!$A$2:$A$10,B4343,mdr_rate_cleaned!$B$2:$B$10,"&lt;"&amp;C4343,mdr_rate_cleaned!$F$2:$F$10,"&gt;="&amp;C4343)</f>
        <v>1</v>
      </c>
      <c r="G4343">
        <v>0</v>
      </c>
      <c r="H4343">
        <v>0</v>
      </c>
      <c r="I4343" t="s">
        <v>15</v>
      </c>
      <c r="J4343" t="s">
        <v>15</v>
      </c>
      <c r="K4343">
        <v>0</v>
      </c>
      <c r="L4343">
        <v>0</v>
      </c>
    </row>
    <row r="4344" spans="1:12" x14ac:dyDescent="0.3">
      <c r="A4344" t="s">
        <v>4360</v>
      </c>
      <c r="B4344" t="s">
        <v>17</v>
      </c>
      <c r="C4344">
        <v>7998</v>
      </c>
      <c r="D4344">
        <v>127.97</v>
      </c>
      <c r="E4344">
        <v>23.03</v>
      </c>
      <c r="F4344">
        <f>COUNTIFS(mdr_rate_cleaned!$A$2:$A$10,B4344,mdr_rate_cleaned!$B$2:$B$10,"&lt;"&amp;C4344,mdr_rate_cleaned!$F$2:$F$10,"&gt;="&amp;C4344)</f>
        <v>1</v>
      </c>
      <c r="G4344">
        <v>1.6E-2</v>
      </c>
      <c r="H4344">
        <v>127.97</v>
      </c>
      <c r="I4344" t="s">
        <v>15</v>
      </c>
      <c r="J4344" t="s">
        <v>15</v>
      </c>
      <c r="K4344">
        <v>23.03</v>
      </c>
      <c r="L4344">
        <v>0</v>
      </c>
    </row>
    <row r="4345" spans="1:12" x14ac:dyDescent="0.3">
      <c r="A4345" t="s">
        <v>4361</v>
      </c>
      <c r="B4345" t="s">
        <v>21</v>
      </c>
      <c r="C4345">
        <v>4999</v>
      </c>
      <c r="D4345">
        <v>15</v>
      </c>
      <c r="E4345">
        <v>2.7</v>
      </c>
      <c r="F4345">
        <f>COUNTIFS(mdr_rate_cleaned!$A$2:$A$10,B4345,mdr_rate_cleaned!$B$2:$B$10,"&lt;"&amp;C4345,mdr_rate_cleaned!$F$2:$F$10,"&gt;="&amp;C4345)</f>
        <v>1</v>
      </c>
      <c r="G4345">
        <v>3.0000000000000001E-3</v>
      </c>
      <c r="H4345">
        <v>15</v>
      </c>
      <c r="I4345" t="s">
        <v>15</v>
      </c>
      <c r="J4345" t="s">
        <v>15</v>
      </c>
      <c r="K4345">
        <v>2.7</v>
      </c>
      <c r="L4345">
        <v>0</v>
      </c>
    </row>
    <row r="4346" spans="1:12" x14ac:dyDescent="0.3">
      <c r="A4346" t="s">
        <v>4362</v>
      </c>
      <c r="B4346" t="s">
        <v>21</v>
      </c>
      <c r="C4346">
        <v>2697</v>
      </c>
      <c r="D4346">
        <v>8.09</v>
      </c>
      <c r="E4346">
        <v>1.46</v>
      </c>
      <c r="F4346">
        <f>COUNTIFS(mdr_rate_cleaned!$A$2:$A$10,B4346,mdr_rate_cleaned!$B$2:$B$10,"&lt;"&amp;C4346,mdr_rate_cleaned!$F$2:$F$10,"&gt;="&amp;C4346)</f>
        <v>1</v>
      </c>
      <c r="G4346">
        <v>3.0000000000000001E-3</v>
      </c>
      <c r="H4346">
        <v>8.09</v>
      </c>
      <c r="I4346" t="s">
        <v>15</v>
      </c>
      <c r="J4346" t="s">
        <v>15</v>
      </c>
      <c r="K4346">
        <v>1.46</v>
      </c>
      <c r="L4346">
        <v>0</v>
      </c>
    </row>
    <row r="4347" spans="1:12" x14ac:dyDescent="0.3">
      <c r="A4347" t="s">
        <v>4363</v>
      </c>
      <c r="B4347" t="s">
        <v>39</v>
      </c>
      <c r="C4347">
        <v>1799</v>
      </c>
      <c r="D4347">
        <v>26.99</v>
      </c>
      <c r="E4347">
        <v>4.8600000000000003</v>
      </c>
      <c r="F4347">
        <f>COUNTIFS(mdr_rate_cleaned!$A$2:$A$10,B4347,mdr_rate_cleaned!$B$2:$B$10,"&lt;"&amp;C4347,mdr_rate_cleaned!$F$2:$F$10,"&gt;="&amp;C4347)</f>
        <v>1</v>
      </c>
      <c r="G4347">
        <v>1.4999999999999999E-2</v>
      </c>
      <c r="H4347">
        <v>26.99</v>
      </c>
      <c r="I4347" t="s">
        <v>15</v>
      </c>
      <c r="J4347" t="s">
        <v>15</v>
      </c>
      <c r="K4347">
        <v>4.8600000000000003</v>
      </c>
      <c r="L4347">
        <v>0</v>
      </c>
    </row>
    <row r="4348" spans="1:12" x14ac:dyDescent="0.3">
      <c r="A4348" t="s">
        <v>4364</v>
      </c>
      <c r="B4348" t="s">
        <v>17</v>
      </c>
      <c r="C4348">
        <v>9097</v>
      </c>
      <c r="D4348">
        <v>145.55000000000001</v>
      </c>
      <c r="E4348">
        <v>26.2</v>
      </c>
      <c r="F4348">
        <f>COUNTIFS(mdr_rate_cleaned!$A$2:$A$10,B4348,mdr_rate_cleaned!$B$2:$B$10,"&lt;"&amp;C4348,mdr_rate_cleaned!$F$2:$F$10,"&gt;="&amp;C4348)</f>
        <v>1</v>
      </c>
      <c r="G4348">
        <v>1.6E-2</v>
      </c>
      <c r="H4348">
        <v>145.55000000000001</v>
      </c>
      <c r="I4348" t="s">
        <v>15</v>
      </c>
      <c r="J4348" t="s">
        <v>15</v>
      </c>
      <c r="K4348">
        <v>26.2</v>
      </c>
      <c r="L4348">
        <v>0</v>
      </c>
    </row>
    <row r="4349" spans="1:12" x14ac:dyDescent="0.3">
      <c r="A4349" t="s">
        <v>4365</v>
      </c>
      <c r="B4349" t="s">
        <v>21</v>
      </c>
      <c r="C4349">
        <v>1299</v>
      </c>
      <c r="D4349">
        <v>0</v>
      </c>
      <c r="E4349">
        <v>0</v>
      </c>
      <c r="F4349">
        <f>COUNTIFS(mdr_rate_cleaned!$A$2:$A$10,B4349,mdr_rate_cleaned!$B$2:$B$10,"&lt;"&amp;C4349,mdr_rate_cleaned!$F$2:$F$10,"&gt;="&amp;C4349)</f>
        <v>1</v>
      </c>
      <c r="G4349">
        <v>0</v>
      </c>
      <c r="H4349">
        <v>0</v>
      </c>
      <c r="I4349" t="s">
        <v>15</v>
      </c>
      <c r="J4349" t="s">
        <v>15</v>
      </c>
      <c r="K4349">
        <v>0</v>
      </c>
      <c r="L4349">
        <v>0</v>
      </c>
    </row>
    <row r="4350" spans="1:12" x14ac:dyDescent="0.3">
      <c r="A4350" t="s">
        <v>4366</v>
      </c>
      <c r="B4350" t="s">
        <v>17</v>
      </c>
      <c r="C4350">
        <v>2798</v>
      </c>
      <c r="D4350">
        <v>44.77</v>
      </c>
      <c r="E4350">
        <v>8.06</v>
      </c>
      <c r="F4350">
        <f>COUNTIFS(mdr_rate_cleaned!$A$2:$A$10,B4350,mdr_rate_cleaned!$B$2:$B$10,"&lt;"&amp;C4350,mdr_rate_cleaned!$F$2:$F$10,"&gt;="&amp;C4350)</f>
        <v>1</v>
      </c>
      <c r="G4350">
        <v>1.6E-2</v>
      </c>
      <c r="H4350">
        <v>44.77</v>
      </c>
      <c r="I4350" t="s">
        <v>15</v>
      </c>
      <c r="J4350" t="s">
        <v>15</v>
      </c>
      <c r="K4350">
        <v>8.06</v>
      </c>
      <c r="L4350">
        <v>0</v>
      </c>
    </row>
    <row r="4351" spans="1:12" x14ac:dyDescent="0.3">
      <c r="A4351" t="s">
        <v>4367</v>
      </c>
      <c r="B4351" t="s">
        <v>39</v>
      </c>
      <c r="C4351">
        <v>1848</v>
      </c>
      <c r="D4351">
        <v>27.72</v>
      </c>
      <c r="E4351">
        <v>4.99</v>
      </c>
      <c r="F4351">
        <f>COUNTIFS(mdr_rate_cleaned!$A$2:$A$10,B4351,mdr_rate_cleaned!$B$2:$B$10,"&lt;"&amp;C4351,mdr_rate_cleaned!$F$2:$F$10,"&gt;="&amp;C4351)</f>
        <v>1</v>
      </c>
      <c r="G4351">
        <v>1.4999999999999999E-2</v>
      </c>
      <c r="H4351">
        <v>27.72</v>
      </c>
      <c r="I4351" t="s">
        <v>15</v>
      </c>
      <c r="J4351" t="s">
        <v>15</v>
      </c>
      <c r="K4351">
        <v>4.99</v>
      </c>
      <c r="L4351">
        <v>0</v>
      </c>
    </row>
    <row r="4352" spans="1:12" x14ac:dyDescent="0.3">
      <c r="A4352" t="s">
        <v>4368</v>
      </c>
      <c r="B4352" t="s">
        <v>13</v>
      </c>
      <c r="C4352">
        <v>2598</v>
      </c>
      <c r="D4352">
        <v>44.17</v>
      </c>
      <c r="E4352">
        <v>7.95</v>
      </c>
      <c r="F4352">
        <f>COUNTIFS(mdr_rate_cleaned!$A$2:$A$10,B4352,mdr_rate_cleaned!$B$2:$B$10,"&lt;"&amp;C4352,mdr_rate_cleaned!$F$2:$F$10,"&gt;="&amp;C4352)</f>
        <v>1</v>
      </c>
      <c r="G4352">
        <v>1.7000000000000001E-2</v>
      </c>
      <c r="H4352">
        <v>44.17</v>
      </c>
      <c r="I4352" t="s">
        <v>15</v>
      </c>
      <c r="J4352" t="s">
        <v>15</v>
      </c>
      <c r="K4352">
        <v>7.95</v>
      </c>
      <c r="L4352">
        <v>0</v>
      </c>
    </row>
    <row r="4353" spans="1:12" x14ac:dyDescent="0.3">
      <c r="A4353" t="s">
        <v>4369</v>
      </c>
      <c r="B4353" t="s">
        <v>21</v>
      </c>
      <c r="C4353">
        <v>12998</v>
      </c>
      <c r="D4353">
        <v>38.99</v>
      </c>
      <c r="E4353">
        <v>7.02</v>
      </c>
      <c r="F4353">
        <f>COUNTIFS(mdr_rate_cleaned!$A$2:$A$10,B4353,mdr_rate_cleaned!$B$2:$B$10,"&lt;"&amp;C4353,mdr_rate_cleaned!$F$2:$F$10,"&gt;="&amp;C4353)</f>
        <v>1</v>
      </c>
      <c r="G4353">
        <v>3.0000000000000001E-3</v>
      </c>
      <c r="H4353">
        <v>38.99</v>
      </c>
      <c r="I4353" t="s">
        <v>15</v>
      </c>
      <c r="J4353" t="s">
        <v>15</v>
      </c>
      <c r="K4353">
        <v>7.02</v>
      </c>
      <c r="L4353">
        <v>0</v>
      </c>
    </row>
    <row r="4354" spans="1:12" x14ac:dyDescent="0.3">
      <c r="A4354" t="s">
        <v>4370</v>
      </c>
      <c r="B4354" t="s">
        <v>21</v>
      </c>
      <c r="C4354">
        <v>2499</v>
      </c>
      <c r="D4354">
        <v>7.5</v>
      </c>
      <c r="E4354">
        <v>1.35</v>
      </c>
      <c r="F4354">
        <f>COUNTIFS(mdr_rate_cleaned!$A$2:$A$10,B4354,mdr_rate_cleaned!$B$2:$B$10,"&lt;"&amp;C4354,mdr_rate_cleaned!$F$2:$F$10,"&gt;="&amp;C4354)</f>
        <v>1</v>
      </c>
      <c r="G4354">
        <v>3.0000000000000001E-3</v>
      </c>
      <c r="H4354">
        <v>7.5</v>
      </c>
      <c r="I4354" t="s">
        <v>15</v>
      </c>
      <c r="J4354" t="s">
        <v>15</v>
      </c>
      <c r="K4354">
        <v>1.35</v>
      </c>
      <c r="L4354">
        <v>0</v>
      </c>
    </row>
    <row r="4355" spans="1:12" x14ac:dyDescent="0.3">
      <c r="A4355" t="s">
        <v>4371</v>
      </c>
      <c r="B4355" t="s">
        <v>21</v>
      </c>
      <c r="C4355">
        <v>3348</v>
      </c>
      <c r="D4355">
        <v>10.039999999999999</v>
      </c>
      <c r="E4355">
        <v>1.81</v>
      </c>
      <c r="F4355">
        <f>COUNTIFS(mdr_rate_cleaned!$A$2:$A$10,B4355,mdr_rate_cleaned!$B$2:$B$10,"&lt;"&amp;C4355,mdr_rate_cleaned!$F$2:$F$10,"&gt;="&amp;C4355)</f>
        <v>1</v>
      </c>
      <c r="G4355">
        <v>3.0000000000000001E-3</v>
      </c>
      <c r="H4355">
        <v>10.039999999999999</v>
      </c>
      <c r="I4355" t="s">
        <v>15</v>
      </c>
      <c r="J4355" t="s">
        <v>15</v>
      </c>
      <c r="K4355">
        <v>1.81</v>
      </c>
      <c r="L4355">
        <v>0</v>
      </c>
    </row>
    <row r="4356" spans="1:12" x14ac:dyDescent="0.3">
      <c r="A4356" t="s">
        <v>4372</v>
      </c>
      <c r="B4356" t="s">
        <v>21</v>
      </c>
      <c r="C4356">
        <v>4999</v>
      </c>
      <c r="D4356">
        <v>15</v>
      </c>
      <c r="E4356">
        <v>2.7</v>
      </c>
      <c r="F4356">
        <f>COUNTIFS(mdr_rate_cleaned!$A$2:$A$10,B4356,mdr_rate_cleaned!$B$2:$B$10,"&lt;"&amp;C4356,mdr_rate_cleaned!$F$2:$F$10,"&gt;="&amp;C4356)</f>
        <v>1</v>
      </c>
      <c r="G4356">
        <v>3.0000000000000001E-3</v>
      </c>
      <c r="H4356">
        <v>15</v>
      </c>
      <c r="I4356" t="s">
        <v>15</v>
      </c>
      <c r="J4356" t="s">
        <v>15</v>
      </c>
      <c r="K4356">
        <v>2.7</v>
      </c>
      <c r="L4356">
        <v>0</v>
      </c>
    </row>
    <row r="4357" spans="1:12" x14ac:dyDescent="0.3">
      <c r="A4357" t="s">
        <v>4373</v>
      </c>
      <c r="B4357" t="s">
        <v>21</v>
      </c>
      <c r="C4357">
        <v>6097</v>
      </c>
      <c r="D4357">
        <v>18.29</v>
      </c>
      <c r="E4357">
        <v>3.29</v>
      </c>
      <c r="F4357">
        <f>COUNTIFS(mdr_rate_cleaned!$A$2:$A$10,B4357,mdr_rate_cleaned!$B$2:$B$10,"&lt;"&amp;C4357,mdr_rate_cleaned!$F$2:$F$10,"&gt;="&amp;C4357)</f>
        <v>1</v>
      </c>
      <c r="G4357">
        <v>3.0000000000000001E-3</v>
      </c>
      <c r="H4357">
        <v>18.29</v>
      </c>
      <c r="I4357" t="s">
        <v>15</v>
      </c>
      <c r="J4357" t="s">
        <v>15</v>
      </c>
      <c r="K4357">
        <v>3.29</v>
      </c>
      <c r="L4357">
        <v>0</v>
      </c>
    </row>
    <row r="4358" spans="1:12" x14ac:dyDescent="0.3">
      <c r="A4358" t="s">
        <v>4374</v>
      </c>
      <c r="B4358" t="s">
        <v>21</v>
      </c>
      <c r="C4358">
        <v>1299</v>
      </c>
      <c r="D4358">
        <v>0</v>
      </c>
      <c r="E4358">
        <v>0</v>
      </c>
      <c r="F4358">
        <f>COUNTIFS(mdr_rate_cleaned!$A$2:$A$10,B4358,mdr_rate_cleaned!$B$2:$B$10,"&lt;"&amp;C4358,mdr_rate_cleaned!$F$2:$F$10,"&gt;="&amp;C4358)</f>
        <v>1</v>
      </c>
      <c r="G4358">
        <v>0</v>
      </c>
      <c r="H4358">
        <v>0</v>
      </c>
      <c r="I4358" t="s">
        <v>15</v>
      </c>
      <c r="J4358" t="s">
        <v>15</v>
      </c>
      <c r="K4358">
        <v>0</v>
      </c>
      <c r="L4358">
        <v>0</v>
      </c>
    </row>
    <row r="4359" spans="1:12" x14ac:dyDescent="0.3">
      <c r="A4359" t="s">
        <v>4375</v>
      </c>
      <c r="B4359" t="s">
        <v>39</v>
      </c>
      <c r="C4359">
        <v>499</v>
      </c>
      <c r="D4359">
        <v>7.49</v>
      </c>
      <c r="E4359">
        <v>1.35</v>
      </c>
      <c r="F4359">
        <f>COUNTIFS(mdr_rate_cleaned!$A$2:$A$10,B4359,mdr_rate_cleaned!$B$2:$B$10,"&lt;"&amp;C4359,mdr_rate_cleaned!$F$2:$F$10,"&gt;="&amp;C4359)</f>
        <v>1</v>
      </c>
      <c r="G4359">
        <v>1.4999999999999999E-2</v>
      </c>
      <c r="H4359">
        <v>7.49</v>
      </c>
      <c r="I4359" t="s">
        <v>15</v>
      </c>
      <c r="J4359" t="s">
        <v>15</v>
      </c>
      <c r="K4359">
        <v>1.35</v>
      </c>
      <c r="L4359">
        <v>0</v>
      </c>
    </row>
    <row r="4360" spans="1:12" x14ac:dyDescent="0.3">
      <c r="A4360" t="s">
        <v>4376</v>
      </c>
      <c r="B4360" t="s">
        <v>21</v>
      </c>
      <c r="C4360">
        <v>2499</v>
      </c>
      <c r="D4360">
        <v>7.5</v>
      </c>
      <c r="E4360">
        <v>1.35</v>
      </c>
      <c r="F4360">
        <f>COUNTIFS(mdr_rate_cleaned!$A$2:$A$10,B4360,mdr_rate_cleaned!$B$2:$B$10,"&lt;"&amp;C4360,mdr_rate_cleaned!$F$2:$F$10,"&gt;="&amp;C4360)</f>
        <v>1</v>
      </c>
      <c r="G4360">
        <v>3.0000000000000001E-3</v>
      </c>
      <c r="H4360">
        <v>7.5</v>
      </c>
      <c r="I4360" t="s">
        <v>15</v>
      </c>
      <c r="J4360" t="s">
        <v>15</v>
      </c>
      <c r="K4360">
        <v>1.35</v>
      </c>
      <c r="L4360">
        <v>0</v>
      </c>
    </row>
    <row r="4361" spans="1:12" x14ac:dyDescent="0.3">
      <c r="A4361" t="s">
        <v>4377</v>
      </c>
      <c r="B4361" t="s">
        <v>21</v>
      </c>
      <c r="C4361">
        <v>9998</v>
      </c>
      <c r="D4361">
        <v>29.99</v>
      </c>
      <c r="E4361">
        <v>5.4</v>
      </c>
      <c r="F4361">
        <f>COUNTIFS(mdr_rate_cleaned!$A$2:$A$10,B4361,mdr_rate_cleaned!$B$2:$B$10,"&lt;"&amp;C4361,mdr_rate_cleaned!$F$2:$F$10,"&gt;="&amp;C4361)</f>
        <v>1</v>
      </c>
      <c r="G4361">
        <v>3.0000000000000001E-3</v>
      </c>
      <c r="H4361">
        <v>29.99</v>
      </c>
      <c r="I4361" t="s">
        <v>15</v>
      </c>
      <c r="J4361" t="s">
        <v>15</v>
      </c>
      <c r="K4361">
        <v>5.4</v>
      </c>
      <c r="L4361">
        <v>0</v>
      </c>
    </row>
    <row r="4362" spans="1:12" x14ac:dyDescent="0.3">
      <c r="A4362" t="s">
        <v>4378</v>
      </c>
      <c r="B4362" t="s">
        <v>21</v>
      </c>
      <c r="C4362">
        <v>1598</v>
      </c>
      <c r="D4362">
        <v>0</v>
      </c>
      <c r="E4362">
        <v>0</v>
      </c>
      <c r="F4362">
        <f>COUNTIFS(mdr_rate_cleaned!$A$2:$A$10,B4362,mdr_rate_cleaned!$B$2:$B$10,"&lt;"&amp;C4362,mdr_rate_cleaned!$F$2:$F$10,"&gt;="&amp;C4362)</f>
        <v>1</v>
      </c>
      <c r="G4362">
        <v>0</v>
      </c>
      <c r="H4362">
        <v>0</v>
      </c>
      <c r="I4362" t="s">
        <v>15</v>
      </c>
      <c r="J4362" t="s">
        <v>15</v>
      </c>
      <c r="K4362">
        <v>0</v>
      </c>
      <c r="L4362">
        <v>0</v>
      </c>
    </row>
    <row r="4363" spans="1:12" x14ac:dyDescent="0.3">
      <c r="A4363" t="s">
        <v>4379</v>
      </c>
      <c r="B4363" t="s">
        <v>21</v>
      </c>
      <c r="C4363">
        <v>6297</v>
      </c>
      <c r="D4363">
        <v>18.89</v>
      </c>
      <c r="E4363">
        <v>3.4</v>
      </c>
      <c r="F4363">
        <f>COUNTIFS(mdr_rate_cleaned!$A$2:$A$10,B4363,mdr_rate_cleaned!$B$2:$B$10,"&lt;"&amp;C4363,mdr_rate_cleaned!$F$2:$F$10,"&gt;="&amp;C4363)</f>
        <v>1</v>
      </c>
      <c r="G4363">
        <v>3.0000000000000001E-3</v>
      </c>
      <c r="H4363">
        <v>18.89</v>
      </c>
      <c r="I4363" t="s">
        <v>15</v>
      </c>
      <c r="J4363" t="s">
        <v>15</v>
      </c>
      <c r="K4363">
        <v>3.4</v>
      </c>
      <c r="L4363">
        <v>0</v>
      </c>
    </row>
    <row r="4364" spans="1:12" x14ac:dyDescent="0.3">
      <c r="A4364" t="s">
        <v>4380</v>
      </c>
      <c r="B4364" t="s">
        <v>21</v>
      </c>
      <c r="C4364">
        <v>3447</v>
      </c>
      <c r="D4364">
        <v>10.34</v>
      </c>
      <c r="E4364">
        <v>1.86</v>
      </c>
      <c r="F4364">
        <f>COUNTIFS(mdr_rate_cleaned!$A$2:$A$10,B4364,mdr_rate_cleaned!$B$2:$B$10,"&lt;"&amp;C4364,mdr_rate_cleaned!$F$2:$F$10,"&gt;="&amp;C4364)</f>
        <v>1</v>
      </c>
      <c r="G4364">
        <v>3.0000000000000001E-3</v>
      </c>
      <c r="H4364">
        <v>10.34</v>
      </c>
      <c r="I4364" t="s">
        <v>15</v>
      </c>
      <c r="J4364" t="s">
        <v>15</v>
      </c>
      <c r="K4364">
        <v>1.86</v>
      </c>
      <c r="L4364">
        <v>0</v>
      </c>
    </row>
    <row r="4365" spans="1:12" x14ac:dyDescent="0.3">
      <c r="A4365" t="s">
        <v>4381</v>
      </c>
      <c r="B4365" t="s">
        <v>17</v>
      </c>
      <c r="C4365">
        <v>7998</v>
      </c>
      <c r="D4365">
        <v>127.97</v>
      </c>
      <c r="E4365">
        <v>23.03</v>
      </c>
      <c r="F4365">
        <f>COUNTIFS(mdr_rate_cleaned!$A$2:$A$10,B4365,mdr_rate_cleaned!$B$2:$B$10,"&lt;"&amp;C4365,mdr_rate_cleaned!$F$2:$F$10,"&gt;="&amp;C4365)</f>
        <v>1</v>
      </c>
      <c r="G4365">
        <v>1.6E-2</v>
      </c>
      <c r="H4365">
        <v>127.97</v>
      </c>
      <c r="I4365" t="s">
        <v>15</v>
      </c>
      <c r="J4365" t="s">
        <v>15</v>
      </c>
      <c r="K4365">
        <v>23.03</v>
      </c>
      <c r="L4365">
        <v>0</v>
      </c>
    </row>
    <row r="4366" spans="1:12" x14ac:dyDescent="0.3">
      <c r="A4366" t="s">
        <v>4382</v>
      </c>
      <c r="B4366" t="s">
        <v>39</v>
      </c>
      <c r="C4366">
        <v>349</v>
      </c>
      <c r="D4366">
        <v>5.24</v>
      </c>
      <c r="E4366">
        <v>0.94</v>
      </c>
      <c r="F4366">
        <f>COUNTIFS(mdr_rate_cleaned!$A$2:$A$10,B4366,mdr_rate_cleaned!$B$2:$B$10,"&lt;"&amp;C4366,mdr_rate_cleaned!$F$2:$F$10,"&gt;="&amp;C4366)</f>
        <v>1</v>
      </c>
      <c r="G4366">
        <v>1.4999999999999999E-2</v>
      </c>
      <c r="H4366">
        <v>5.24</v>
      </c>
      <c r="I4366" t="s">
        <v>15</v>
      </c>
      <c r="J4366" t="s">
        <v>15</v>
      </c>
      <c r="K4366">
        <v>0.94</v>
      </c>
      <c r="L4366">
        <v>0</v>
      </c>
    </row>
    <row r="4367" spans="1:12" x14ac:dyDescent="0.3">
      <c r="A4367" t="s">
        <v>4383</v>
      </c>
      <c r="B4367" t="s">
        <v>21</v>
      </c>
      <c r="C4367">
        <v>5498</v>
      </c>
      <c r="D4367">
        <v>16.489999999999998</v>
      </c>
      <c r="E4367">
        <v>2.97</v>
      </c>
      <c r="F4367">
        <f>COUNTIFS(mdr_rate_cleaned!$A$2:$A$10,B4367,mdr_rate_cleaned!$B$2:$B$10,"&lt;"&amp;C4367,mdr_rate_cleaned!$F$2:$F$10,"&gt;="&amp;C4367)</f>
        <v>1</v>
      </c>
      <c r="G4367">
        <v>3.0000000000000001E-3</v>
      </c>
      <c r="H4367">
        <v>16.489999999999998</v>
      </c>
      <c r="I4367" t="s">
        <v>15</v>
      </c>
      <c r="J4367" t="s">
        <v>15</v>
      </c>
      <c r="K4367">
        <v>2.97</v>
      </c>
      <c r="L4367">
        <v>0</v>
      </c>
    </row>
    <row r="4368" spans="1:12" x14ac:dyDescent="0.3">
      <c r="A4368" t="s">
        <v>4384</v>
      </c>
      <c r="B4368" t="s">
        <v>21</v>
      </c>
      <c r="C4368">
        <v>4998</v>
      </c>
      <c r="D4368">
        <v>14.99</v>
      </c>
      <c r="E4368">
        <v>2.7</v>
      </c>
      <c r="F4368">
        <f>COUNTIFS(mdr_rate_cleaned!$A$2:$A$10,B4368,mdr_rate_cleaned!$B$2:$B$10,"&lt;"&amp;C4368,mdr_rate_cleaned!$F$2:$F$10,"&gt;="&amp;C4368)</f>
        <v>1</v>
      </c>
      <c r="G4368">
        <v>3.0000000000000001E-3</v>
      </c>
      <c r="H4368">
        <v>14.99</v>
      </c>
      <c r="I4368" t="s">
        <v>15</v>
      </c>
      <c r="J4368" t="s">
        <v>15</v>
      </c>
      <c r="K4368">
        <v>2.7</v>
      </c>
      <c r="L4368">
        <v>0</v>
      </c>
    </row>
    <row r="4369" spans="1:12" x14ac:dyDescent="0.3">
      <c r="A4369" t="s">
        <v>4385</v>
      </c>
      <c r="B4369" t="s">
        <v>21</v>
      </c>
      <c r="C4369">
        <v>1348</v>
      </c>
      <c r="D4369">
        <v>0</v>
      </c>
      <c r="E4369">
        <v>0</v>
      </c>
      <c r="F4369">
        <f>COUNTIFS(mdr_rate_cleaned!$A$2:$A$10,B4369,mdr_rate_cleaned!$B$2:$B$10,"&lt;"&amp;C4369,mdr_rate_cleaned!$F$2:$F$10,"&gt;="&amp;C4369)</f>
        <v>1</v>
      </c>
      <c r="G4369">
        <v>0</v>
      </c>
      <c r="H4369">
        <v>0</v>
      </c>
      <c r="I4369" t="s">
        <v>15</v>
      </c>
      <c r="J4369" t="s">
        <v>15</v>
      </c>
      <c r="K4369">
        <v>0</v>
      </c>
      <c r="L4369">
        <v>0</v>
      </c>
    </row>
    <row r="4370" spans="1:12" x14ac:dyDescent="0.3">
      <c r="A4370" t="s">
        <v>4386</v>
      </c>
      <c r="B4370" t="s">
        <v>21</v>
      </c>
      <c r="C4370">
        <v>1198</v>
      </c>
      <c r="D4370">
        <v>0</v>
      </c>
      <c r="E4370">
        <v>0</v>
      </c>
      <c r="F4370">
        <f>COUNTIFS(mdr_rate_cleaned!$A$2:$A$10,B4370,mdr_rate_cleaned!$B$2:$B$10,"&lt;"&amp;C4370,mdr_rate_cleaned!$F$2:$F$10,"&gt;="&amp;C4370)</f>
        <v>1</v>
      </c>
      <c r="G4370">
        <v>0</v>
      </c>
      <c r="H4370">
        <v>0</v>
      </c>
      <c r="I4370" t="s">
        <v>15</v>
      </c>
      <c r="J4370" t="s">
        <v>15</v>
      </c>
      <c r="K4370">
        <v>0</v>
      </c>
      <c r="L4370">
        <v>0</v>
      </c>
    </row>
    <row r="4371" spans="1:12" x14ac:dyDescent="0.3">
      <c r="A4371" t="s">
        <v>4387</v>
      </c>
      <c r="B4371" t="s">
        <v>21</v>
      </c>
      <c r="C4371">
        <v>599</v>
      </c>
      <c r="D4371">
        <v>0</v>
      </c>
      <c r="E4371">
        <v>0</v>
      </c>
      <c r="F4371">
        <f>COUNTIFS(mdr_rate_cleaned!$A$2:$A$10,B4371,mdr_rate_cleaned!$B$2:$B$10,"&lt;"&amp;C4371,mdr_rate_cleaned!$F$2:$F$10,"&gt;="&amp;C4371)</f>
        <v>1</v>
      </c>
      <c r="G4371">
        <v>0</v>
      </c>
      <c r="H4371">
        <v>0</v>
      </c>
      <c r="I4371" t="s">
        <v>15</v>
      </c>
      <c r="J4371" t="s">
        <v>15</v>
      </c>
      <c r="K4371">
        <v>0</v>
      </c>
      <c r="L4371">
        <v>0</v>
      </c>
    </row>
    <row r="4372" spans="1:12" x14ac:dyDescent="0.3">
      <c r="A4372" t="s">
        <v>4388</v>
      </c>
      <c r="B4372" t="s">
        <v>21</v>
      </c>
      <c r="C4372">
        <v>8498</v>
      </c>
      <c r="D4372">
        <v>25.49</v>
      </c>
      <c r="E4372">
        <v>4.59</v>
      </c>
      <c r="F4372">
        <f>COUNTIFS(mdr_rate_cleaned!$A$2:$A$10,B4372,mdr_rate_cleaned!$B$2:$B$10,"&lt;"&amp;C4372,mdr_rate_cleaned!$F$2:$F$10,"&gt;="&amp;C4372)</f>
        <v>1</v>
      </c>
      <c r="G4372">
        <v>3.0000000000000001E-3</v>
      </c>
      <c r="H4372">
        <v>25.49</v>
      </c>
      <c r="I4372" t="s">
        <v>15</v>
      </c>
      <c r="J4372" t="s">
        <v>15</v>
      </c>
      <c r="K4372">
        <v>4.59</v>
      </c>
      <c r="L4372">
        <v>0</v>
      </c>
    </row>
    <row r="4373" spans="1:12" x14ac:dyDescent="0.3">
      <c r="A4373" t="s">
        <v>4389</v>
      </c>
      <c r="B4373" t="s">
        <v>17</v>
      </c>
      <c r="C4373">
        <v>9498</v>
      </c>
      <c r="D4373">
        <v>151.97</v>
      </c>
      <c r="E4373">
        <v>27.35</v>
      </c>
      <c r="F4373">
        <f>COUNTIFS(mdr_rate_cleaned!$A$2:$A$10,B4373,mdr_rate_cleaned!$B$2:$B$10,"&lt;"&amp;C4373,mdr_rate_cleaned!$F$2:$F$10,"&gt;="&amp;C4373)</f>
        <v>1</v>
      </c>
      <c r="G4373">
        <v>1.6E-2</v>
      </c>
      <c r="H4373">
        <v>151.97</v>
      </c>
      <c r="I4373" t="s">
        <v>15</v>
      </c>
      <c r="J4373" t="s">
        <v>15</v>
      </c>
      <c r="K4373">
        <v>27.35</v>
      </c>
      <c r="L4373">
        <v>0</v>
      </c>
    </row>
    <row r="4374" spans="1:12" x14ac:dyDescent="0.3">
      <c r="A4374" t="s">
        <v>4390</v>
      </c>
      <c r="B4374" t="s">
        <v>13</v>
      </c>
      <c r="C4374">
        <v>799</v>
      </c>
      <c r="D4374">
        <v>15.18</v>
      </c>
      <c r="E4374">
        <v>2.73</v>
      </c>
      <c r="F4374">
        <f>COUNTIFS(mdr_rate_cleaned!$A$2:$A$10,B4374,mdr_rate_cleaned!$B$2:$B$10,"&lt;"&amp;C4374,mdr_rate_cleaned!$F$2:$F$10,"&gt;="&amp;C4374)</f>
        <v>1</v>
      </c>
      <c r="G4374">
        <v>1.9E-2</v>
      </c>
      <c r="H4374">
        <v>15.18</v>
      </c>
      <c r="I4374" t="s">
        <v>15</v>
      </c>
      <c r="J4374" t="s">
        <v>15</v>
      </c>
      <c r="K4374">
        <v>2.73</v>
      </c>
      <c r="L4374">
        <v>0</v>
      </c>
    </row>
    <row r="4375" spans="1:12" x14ac:dyDescent="0.3">
      <c r="A4375" t="s">
        <v>4391</v>
      </c>
      <c r="B4375" t="s">
        <v>13</v>
      </c>
      <c r="C4375">
        <v>3897</v>
      </c>
      <c r="D4375">
        <v>66.25</v>
      </c>
      <c r="E4375">
        <v>11.93</v>
      </c>
      <c r="F4375">
        <f>COUNTIFS(mdr_rate_cleaned!$A$2:$A$10,B4375,mdr_rate_cleaned!$B$2:$B$10,"&lt;"&amp;C4375,mdr_rate_cleaned!$F$2:$F$10,"&gt;="&amp;C4375)</f>
        <v>1</v>
      </c>
      <c r="G4375">
        <v>1.7000000000000001E-2</v>
      </c>
      <c r="H4375">
        <v>66.25</v>
      </c>
      <c r="I4375" t="s">
        <v>15</v>
      </c>
      <c r="J4375" t="s">
        <v>15</v>
      </c>
      <c r="K4375">
        <v>11.93</v>
      </c>
      <c r="L4375">
        <v>0</v>
      </c>
    </row>
    <row r="4376" spans="1:12" x14ac:dyDescent="0.3">
      <c r="A4376" t="s">
        <v>4392</v>
      </c>
      <c r="B4376" t="s">
        <v>17</v>
      </c>
      <c r="C4376">
        <v>1299</v>
      </c>
      <c r="D4376">
        <v>23.38</v>
      </c>
      <c r="E4376">
        <v>4.21</v>
      </c>
      <c r="F4376">
        <f>COUNTIFS(mdr_rate_cleaned!$A$2:$A$10,B4376,mdr_rate_cleaned!$B$2:$B$10,"&lt;"&amp;C4376,mdr_rate_cleaned!$F$2:$F$10,"&gt;="&amp;C4376)</f>
        <v>1</v>
      </c>
      <c r="G4376">
        <v>1.7999999999999999E-2</v>
      </c>
      <c r="H4376">
        <v>23.38</v>
      </c>
      <c r="I4376" t="s">
        <v>15</v>
      </c>
      <c r="J4376" t="s">
        <v>15</v>
      </c>
      <c r="K4376">
        <v>4.21</v>
      </c>
      <c r="L4376">
        <v>0</v>
      </c>
    </row>
    <row r="4377" spans="1:12" x14ac:dyDescent="0.3">
      <c r="A4377" t="s">
        <v>4393</v>
      </c>
      <c r="B4377" t="s">
        <v>21</v>
      </c>
      <c r="C4377">
        <v>349</v>
      </c>
      <c r="D4377">
        <v>0</v>
      </c>
      <c r="E4377">
        <v>0</v>
      </c>
      <c r="F4377">
        <f>COUNTIFS(mdr_rate_cleaned!$A$2:$A$10,B4377,mdr_rate_cleaned!$B$2:$B$10,"&lt;"&amp;C4377,mdr_rate_cleaned!$F$2:$F$10,"&gt;="&amp;C4377)</f>
        <v>1</v>
      </c>
      <c r="G4377">
        <v>0</v>
      </c>
      <c r="H4377">
        <v>0</v>
      </c>
      <c r="I4377" t="s">
        <v>15</v>
      </c>
      <c r="J4377" t="s">
        <v>15</v>
      </c>
      <c r="K4377">
        <v>0</v>
      </c>
      <c r="L4377">
        <v>0</v>
      </c>
    </row>
    <row r="4378" spans="1:12" x14ac:dyDescent="0.3">
      <c r="A4378" t="s">
        <v>4394</v>
      </c>
      <c r="B4378" t="s">
        <v>17</v>
      </c>
      <c r="C4378">
        <v>3098</v>
      </c>
      <c r="D4378">
        <v>49.57</v>
      </c>
      <c r="E4378">
        <v>8.92</v>
      </c>
      <c r="F4378">
        <f>COUNTIFS(mdr_rate_cleaned!$A$2:$A$10,B4378,mdr_rate_cleaned!$B$2:$B$10,"&lt;"&amp;C4378,mdr_rate_cleaned!$F$2:$F$10,"&gt;="&amp;C4378)</f>
        <v>1</v>
      </c>
      <c r="G4378">
        <v>1.6E-2</v>
      </c>
      <c r="H4378">
        <v>49.57</v>
      </c>
      <c r="I4378" t="s">
        <v>15</v>
      </c>
      <c r="J4378" t="s">
        <v>15</v>
      </c>
      <c r="K4378">
        <v>8.92</v>
      </c>
      <c r="L4378">
        <v>0</v>
      </c>
    </row>
    <row r="4379" spans="1:12" x14ac:dyDescent="0.3">
      <c r="A4379" t="s">
        <v>4395</v>
      </c>
      <c r="B4379" t="s">
        <v>21</v>
      </c>
      <c r="C4379">
        <v>1098</v>
      </c>
      <c r="D4379">
        <v>0</v>
      </c>
      <c r="E4379">
        <v>0</v>
      </c>
      <c r="F4379">
        <f>COUNTIFS(mdr_rate_cleaned!$A$2:$A$10,B4379,mdr_rate_cleaned!$B$2:$B$10,"&lt;"&amp;C4379,mdr_rate_cleaned!$F$2:$F$10,"&gt;="&amp;C4379)</f>
        <v>1</v>
      </c>
      <c r="G4379">
        <v>0</v>
      </c>
      <c r="H4379">
        <v>0</v>
      </c>
      <c r="I4379" t="s">
        <v>15</v>
      </c>
      <c r="J4379" t="s">
        <v>15</v>
      </c>
      <c r="K4379">
        <v>0</v>
      </c>
      <c r="L4379">
        <v>0</v>
      </c>
    </row>
    <row r="4380" spans="1:12" x14ac:dyDescent="0.3">
      <c r="A4380" t="s">
        <v>4396</v>
      </c>
      <c r="B4380" t="s">
        <v>21</v>
      </c>
      <c r="C4380">
        <v>999</v>
      </c>
      <c r="D4380">
        <v>0</v>
      </c>
      <c r="E4380">
        <v>0</v>
      </c>
      <c r="F4380">
        <f>COUNTIFS(mdr_rate_cleaned!$A$2:$A$10,B4380,mdr_rate_cleaned!$B$2:$B$10,"&lt;"&amp;C4380,mdr_rate_cleaned!$F$2:$F$10,"&gt;="&amp;C4380)</f>
        <v>1</v>
      </c>
      <c r="G4380">
        <v>0</v>
      </c>
      <c r="H4380">
        <v>0</v>
      </c>
      <c r="I4380" t="s">
        <v>15</v>
      </c>
      <c r="J4380" t="s">
        <v>15</v>
      </c>
      <c r="K4380">
        <v>0</v>
      </c>
      <c r="L4380">
        <v>0</v>
      </c>
    </row>
    <row r="4381" spans="1:12" x14ac:dyDescent="0.3">
      <c r="A4381" t="s">
        <v>4397</v>
      </c>
      <c r="B4381" t="s">
        <v>21</v>
      </c>
      <c r="C4381">
        <v>8998</v>
      </c>
      <c r="D4381">
        <v>26.99</v>
      </c>
      <c r="E4381">
        <v>4.8600000000000003</v>
      </c>
      <c r="F4381">
        <f>COUNTIFS(mdr_rate_cleaned!$A$2:$A$10,B4381,mdr_rate_cleaned!$B$2:$B$10,"&lt;"&amp;C4381,mdr_rate_cleaned!$F$2:$F$10,"&gt;="&amp;C4381)</f>
        <v>1</v>
      </c>
      <c r="G4381">
        <v>3.0000000000000001E-3</v>
      </c>
      <c r="H4381">
        <v>26.99</v>
      </c>
      <c r="I4381" t="s">
        <v>15</v>
      </c>
      <c r="J4381" t="s">
        <v>15</v>
      </c>
      <c r="K4381">
        <v>4.8600000000000003</v>
      </c>
      <c r="L4381">
        <v>0</v>
      </c>
    </row>
    <row r="4382" spans="1:12" x14ac:dyDescent="0.3">
      <c r="A4382" t="s">
        <v>4398</v>
      </c>
      <c r="B4382" t="s">
        <v>13</v>
      </c>
      <c r="C4382">
        <v>8497</v>
      </c>
      <c r="D4382">
        <v>203.93</v>
      </c>
      <c r="E4382">
        <v>36.71</v>
      </c>
      <c r="F4382">
        <f>COUNTIFS(mdr_rate_cleaned!$A$2:$A$10,B4382,mdr_rate_cleaned!$B$2:$B$10,"&lt;"&amp;C4382,mdr_rate_cleaned!$F$2:$F$10,"&gt;="&amp;C4382)</f>
        <v>1</v>
      </c>
      <c r="G4382">
        <v>1.7000000000000001E-2</v>
      </c>
      <c r="H4382">
        <v>144.44999999999999</v>
      </c>
      <c r="I4382" t="s">
        <v>14</v>
      </c>
      <c r="J4382" t="s">
        <v>15</v>
      </c>
      <c r="K4382">
        <v>26</v>
      </c>
      <c r="L4382">
        <v>70.19</v>
      </c>
    </row>
    <row r="4383" spans="1:12" x14ac:dyDescent="0.3">
      <c r="A4383" t="s">
        <v>4399</v>
      </c>
      <c r="B4383" t="s">
        <v>17</v>
      </c>
      <c r="C4383">
        <v>3298</v>
      </c>
      <c r="D4383">
        <v>52.77</v>
      </c>
      <c r="E4383">
        <v>9.5</v>
      </c>
      <c r="F4383">
        <f>COUNTIFS(mdr_rate_cleaned!$A$2:$A$10,B4383,mdr_rate_cleaned!$B$2:$B$10,"&lt;"&amp;C4383,mdr_rate_cleaned!$F$2:$F$10,"&gt;="&amp;C4383)</f>
        <v>1</v>
      </c>
      <c r="G4383">
        <v>1.6E-2</v>
      </c>
      <c r="H4383">
        <v>52.77</v>
      </c>
      <c r="I4383" t="s">
        <v>15</v>
      </c>
      <c r="J4383" t="s">
        <v>15</v>
      </c>
      <c r="K4383">
        <v>9.5</v>
      </c>
      <c r="L4383">
        <v>0</v>
      </c>
    </row>
    <row r="4384" spans="1:12" x14ac:dyDescent="0.3">
      <c r="A4384" t="s">
        <v>4400</v>
      </c>
      <c r="B4384" t="s">
        <v>17</v>
      </c>
      <c r="C4384">
        <v>2897</v>
      </c>
      <c r="D4384">
        <v>46.35</v>
      </c>
      <c r="E4384">
        <v>8.34</v>
      </c>
      <c r="F4384">
        <f>COUNTIFS(mdr_rate_cleaned!$A$2:$A$10,B4384,mdr_rate_cleaned!$B$2:$B$10,"&lt;"&amp;C4384,mdr_rate_cleaned!$F$2:$F$10,"&gt;="&amp;C4384)</f>
        <v>1</v>
      </c>
      <c r="G4384">
        <v>1.6E-2</v>
      </c>
      <c r="H4384">
        <v>46.35</v>
      </c>
      <c r="I4384" t="s">
        <v>15</v>
      </c>
      <c r="J4384" t="s">
        <v>15</v>
      </c>
      <c r="K4384">
        <v>8.34</v>
      </c>
      <c r="L4384">
        <v>0</v>
      </c>
    </row>
    <row r="4385" spans="1:12" x14ac:dyDescent="0.3">
      <c r="A4385" t="s">
        <v>4401</v>
      </c>
      <c r="B4385" t="s">
        <v>21</v>
      </c>
      <c r="C4385">
        <v>2098</v>
      </c>
      <c r="D4385">
        <v>6.29</v>
      </c>
      <c r="E4385">
        <v>1.1299999999999999</v>
      </c>
      <c r="F4385">
        <f>COUNTIFS(mdr_rate_cleaned!$A$2:$A$10,B4385,mdr_rate_cleaned!$B$2:$B$10,"&lt;"&amp;C4385,mdr_rate_cleaned!$F$2:$F$10,"&gt;="&amp;C4385)</f>
        <v>1</v>
      </c>
      <c r="G4385">
        <v>3.0000000000000001E-3</v>
      </c>
      <c r="H4385">
        <v>6.29</v>
      </c>
      <c r="I4385" t="s">
        <v>15</v>
      </c>
      <c r="J4385" t="s">
        <v>15</v>
      </c>
      <c r="K4385">
        <v>1.1299999999999999</v>
      </c>
      <c r="L4385">
        <v>0</v>
      </c>
    </row>
    <row r="4386" spans="1:12" x14ac:dyDescent="0.3">
      <c r="A4386" t="s">
        <v>4402</v>
      </c>
      <c r="B4386" t="s">
        <v>21</v>
      </c>
      <c r="C4386">
        <v>2297</v>
      </c>
      <c r="D4386">
        <v>6.89</v>
      </c>
      <c r="E4386">
        <v>1.24</v>
      </c>
      <c r="F4386">
        <f>COUNTIFS(mdr_rate_cleaned!$A$2:$A$10,B4386,mdr_rate_cleaned!$B$2:$B$10,"&lt;"&amp;C4386,mdr_rate_cleaned!$F$2:$F$10,"&gt;="&amp;C4386)</f>
        <v>1</v>
      </c>
      <c r="G4386">
        <v>3.0000000000000001E-3</v>
      </c>
      <c r="H4386">
        <v>6.89</v>
      </c>
      <c r="I4386" t="s">
        <v>15</v>
      </c>
      <c r="J4386" t="s">
        <v>15</v>
      </c>
      <c r="K4386">
        <v>1.24</v>
      </c>
      <c r="L4386">
        <v>0</v>
      </c>
    </row>
    <row r="4387" spans="1:12" x14ac:dyDescent="0.3">
      <c r="A4387" t="s">
        <v>4403</v>
      </c>
      <c r="B4387" t="s">
        <v>17</v>
      </c>
      <c r="C4387">
        <v>1998</v>
      </c>
      <c r="D4387">
        <v>35.96</v>
      </c>
      <c r="E4387">
        <v>6.47</v>
      </c>
      <c r="F4387">
        <f>COUNTIFS(mdr_rate_cleaned!$A$2:$A$10,B4387,mdr_rate_cleaned!$B$2:$B$10,"&lt;"&amp;C4387,mdr_rate_cleaned!$F$2:$F$10,"&gt;="&amp;C4387)</f>
        <v>1</v>
      </c>
      <c r="G4387">
        <v>1.7999999999999999E-2</v>
      </c>
      <c r="H4387">
        <v>35.96</v>
      </c>
      <c r="I4387" t="s">
        <v>15</v>
      </c>
      <c r="J4387" t="s">
        <v>15</v>
      </c>
      <c r="K4387">
        <v>6.47</v>
      </c>
      <c r="L4387">
        <v>0</v>
      </c>
    </row>
    <row r="4388" spans="1:12" x14ac:dyDescent="0.3">
      <c r="A4388" t="s">
        <v>4404</v>
      </c>
      <c r="B4388" t="s">
        <v>21</v>
      </c>
      <c r="C4388">
        <v>2999</v>
      </c>
      <c r="D4388">
        <v>9</v>
      </c>
      <c r="E4388">
        <v>1.62</v>
      </c>
      <c r="F4388">
        <f>COUNTIFS(mdr_rate_cleaned!$A$2:$A$10,B4388,mdr_rate_cleaned!$B$2:$B$10,"&lt;"&amp;C4388,mdr_rate_cleaned!$F$2:$F$10,"&gt;="&amp;C4388)</f>
        <v>1</v>
      </c>
      <c r="G4388">
        <v>3.0000000000000001E-3</v>
      </c>
      <c r="H4388">
        <v>9</v>
      </c>
      <c r="I4388" t="s">
        <v>15</v>
      </c>
      <c r="J4388" t="s">
        <v>15</v>
      </c>
      <c r="K4388">
        <v>1.62</v>
      </c>
      <c r="L4388">
        <v>0</v>
      </c>
    </row>
    <row r="4389" spans="1:12" x14ac:dyDescent="0.3">
      <c r="A4389" t="s">
        <v>4405</v>
      </c>
      <c r="B4389" t="s">
        <v>17</v>
      </c>
      <c r="C4389">
        <v>3998</v>
      </c>
      <c r="D4389">
        <v>63.97</v>
      </c>
      <c r="E4389">
        <v>11.51</v>
      </c>
      <c r="F4389">
        <f>COUNTIFS(mdr_rate_cleaned!$A$2:$A$10,B4389,mdr_rate_cleaned!$B$2:$B$10,"&lt;"&amp;C4389,mdr_rate_cleaned!$F$2:$F$10,"&gt;="&amp;C4389)</f>
        <v>1</v>
      </c>
      <c r="G4389">
        <v>1.6E-2</v>
      </c>
      <c r="H4389">
        <v>63.97</v>
      </c>
      <c r="I4389" t="s">
        <v>15</v>
      </c>
      <c r="J4389" t="s">
        <v>15</v>
      </c>
      <c r="K4389">
        <v>11.51</v>
      </c>
      <c r="L4389">
        <v>0</v>
      </c>
    </row>
    <row r="4390" spans="1:12" x14ac:dyDescent="0.3">
      <c r="A4390" t="s">
        <v>4406</v>
      </c>
      <c r="B4390" t="s">
        <v>21</v>
      </c>
      <c r="C4390">
        <v>4999</v>
      </c>
      <c r="D4390">
        <v>15</v>
      </c>
      <c r="E4390">
        <v>2.7</v>
      </c>
      <c r="F4390">
        <f>COUNTIFS(mdr_rate_cleaned!$A$2:$A$10,B4390,mdr_rate_cleaned!$B$2:$B$10,"&lt;"&amp;C4390,mdr_rate_cleaned!$F$2:$F$10,"&gt;="&amp;C4390)</f>
        <v>1</v>
      </c>
      <c r="G4390">
        <v>3.0000000000000001E-3</v>
      </c>
      <c r="H4390">
        <v>15</v>
      </c>
      <c r="I4390" t="s">
        <v>15</v>
      </c>
      <c r="J4390" t="s">
        <v>15</v>
      </c>
      <c r="K4390">
        <v>2.7</v>
      </c>
      <c r="L4390">
        <v>0</v>
      </c>
    </row>
    <row r="4391" spans="1:12" x14ac:dyDescent="0.3">
      <c r="A4391" t="s">
        <v>4407</v>
      </c>
      <c r="B4391" t="s">
        <v>21</v>
      </c>
      <c r="C4391">
        <v>299</v>
      </c>
      <c r="D4391">
        <v>0</v>
      </c>
      <c r="E4391">
        <v>0</v>
      </c>
      <c r="F4391">
        <f>COUNTIFS(mdr_rate_cleaned!$A$2:$A$10,B4391,mdr_rate_cleaned!$B$2:$B$10,"&lt;"&amp;C4391,mdr_rate_cleaned!$F$2:$F$10,"&gt;="&amp;C4391)</f>
        <v>1</v>
      </c>
      <c r="G4391">
        <v>0</v>
      </c>
      <c r="H4391">
        <v>0</v>
      </c>
      <c r="I4391" t="s">
        <v>15</v>
      </c>
      <c r="J4391" t="s">
        <v>15</v>
      </c>
      <c r="K4391">
        <v>0</v>
      </c>
      <c r="L4391">
        <v>0</v>
      </c>
    </row>
    <row r="4392" spans="1:12" x14ac:dyDescent="0.3">
      <c r="A4392" t="s">
        <v>4408</v>
      </c>
      <c r="B4392" t="s">
        <v>21</v>
      </c>
      <c r="C4392">
        <v>1299</v>
      </c>
      <c r="D4392">
        <v>0</v>
      </c>
      <c r="E4392">
        <v>0</v>
      </c>
      <c r="F4392">
        <f>COUNTIFS(mdr_rate_cleaned!$A$2:$A$10,B4392,mdr_rate_cleaned!$B$2:$B$10,"&lt;"&amp;C4392,mdr_rate_cleaned!$F$2:$F$10,"&gt;="&amp;C4392)</f>
        <v>1</v>
      </c>
      <c r="G4392">
        <v>0</v>
      </c>
      <c r="H4392">
        <v>0</v>
      </c>
      <c r="I4392" t="s">
        <v>15</v>
      </c>
      <c r="J4392" t="s">
        <v>15</v>
      </c>
      <c r="K4392">
        <v>0</v>
      </c>
      <c r="L4392">
        <v>0</v>
      </c>
    </row>
    <row r="4393" spans="1:12" x14ac:dyDescent="0.3">
      <c r="A4393" t="s">
        <v>4409</v>
      </c>
      <c r="B4393" t="s">
        <v>13</v>
      </c>
      <c r="C4393">
        <v>349</v>
      </c>
      <c r="D4393">
        <v>6.63</v>
      </c>
      <c r="E4393">
        <v>1.19</v>
      </c>
      <c r="F4393">
        <f>COUNTIFS(mdr_rate_cleaned!$A$2:$A$10,B4393,mdr_rate_cleaned!$B$2:$B$10,"&lt;"&amp;C4393,mdr_rate_cleaned!$F$2:$F$10,"&gt;="&amp;C4393)</f>
        <v>1</v>
      </c>
      <c r="G4393">
        <v>1.9E-2</v>
      </c>
      <c r="H4393">
        <v>6.63</v>
      </c>
      <c r="I4393" t="s">
        <v>15</v>
      </c>
      <c r="J4393" t="s">
        <v>15</v>
      </c>
      <c r="K4393">
        <v>1.19</v>
      </c>
      <c r="L4393">
        <v>0</v>
      </c>
    </row>
    <row r="4394" spans="1:12" x14ac:dyDescent="0.3">
      <c r="A4394" t="s">
        <v>4410</v>
      </c>
      <c r="B4394" t="s">
        <v>13</v>
      </c>
      <c r="C4394">
        <v>4498</v>
      </c>
      <c r="D4394">
        <v>76.47</v>
      </c>
      <c r="E4394">
        <v>13.76</v>
      </c>
      <c r="F4394">
        <f>COUNTIFS(mdr_rate_cleaned!$A$2:$A$10,B4394,mdr_rate_cleaned!$B$2:$B$10,"&lt;"&amp;C4394,mdr_rate_cleaned!$F$2:$F$10,"&gt;="&amp;C4394)</f>
        <v>1</v>
      </c>
      <c r="G4394">
        <v>1.7000000000000001E-2</v>
      </c>
      <c r="H4394">
        <v>76.47</v>
      </c>
      <c r="I4394" t="s">
        <v>15</v>
      </c>
      <c r="J4394" t="s">
        <v>15</v>
      </c>
      <c r="K4394">
        <v>13.76</v>
      </c>
      <c r="L4394">
        <v>0</v>
      </c>
    </row>
    <row r="4395" spans="1:12" x14ac:dyDescent="0.3">
      <c r="A4395" t="s">
        <v>4411</v>
      </c>
      <c r="B4395" t="s">
        <v>21</v>
      </c>
      <c r="C4395">
        <v>2998</v>
      </c>
      <c r="D4395">
        <v>8.99</v>
      </c>
      <c r="E4395">
        <v>1.62</v>
      </c>
      <c r="F4395">
        <f>COUNTIFS(mdr_rate_cleaned!$A$2:$A$10,B4395,mdr_rate_cleaned!$B$2:$B$10,"&lt;"&amp;C4395,mdr_rate_cleaned!$F$2:$F$10,"&gt;="&amp;C4395)</f>
        <v>1</v>
      </c>
      <c r="G4395">
        <v>3.0000000000000001E-3</v>
      </c>
      <c r="H4395">
        <v>8.99</v>
      </c>
      <c r="I4395" t="s">
        <v>15</v>
      </c>
      <c r="J4395" t="s">
        <v>15</v>
      </c>
      <c r="K4395">
        <v>1.62</v>
      </c>
      <c r="L4395">
        <v>0</v>
      </c>
    </row>
    <row r="4396" spans="1:12" x14ac:dyDescent="0.3">
      <c r="A4396" t="s">
        <v>4412</v>
      </c>
      <c r="B4396" t="s">
        <v>21</v>
      </c>
      <c r="C4396">
        <v>499</v>
      </c>
      <c r="D4396">
        <v>0</v>
      </c>
      <c r="E4396">
        <v>0</v>
      </c>
      <c r="F4396">
        <f>COUNTIFS(mdr_rate_cleaned!$A$2:$A$10,B4396,mdr_rate_cleaned!$B$2:$B$10,"&lt;"&amp;C4396,mdr_rate_cleaned!$F$2:$F$10,"&gt;="&amp;C4396)</f>
        <v>1</v>
      </c>
      <c r="G4396">
        <v>0</v>
      </c>
      <c r="H4396">
        <v>0</v>
      </c>
      <c r="I4396" t="s">
        <v>15</v>
      </c>
      <c r="J4396" t="s">
        <v>15</v>
      </c>
      <c r="K4396">
        <v>0</v>
      </c>
      <c r="L4396">
        <v>0</v>
      </c>
    </row>
    <row r="4397" spans="1:12" x14ac:dyDescent="0.3">
      <c r="A4397" t="s">
        <v>4413</v>
      </c>
      <c r="B4397" t="s">
        <v>21</v>
      </c>
      <c r="C4397">
        <v>2999</v>
      </c>
      <c r="D4397">
        <v>9</v>
      </c>
      <c r="E4397">
        <v>1.62</v>
      </c>
      <c r="F4397">
        <f>COUNTIFS(mdr_rate_cleaned!$A$2:$A$10,B4397,mdr_rate_cleaned!$B$2:$B$10,"&lt;"&amp;C4397,mdr_rate_cleaned!$F$2:$F$10,"&gt;="&amp;C4397)</f>
        <v>1</v>
      </c>
      <c r="G4397">
        <v>3.0000000000000001E-3</v>
      </c>
      <c r="H4397">
        <v>9</v>
      </c>
      <c r="I4397" t="s">
        <v>15</v>
      </c>
      <c r="J4397" t="s">
        <v>15</v>
      </c>
      <c r="K4397">
        <v>1.62</v>
      </c>
      <c r="L4397">
        <v>0</v>
      </c>
    </row>
    <row r="4398" spans="1:12" x14ac:dyDescent="0.3">
      <c r="A4398" t="s">
        <v>4414</v>
      </c>
      <c r="B4398" t="s">
        <v>21</v>
      </c>
      <c r="C4398">
        <v>14797</v>
      </c>
      <c r="D4398">
        <v>44.39</v>
      </c>
      <c r="E4398">
        <v>7.99</v>
      </c>
      <c r="F4398">
        <f>COUNTIFS(mdr_rate_cleaned!$A$2:$A$10,B4398,mdr_rate_cleaned!$B$2:$B$10,"&lt;"&amp;C4398,mdr_rate_cleaned!$F$2:$F$10,"&gt;="&amp;C4398)</f>
        <v>1</v>
      </c>
      <c r="G4398">
        <v>3.0000000000000001E-3</v>
      </c>
      <c r="H4398">
        <v>44.39</v>
      </c>
      <c r="I4398" t="s">
        <v>15</v>
      </c>
      <c r="J4398" t="s">
        <v>15</v>
      </c>
      <c r="K4398">
        <v>7.99</v>
      </c>
      <c r="L4398">
        <v>0</v>
      </c>
    </row>
    <row r="4399" spans="1:12" x14ac:dyDescent="0.3">
      <c r="A4399" t="s">
        <v>4415</v>
      </c>
      <c r="B4399" t="s">
        <v>17</v>
      </c>
      <c r="C4399">
        <v>1098</v>
      </c>
      <c r="D4399">
        <v>19.760000000000002</v>
      </c>
      <c r="E4399">
        <v>3.56</v>
      </c>
      <c r="F4399">
        <f>COUNTIFS(mdr_rate_cleaned!$A$2:$A$10,B4399,mdr_rate_cleaned!$B$2:$B$10,"&lt;"&amp;C4399,mdr_rate_cleaned!$F$2:$F$10,"&gt;="&amp;C4399)</f>
        <v>1</v>
      </c>
      <c r="G4399">
        <v>1.7999999999999999E-2</v>
      </c>
      <c r="H4399">
        <v>19.760000000000002</v>
      </c>
      <c r="I4399" t="s">
        <v>15</v>
      </c>
      <c r="J4399" t="s">
        <v>15</v>
      </c>
      <c r="K4399">
        <v>3.56</v>
      </c>
      <c r="L4399">
        <v>0</v>
      </c>
    </row>
    <row r="4400" spans="1:12" x14ac:dyDescent="0.3">
      <c r="A4400" t="s">
        <v>4416</v>
      </c>
      <c r="B4400" t="s">
        <v>13</v>
      </c>
      <c r="C4400">
        <v>4999</v>
      </c>
      <c r="D4400">
        <v>84.98</v>
      </c>
      <c r="E4400">
        <v>15.3</v>
      </c>
      <c r="F4400">
        <f>COUNTIFS(mdr_rate_cleaned!$A$2:$A$10,B4400,mdr_rate_cleaned!$B$2:$B$10,"&lt;"&amp;C4400,mdr_rate_cleaned!$F$2:$F$10,"&gt;="&amp;C4400)</f>
        <v>1</v>
      </c>
      <c r="G4400">
        <v>1.7000000000000001E-2</v>
      </c>
      <c r="H4400">
        <v>84.98</v>
      </c>
      <c r="I4400" t="s">
        <v>15</v>
      </c>
      <c r="J4400" t="s">
        <v>15</v>
      </c>
      <c r="K4400">
        <v>15.3</v>
      </c>
      <c r="L4400">
        <v>0</v>
      </c>
    </row>
    <row r="4401" spans="1:12" x14ac:dyDescent="0.3">
      <c r="A4401" t="s">
        <v>4417</v>
      </c>
      <c r="B4401" t="s">
        <v>21</v>
      </c>
      <c r="C4401">
        <v>948</v>
      </c>
      <c r="D4401">
        <v>0</v>
      </c>
      <c r="E4401">
        <v>0</v>
      </c>
      <c r="F4401">
        <f>COUNTIFS(mdr_rate_cleaned!$A$2:$A$10,B4401,mdr_rate_cleaned!$B$2:$B$10,"&lt;"&amp;C4401,mdr_rate_cleaned!$F$2:$F$10,"&gt;="&amp;C4401)</f>
        <v>1</v>
      </c>
      <c r="G4401">
        <v>0</v>
      </c>
      <c r="H4401">
        <v>0</v>
      </c>
      <c r="I4401" t="s">
        <v>15</v>
      </c>
      <c r="J4401" t="s">
        <v>15</v>
      </c>
      <c r="K4401">
        <v>0</v>
      </c>
      <c r="L4401">
        <v>0</v>
      </c>
    </row>
    <row r="4402" spans="1:12" x14ac:dyDescent="0.3">
      <c r="A4402" t="s">
        <v>4418</v>
      </c>
      <c r="B4402" t="s">
        <v>21</v>
      </c>
      <c r="C4402">
        <v>4397</v>
      </c>
      <c r="D4402">
        <v>13.19</v>
      </c>
      <c r="E4402">
        <v>2.37</v>
      </c>
      <c r="F4402">
        <f>COUNTIFS(mdr_rate_cleaned!$A$2:$A$10,B4402,mdr_rate_cleaned!$B$2:$B$10,"&lt;"&amp;C4402,mdr_rate_cleaned!$F$2:$F$10,"&gt;="&amp;C4402)</f>
        <v>1</v>
      </c>
      <c r="G4402">
        <v>3.0000000000000001E-3</v>
      </c>
      <c r="H4402">
        <v>13.19</v>
      </c>
      <c r="I4402" t="s">
        <v>15</v>
      </c>
      <c r="J4402" t="s">
        <v>15</v>
      </c>
      <c r="K4402">
        <v>2.37</v>
      </c>
      <c r="L4402">
        <v>0</v>
      </c>
    </row>
    <row r="4403" spans="1:12" x14ac:dyDescent="0.3">
      <c r="A4403" t="s">
        <v>4419</v>
      </c>
      <c r="B4403" t="s">
        <v>21</v>
      </c>
      <c r="C4403">
        <v>6597</v>
      </c>
      <c r="D4403">
        <v>19.79</v>
      </c>
      <c r="E4403">
        <v>3.56</v>
      </c>
      <c r="F4403">
        <f>COUNTIFS(mdr_rate_cleaned!$A$2:$A$10,B4403,mdr_rate_cleaned!$B$2:$B$10,"&lt;"&amp;C4403,mdr_rate_cleaned!$F$2:$F$10,"&gt;="&amp;C4403)</f>
        <v>1</v>
      </c>
      <c r="G4403">
        <v>3.0000000000000001E-3</v>
      </c>
      <c r="H4403">
        <v>19.79</v>
      </c>
      <c r="I4403" t="s">
        <v>15</v>
      </c>
      <c r="J4403" t="s">
        <v>15</v>
      </c>
      <c r="K4403">
        <v>3.56</v>
      </c>
      <c r="L4403">
        <v>0</v>
      </c>
    </row>
    <row r="4404" spans="1:12" x14ac:dyDescent="0.3">
      <c r="A4404" t="s">
        <v>4420</v>
      </c>
      <c r="B4404" t="s">
        <v>21</v>
      </c>
      <c r="C4404">
        <v>6597</v>
      </c>
      <c r="D4404">
        <v>19.79</v>
      </c>
      <c r="E4404">
        <v>3.56</v>
      </c>
      <c r="F4404">
        <f>COUNTIFS(mdr_rate_cleaned!$A$2:$A$10,B4404,mdr_rate_cleaned!$B$2:$B$10,"&lt;"&amp;C4404,mdr_rate_cleaned!$F$2:$F$10,"&gt;="&amp;C4404)</f>
        <v>1</v>
      </c>
      <c r="G4404">
        <v>3.0000000000000001E-3</v>
      </c>
      <c r="H4404">
        <v>19.79</v>
      </c>
      <c r="I4404" t="s">
        <v>15</v>
      </c>
      <c r="J4404" t="s">
        <v>15</v>
      </c>
      <c r="K4404">
        <v>3.56</v>
      </c>
      <c r="L4404">
        <v>0</v>
      </c>
    </row>
    <row r="4405" spans="1:12" x14ac:dyDescent="0.3">
      <c r="A4405" t="s">
        <v>4421</v>
      </c>
      <c r="B4405" t="s">
        <v>21</v>
      </c>
      <c r="C4405">
        <v>1499</v>
      </c>
      <c r="D4405">
        <v>0</v>
      </c>
      <c r="E4405">
        <v>0</v>
      </c>
      <c r="F4405">
        <f>COUNTIFS(mdr_rate_cleaned!$A$2:$A$10,B4405,mdr_rate_cleaned!$B$2:$B$10,"&lt;"&amp;C4405,mdr_rate_cleaned!$F$2:$F$10,"&gt;="&amp;C4405)</f>
        <v>1</v>
      </c>
      <c r="G4405">
        <v>0</v>
      </c>
      <c r="H4405">
        <v>0</v>
      </c>
      <c r="I4405" t="s">
        <v>15</v>
      </c>
      <c r="J4405" t="s">
        <v>15</v>
      </c>
      <c r="K4405">
        <v>0</v>
      </c>
      <c r="L4405">
        <v>0</v>
      </c>
    </row>
    <row r="4406" spans="1:12" x14ac:dyDescent="0.3">
      <c r="A4406" t="s">
        <v>4422</v>
      </c>
      <c r="B4406" t="s">
        <v>21</v>
      </c>
      <c r="C4406">
        <v>5847</v>
      </c>
      <c r="D4406">
        <v>17.54</v>
      </c>
      <c r="E4406">
        <v>3.16</v>
      </c>
      <c r="F4406">
        <f>COUNTIFS(mdr_rate_cleaned!$A$2:$A$10,B4406,mdr_rate_cleaned!$B$2:$B$10,"&lt;"&amp;C4406,mdr_rate_cleaned!$F$2:$F$10,"&gt;="&amp;C4406)</f>
        <v>1</v>
      </c>
      <c r="G4406">
        <v>3.0000000000000001E-3</v>
      </c>
      <c r="H4406">
        <v>17.54</v>
      </c>
      <c r="I4406" t="s">
        <v>15</v>
      </c>
      <c r="J4406" t="s">
        <v>15</v>
      </c>
      <c r="K4406">
        <v>3.16</v>
      </c>
      <c r="L4406">
        <v>0</v>
      </c>
    </row>
    <row r="4407" spans="1:12" x14ac:dyDescent="0.3">
      <c r="A4407" t="s">
        <v>4423</v>
      </c>
      <c r="B4407" t="s">
        <v>17</v>
      </c>
      <c r="C4407">
        <v>2999</v>
      </c>
      <c r="D4407">
        <v>47.98</v>
      </c>
      <c r="E4407">
        <v>8.64</v>
      </c>
      <c r="F4407">
        <f>COUNTIFS(mdr_rate_cleaned!$A$2:$A$10,B4407,mdr_rate_cleaned!$B$2:$B$10,"&lt;"&amp;C4407,mdr_rate_cleaned!$F$2:$F$10,"&gt;="&amp;C4407)</f>
        <v>1</v>
      </c>
      <c r="G4407">
        <v>1.6E-2</v>
      </c>
      <c r="H4407">
        <v>47.98</v>
      </c>
      <c r="I4407" t="s">
        <v>15</v>
      </c>
      <c r="J4407" t="s">
        <v>15</v>
      </c>
      <c r="K4407">
        <v>8.64</v>
      </c>
      <c r="L4407">
        <v>0</v>
      </c>
    </row>
    <row r="4408" spans="1:12" x14ac:dyDescent="0.3">
      <c r="A4408" t="s">
        <v>4424</v>
      </c>
      <c r="B4408" t="s">
        <v>21</v>
      </c>
      <c r="C4408">
        <v>10998</v>
      </c>
      <c r="D4408">
        <v>32.99</v>
      </c>
      <c r="E4408">
        <v>5.94</v>
      </c>
      <c r="F4408">
        <f>COUNTIFS(mdr_rate_cleaned!$A$2:$A$10,B4408,mdr_rate_cleaned!$B$2:$B$10,"&lt;"&amp;C4408,mdr_rate_cleaned!$F$2:$F$10,"&gt;="&amp;C4408)</f>
        <v>1</v>
      </c>
      <c r="G4408">
        <v>3.0000000000000001E-3</v>
      </c>
      <c r="H4408">
        <v>32.99</v>
      </c>
      <c r="I4408" t="s">
        <v>15</v>
      </c>
      <c r="J4408" t="s">
        <v>15</v>
      </c>
      <c r="K4408">
        <v>5.94</v>
      </c>
      <c r="L4408">
        <v>0</v>
      </c>
    </row>
    <row r="4409" spans="1:12" x14ac:dyDescent="0.3">
      <c r="A4409" t="s">
        <v>4425</v>
      </c>
      <c r="B4409" t="s">
        <v>21</v>
      </c>
      <c r="C4409">
        <v>2647</v>
      </c>
      <c r="D4409">
        <v>7.94</v>
      </c>
      <c r="E4409">
        <v>1.43</v>
      </c>
      <c r="F4409">
        <f>COUNTIFS(mdr_rate_cleaned!$A$2:$A$10,B4409,mdr_rate_cleaned!$B$2:$B$10,"&lt;"&amp;C4409,mdr_rate_cleaned!$F$2:$F$10,"&gt;="&amp;C4409)</f>
        <v>1</v>
      </c>
      <c r="G4409">
        <v>3.0000000000000001E-3</v>
      </c>
      <c r="H4409">
        <v>7.94</v>
      </c>
      <c r="I4409" t="s">
        <v>15</v>
      </c>
      <c r="J4409" t="s">
        <v>15</v>
      </c>
      <c r="K4409">
        <v>1.43</v>
      </c>
      <c r="L4409">
        <v>0</v>
      </c>
    </row>
    <row r="4410" spans="1:12" x14ac:dyDescent="0.3">
      <c r="A4410" t="s">
        <v>4426</v>
      </c>
      <c r="B4410" t="s">
        <v>17</v>
      </c>
      <c r="C4410">
        <v>1799</v>
      </c>
      <c r="D4410">
        <v>32.380000000000003</v>
      </c>
      <c r="E4410">
        <v>5.83</v>
      </c>
      <c r="F4410">
        <f>COUNTIFS(mdr_rate_cleaned!$A$2:$A$10,B4410,mdr_rate_cleaned!$B$2:$B$10,"&lt;"&amp;C4410,mdr_rate_cleaned!$F$2:$F$10,"&gt;="&amp;C4410)</f>
        <v>1</v>
      </c>
      <c r="G4410">
        <v>1.7999999999999999E-2</v>
      </c>
      <c r="H4410">
        <v>32.380000000000003</v>
      </c>
      <c r="I4410" t="s">
        <v>15</v>
      </c>
      <c r="J4410" t="s">
        <v>15</v>
      </c>
      <c r="K4410">
        <v>5.83</v>
      </c>
      <c r="L4410">
        <v>0</v>
      </c>
    </row>
    <row r="4411" spans="1:12" x14ac:dyDescent="0.3">
      <c r="A4411" t="s">
        <v>4427</v>
      </c>
      <c r="B4411" t="s">
        <v>17</v>
      </c>
      <c r="C4411">
        <v>2499</v>
      </c>
      <c r="D4411">
        <v>39.979999999999997</v>
      </c>
      <c r="E4411">
        <v>7.2</v>
      </c>
      <c r="F4411">
        <f>COUNTIFS(mdr_rate_cleaned!$A$2:$A$10,B4411,mdr_rate_cleaned!$B$2:$B$10,"&lt;"&amp;C4411,mdr_rate_cleaned!$F$2:$F$10,"&gt;="&amp;C4411)</f>
        <v>1</v>
      </c>
      <c r="G4411">
        <v>1.6E-2</v>
      </c>
      <c r="H4411">
        <v>39.979999999999997</v>
      </c>
      <c r="I4411" t="s">
        <v>15</v>
      </c>
      <c r="J4411" t="s">
        <v>15</v>
      </c>
      <c r="K4411">
        <v>7.2</v>
      </c>
      <c r="L4411">
        <v>0</v>
      </c>
    </row>
    <row r="4412" spans="1:12" x14ac:dyDescent="0.3">
      <c r="A4412" t="s">
        <v>4428</v>
      </c>
      <c r="B4412" t="s">
        <v>21</v>
      </c>
      <c r="C4412">
        <v>3499</v>
      </c>
      <c r="D4412">
        <v>10.5</v>
      </c>
      <c r="E4412">
        <v>1.89</v>
      </c>
      <c r="F4412">
        <f>COUNTIFS(mdr_rate_cleaned!$A$2:$A$10,B4412,mdr_rate_cleaned!$B$2:$B$10,"&lt;"&amp;C4412,mdr_rate_cleaned!$F$2:$F$10,"&gt;="&amp;C4412)</f>
        <v>1</v>
      </c>
      <c r="G4412">
        <v>3.0000000000000001E-3</v>
      </c>
      <c r="H4412">
        <v>10.5</v>
      </c>
      <c r="I4412" t="s">
        <v>15</v>
      </c>
      <c r="J4412" t="s">
        <v>15</v>
      </c>
      <c r="K4412">
        <v>1.89</v>
      </c>
      <c r="L4412">
        <v>0</v>
      </c>
    </row>
    <row r="4413" spans="1:12" x14ac:dyDescent="0.3">
      <c r="A4413" t="s">
        <v>4429</v>
      </c>
      <c r="B4413" t="s">
        <v>17</v>
      </c>
      <c r="C4413">
        <v>799</v>
      </c>
      <c r="D4413">
        <v>14.38</v>
      </c>
      <c r="E4413">
        <v>2.59</v>
      </c>
      <c r="F4413">
        <f>COUNTIFS(mdr_rate_cleaned!$A$2:$A$10,B4413,mdr_rate_cleaned!$B$2:$B$10,"&lt;"&amp;C4413,mdr_rate_cleaned!$F$2:$F$10,"&gt;="&amp;C4413)</f>
        <v>1</v>
      </c>
      <c r="G4413">
        <v>1.7999999999999999E-2</v>
      </c>
      <c r="H4413">
        <v>14.38</v>
      </c>
      <c r="I4413" t="s">
        <v>15</v>
      </c>
      <c r="J4413" t="s">
        <v>15</v>
      </c>
      <c r="K4413">
        <v>2.59</v>
      </c>
      <c r="L4413">
        <v>0</v>
      </c>
    </row>
    <row r="4414" spans="1:12" x14ac:dyDescent="0.3">
      <c r="A4414" t="s">
        <v>4430</v>
      </c>
      <c r="B4414" t="s">
        <v>21</v>
      </c>
      <c r="C4414">
        <v>1348</v>
      </c>
      <c r="D4414">
        <v>0</v>
      </c>
      <c r="E4414">
        <v>0</v>
      </c>
      <c r="F4414">
        <f>COUNTIFS(mdr_rate_cleaned!$A$2:$A$10,B4414,mdr_rate_cleaned!$B$2:$B$10,"&lt;"&amp;C4414,mdr_rate_cleaned!$F$2:$F$10,"&gt;="&amp;C4414)</f>
        <v>1</v>
      </c>
      <c r="G4414">
        <v>0</v>
      </c>
      <c r="H4414">
        <v>0</v>
      </c>
      <c r="I4414" t="s">
        <v>15</v>
      </c>
      <c r="J4414" t="s">
        <v>15</v>
      </c>
      <c r="K4414">
        <v>0</v>
      </c>
      <c r="L4414">
        <v>0</v>
      </c>
    </row>
    <row r="4415" spans="1:12" x14ac:dyDescent="0.3">
      <c r="A4415" t="s">
        <v>4431</v>
      </c>
      <c r="B4415" t="s">
        <v>13</v>
      </c>
      <c r="C4415">
        <v>9298</v>
      </c>
      <c r="D4415">
        <v>158.07</v>
      </c>
      <c r="E4415">
        <v>28.45</v>
      </c>
      <c r="F4415">
        <f>COUNTIFS(mdr_rate_cleaned!$A$2:$A$10,B4415,mdr_rate_cleaned!$B$2:$B$10,"&lt;"&amp;C4415,mdr_rate_cleaned!$F$2:$F$10,"&gt;="&amp;C4415)</f>
        <v>1</v>
      </c>
      <c r="G4415">
        <v>1.7000000000000001E-2</v>
      </c>
      <c r="H4415">
        <v>158.07</v>
      </c>
      <c r="I4415" t="s">
        <v>15</v>
      </c>
      <c r="J4415" t="s">
        <v>15</v>
      </c>
      <c r="K4415">
        <v>28.45</v>
      </c>
      <c r="L4415">
        <v>0</v>
      </c>
    </row>
    <row r="4416" spans="1:12" x14ac:dyDescent="0.3">
      <c r="A4416" t="s">
        <v>4432</v>
      </c>
      <c r="B4416" t="s">
        <v>17</v>
      </c>
      <c r="C4416">
        <v>8697</v>
      </c>
      <c r="D4416">
        <v>139.15</v>
      </c>
      <c r="E4416">
        <v>25.05</v>
      </c>
      <c r="F4416">
        <f>COUNTIFS(mdr_rate_cleaned!$A$2:$A$10,B4416,mdr_rate_cleaned!$B$2:$B$10,"&lt;"&amp;C4416,mdr_rate_cleaned!$F$2:$F$10,"&gt;="&amp;C4416)</f>
        <v>1</v>
      </c>
      <c r="G4416">
        <v>1.6E-2</v>
      </c>
      <c r="H4416">
        <v>139.15</v>
      </c>
      <c r="I4416" t="s">
        <v>15</v>
      </c>
      <c r="J4416" t="s">
        <v>15</v>
      </c>
      <c r="K4416">
        <v>25.05</v>
      </c>
      <c r="L4416">
        <v>0</v>
      </c>
    </row>
    <row r="4417" spans="1:12" x14ac:dyDescent="0.3">
      <c r="A4417" t="s">
        <v>4433</v>
      </c>
      <c r="B4417" t="s">
        <v>21</v>
      </c>
      <c r="C4417">
        <v>15998</v>
      </c>
      <c r="D4417">
        <v>47.99</v>
      </c>
      <c r="E4417">
        <v>8.64</v>
      </c>
      <c r="F4417">
        <f>COUNTIFS(mdr_rate_cleaned!$A$2:$A$10,B4417,mdr_rate_cleaned!$B$2:$B$10,"&lt;"&amp;C4417,mdr_rate_cleaned!$F$2:$F$10,"&gt;="&amp;C4417)</f>
        <v>1</v>
      </c>
      <c r="G4417">
        <v>3.0000000000000001E-3</v>
      </c>
      <c r="H4417">
        <v>47.99</v>
      </c>
      <c r="I4417" t="s">
        <v>15</v>
      </c>
      <c r="J4417" t="s">
        <v>15</v>
      </c>
      <c r="K4417">
        <v>8.64</v>
      </c>
      <c r="L4417">
        <v>0</v>
      </c>
    </row>
    <row r="4418" spans="1:12" x14ac:dyDescent="0.3">
      <c r="A4418" t="s">
        <v>4434</v>
      </c>
      <c r="B4418" t="s">
        <v>21</v>
      </c>
      <c r="C4418">
        <v>3098</v>
      </c>
      <c r="D4418">
        <v>9.2899999999999991</v>
      </c>
      <c r="E4418">
        <v>1.67</v>
      </c>
      <c r="F4418">
        <f>COUNTIFS(mdr_rate_cleaned!$A$2:$A$10,B4418,mdr_rate_cleaned!$B$2:$B$10,"&lt;"&amp;C4418,mdr_rate_cleaned!$F$2:$F$10,"&gt;="&amp;C4418)</f>
        <v>1</v>
      </c>
      <c r="G4418">
        <v>3.0000000000000001E-3</v>
      </c>
      <c r="H4418">
        <v>9.2899999999999991</v>
      </c>
      <c r="I4418" t="s">
        <v>15</v>
      </c>
      <c r="J4418" t="s">
        <v>15</v>
      </c>
      <c r="K4418">
        <v>1.67</v>
      </c>
      <c r="L4418">
        <v>0</v>
      </c>
    </row>
    <row r="4419" spans="1:12" x14ac:dyDescent="0.3">
      <c r="A4419" t="s">
        <v>4435</v>
      </c>
      <c r="B4419" t="s">
        <v>17</v>
      </c>
      <c r="C4419">
        <v>7999</v>
      </c>
      <c r="D4419">
        <v>127.98</v>
      </c>
      <c r="E4419">
        <v>23.04</v>
      </c>
      <c r="F4419">
        <f>COUNTIFS(mdr_rate_cleaned!$A$2:$A$10,B4419,mdr_rate_cleaned!$B$2:$B$10,"&lt;"&amp;C4419,mdr_rate_cleaned!$F$2:$F$10,"&gt;="&amp;C4419)</f>
        <v>1</v>
      </c>
      <c r="G4419">
        <v>1.6E-2</v>
      </c>
      <c r="H4419">
        <v>127.98</v>
      </c>
      <c r="I4419" t="s">
        <v>15</v>
      </c>
      <c r="J4419" t="s">
        <v>15</v>
      </c>
      <c r="K4419">
        <v>23.04</v>
      </c>
      <c r="L4419">
        <v>0</v>
      </c>
    </row>
    <row r="4420" spans="1:12" x14ac:dyDescent="0.3">
      <c r="A4420" t="s">
        <v>4436</v>
      </c>
      <c r="B4420" t="s">
        <v>17</v>
      </c>
      <c r="C4420">
        <v>599</v>
      </c>
      <c r="D4420">
        <v>10.78</v>
      </c>
      <c r="E4420">
        <v>1.94</v>
      </c>
      <c r="F4420">
        <f>COUNTIFS(mdr_rate_cleaned!$A$2:$A$10,B4420,mdr_rate_cleaned!$B$2:$B$10,"&lt;"&amp;C4420,mdr_rate_cleaned!$F$2:$F$10,"&gt;="&amp;C4420)</f>
        <v>1</v>
      </c>
      <c r="G4420">
        <v>1.7999999999999999E-2</v>
      </c>
      <c r="H4420">
        <v>10.78</v>
      </c>
      <c r="I4420" t="s">
        <v>15</v>
      </c>
      <c r="J4420" t="s">
        <v>15</v>
      </c>
      <c r="K4420">
        <v>1.94</v>
      </c>
      <c r="L4420">
        <v>0</v>
      </c>
    </row>
    <row r="4421" spans="1:12" x14ac:dyDescent="0.3">
      <c r="A4421" t="s">
        <v>4437</v>
      </c>
      <c r="B4421" t="s">
        <v>17</v>
      </c>
      <c r="C4421">
        <v>4097</v>
      </c>
      <c r="D4421">
        <v>65.55</v>
      </c>
      <c r="E4421">
        <v>11.8</v>
      </c>
      <c r="F4421">
        <f>COUNTIFS(mdr_rate_cleaned!$A$2:$A$10,B4421,mdr_rate_cleaned!$B$2:$B$10,"&lt;"&amp;C4421,mdr_rate_cleaned!$F$2:$F$10,"&gt;="&amp;C4421)</f>
        <v>1</v>
      </c>
      <c r="G4421">
        <v>1.6E-2</v>
      </c>
      <c r="H4421">
        <v>65.55</v>
      </c>
      <c r="I4421" t="s">
        <v>15</v>
      </c>
      <c r="J4421" t="s">
        <v>15</v>
      </c>
      <c r="K4421">
        <v>11.8</v>
      </c>
      <c r="L4421">
        <v>0</v>
      </c>
    </row>
    <row r="4422" spans="1:12" x14ac:dyDescent="0.3">
      <c r="A4422" t="s">
        <v>4438</v>
      </c>
      <c r="B4422" t="s">
        <v>21</v>
      </c>
      <c r="C4422">
        <v>2499</v>
      </c>
      <c r="D4422">
        <v>7.5</v>
      </c>
      <c r="E4422">
        <v>1.35</v>
      </c>
      <c r="F4422">
        <f>COUNTIFS(mdr_rate_cleaned!$A$2:$A$10,B4422,mdr_rate_cleaned!$B$2:$B$10,"&lt;"&amp;C4422,mdr_rate_cleaned!$F$2:$F$10,"&gt;="&amp;C4422)</f>
        <v>1</v>
      </c>
      <c r="G4422">
        <v>3.0000000000000001E-3</v>
      </c>
      <c r="H4422">
        <v>7.5</v>
      </c>
      <c r="I4422" t="s">
        <v>15</v>
      </c>
      <c r="J4422" t="s">
        <v>15</v>
      </c>
      <c r="K4422">
        <v>1.35</v>
      </c>
      <c r="L4422">
        <v>0</v>
      </c>
    </row>
    <row r="4423" spans="1:12" x14ac:dyDescent="0.3">
      <c r="A4423" t="s">
        <v>4439</v>
      </c>
      <c r="B4423" t="s">
        <v>21</v>
      </c>
      <c r="C4423">
        <v>23997</v>
      </c>
      <c r="D4423">
        <v>71.989999999999995</v>
      </c>
      <c r="E4423">
        <v>12.96</v>
      </c>
      <c r="F4423">
        <f>COUNTIFS(mdr_rate_cleaned!$A$2:$A$10,B4423,mdr_rate_cleaned!$B$2:$B$10,"&lt;"&amp;C4423,mdr_rate_cleaned!$F$2:$F$10,"&gt;="&amp;C4423)</f>
        <v>1</v>
      </c>
      <c r="G4423">
        <v>3.0000000000000001E-3</v>
      </c>
      <c r="H4423">
        <v>71.989999999999995</v>
      </c>
      <c r="I4423" t="s">
        <v>15</v>
      </c>
      <c r="J4423" t="s">
        <v>15</v>
      </c>
      <c r="K4423">
        <v>12.96</v>
      </c>
      <c r="L4423">
        <v>0</v>
      </c>
    </row>
    <row r="4424" spans="1:12" x14ac:dyDescent="0.3">
      <c r="A4424" t="s">
        <v>4440</v>
      </c>
      <c r="B4424" t="s">
        <v>17</v>
      </c>
      <c r="C4424">
        <v>2097</v>
      </c>
      <c r="D4424">
        <v>33.549999999999997</v>
      </c>
      <c r="E4424">
        <v>6.04</v>
      </c>
      <c r="F4424">
        <f>COUNTIFS(mdr_rate_cleaned!$A$2:$A$10,B4424,mdr_rate_cleaned!$B$2:$B$10,"&lt;"&amp;C4424,mdr_rate_cleaned!$F$2:$F$10,"&gt;="&amp;C4424)</f>
        <v>1</v>
      </c>
      <c r="G4424">
        <v>1.6E-2</v>
      </c>
      <c r="H4424">
        <v>33.549999999999997</v>
      </c>
      <c r="I4424" t="s">
        <v>15</v>
      </c>
      <c r="J4424" t="s">
        <v>15</v>
      </c>
      <c r="K4424">
        <v>6.04</v>
      </c>
      <c r="L4424">
        <v>0</v>
      </c>
    </row>
    <row r="4425" spans="1:12" x14ac:dyDescent="0.3">
      <c r="A4425" t="s">
        <v>4441</v>
      </c>
      <c r="B4425" t="s">
        <v>21</v>
      </c>
      <c r="C4425">
        <v>3998</v>
      </c>
      <c r="D4425">
        <v>11.99</v>
      </c>
      <c r="E4425">
        <v>2.16</v>
      </c>
      <c r="F4425">
        <f>COUNTIFS(mdr_rate_cleaned!$A$2:$A$10,B4425,mdr_rate_cleaned!$B$2:$B$10,"&lt;"&amp;C4425,mdr_rate_cleaned!$F$2:$F$10,"&gt;="&amp;C4425)</f>
        <v>1</v>
      </c>
      <c r="G4425">
        <v>3.0000000000000001E-3</v>
      </c>
      <c r="H4425">
        <v>11.99</v>
      </c>
      <c r="I4425" t="s">
        <v>15</v>
      </c>
      <c r="J4425" t="s">
        <v>15</v>
      </c>
      <c r="K4425">
        <v>2.16</v>
      </c>
      <c r="L4425">
        <v>0</v>
      </c>
    </row>
    <row r="4426" spans="1:12" x14ac:dyDescent="0.3">
      <c r="A4426" t="s">
        <v>4442</v>
      </c>
      <c r="B4426" t="s">
        <v>21</v>
      </c>
      <c r="C4426">
        <v>2798</v>
      </c>
      <c r="D4426">
        <v>8.39</v>
      </c>
      <c r="E4426">
        <v>1.51</v>
      </c>
      <c r="F4426">
        <f>COUNTIFS(mdr_rate_cleaned!$A$2:$A$10,B4426,mdr_rate_cleaned!$B$2:$B$10,"&lt;"&amp;C4426,mdr_rate_cleaned!$F$2:$F$10,"&gt;="&amp;C4426)</f>
        <v>1</v>
      </c>
      <c r="G4426">
        <v>3.0000000000000001E-3</v>
      </c>
      <c r="H4426">
        <v>8.39</v>
      </c>
      <c r="I4426" t="s">
        <v>15</v>
      </c>
      <c r="J4426" t="s">
        <v>15</v>
      </c>
      <c r="K4426">
        <v>1.51</v>
      </c>
      <c r="L4426">
        <v>0</v>
      </c>
    </row>
    <row r="4427" spans="1:12" x14ac:dyDescent="0.3">
      <c r="A4427" t="s">
        <v>4443</v>
      </c>
      <c r="B4427" t="s">
        <v>21</v>
      </c>
      <c r="C4427">
        <v>1798</v>
      </c>
      <c r="D4427">
        <v>0</v>
      </c>
      <c r="E4427">
        <v>0</v>
      </c>
      <c r="F4427">
        <f>COUNTIFS(mdr_rate_cleaned!$A$2:$A$10,B4427,mdr_rate_cleaned!$B$2:$B$10,"&lt;"&amp;C4427,mdr_rate_cleaned!$F$2:$F$10,"&gt;="&amp;C4427)</f>
        <v>1</v>
      </c>
      <c r="G4427">
        <v>0</v>
      </c>
      <c r="H4427">
        <v>0</v>
      </c>
      <c r="I4427" t="s">
        <v>15</v>
      </c>
      <c r="J4427" t="s">
        <v>15</v>
      </c>
      <c r="K4427">
        <v>0</v>
      </c>
      <c r="L4427">
        <v>0</v>
      </c>
    </row>
    <row r="4428" spans="1:12" x14ac:dyDescent="0.3">
      <c r="A4428" t="s">
        <v>4444</v>
      </c>
      <c r="B4428" t="s">
        <v>17</v>
      </c>
      <c r="C4428">
        <v>1499</v>
      </c>
      <c r="D4428">
        <v>26.98</v>
      </c>
      <c r="E4428">
        <v>4.8600000000000003</v>
      </c>
      <c r="F4428">
        <f>COUNTIFS(mdr_rate_cleaned!$A$2:$A$10,B4428,mdr_rate_cleaned!$B$2:$B$10,"&lt;"&amp;C4428,mdr_rate_cleaned!$F$2:$F$10,"&gt;="&amp;C4428)</f>
        <v>1</v>
      </c>
      <c r="G4428">
        <v>1.7999999999999999E-2</v>
      </c>
      <c r="H4428">
        <v>26.98</v>
      </c>
      <c r="I4428" t="s">
        <v>15</v>
      </c>
      <c r="J4428" t="s">
        <v>15</v>
      </c>
      <c r="K4428">
        <v>4.8600000000000003</v>
      </c>
      <c r="L4428">
        <v>0</v>
      </c>
    </row>
    <row r="4429" spans="1:12" x14ac:dyDescent="0.3">
      <c r="A4429" t="s">
        <v>4445</v>
      </c>
      <c r="B4429" t="s">
        <v>21</v>
      </c>
      <c r="C4429">
        <v>299</v>
      </c>
      <c r="D4429">
        <v>0</v>
      </c>
      <c r="E4429">
        <v>0</v>
      </c>
      <c r="F4429">
        <f>COUNTIFS(mdr_rate_cleaned!$A$2:$A$10,B4429,mdr_rate_cleaned!$B$2:$B$10,"&lt;"&amp;C4429,mdr_rate_cleaned!$F$2:$F$10,"&gt;="&amp;C4429)</f>
        <v>1</v>
      </c>
      <c r="G4429">
        <v>0</v>
      </c>
      <c r="H4429">
        <v>0</v>
      </c>
      <c r="I4429" t="s">
        <v>15</v>
      </c>
      <c r="J4429" t="s">
        <v>15</v>
      </c>
      <c r="K4429">
        <v>0</v>
      </c>
      <c r="L4429">
        <v>0</v>
      </c>
    </row>
    <row r="4430" spans="1:12" x14ac:dyDescent="0.3">
      <c r="A4430" t="s">
        <v>4446</v>
      </c>
      <c r="B4430" t="s">
        <v>39</v>
      </c>
      <c r="C4430">
        <v>4998</v>
      </c>
      <c r="D4430">
        <v>59.98</v>
      </c>
      <c r="E4430">
        <v>10.8</v>
      </c>
      <c r="F4430">
        <f>COUNTIFS(mdr_rate_cleaned!$A$2:$A$10,B4430,mdr_rate_cleaned!$B$2:$B$10,"&lt;"&amp;C4430,mdr_rate_cleaned!$F$2:$F$10,"&gt;="&amp;C4430)</f>
        <v>1</v>
      </c>
      <c r="G4430">
        <v>1.2E-2</v>
      </c>
      <c r="H4430">
        <v>59.98</v>
      </c>
      <c r="I4430" t="s">
        <v>15</v>
      </c>
      <c r="J4430" t="s">
        <v>15</v>
      </c>
      <c r="K4430">
        <v>10.8</v>
      </c>
      <c r="L4430">
        <v>0</v>
      </c>
    </row>
    <row r="4431" spans="1:12" x14ac:dyDescent="0.3">
      <c r="A4431" t="s">
        <v>4447</v>
      </c>
      <c r="B4431" t="s">
        <v>17</v>
      </c>
      <c r="C4431">
        <v>499</v>
      </c>
      <c r="D4431">
        <v>8.98</v>
      </c>
      <c r="E4431">
        <v>1.62</v>
      </c>
      <c r="F4431">
        <f>COUNTIFS(mdr_rate_cleaned!$A$2:$A$10,B4431,mdr_rate_cleaned!$B$2:$B$10,"&lt;"&amp;C4431,mdr_rate_cleaned!$F$2:$F$10,"&gt;="&amp;C4431)</f>
        <v>1</v>
      </c>
      <c r="G4431">
        <v>1.7999999999999999E-2</v>
      </c>
      <c r="H4431">
        <v>8.98</v>
      </c>
      <c r="I4431" t="s">
        <v>15</v>
      </c>
      <c r="J4431" t="s">
        <v>15</v>
      </c>
      <c r="K4431">
        <v>1.62</v>
      </c>
      <c r="L4431">
        <v>0</v>
      </c>
    </row>
    <row r="4432" spans="1:12" x14ac:dyDescent="0.3">
      <c r="A4432" t="s">
        <v>4448</v>
      </c>
      <c r="B4432" t="s">
        <v>17</v>
      </c>
      <c r="C4432">
        <v>799</v>
      </c>
      <c r="D4432">
        <v>14.38</v>
      </c>
      <c r="E4432">
        <v>2.59</v>
      </c>
      <c r="F4432">
        <f>COUNTIFS(mdr_rate_cleaned!$A$2:$A$10,B4432,mdr_rate_cleaned!$B$2:$B$10,"&lt;"&amp;C4432,mdr_rate_cleaned!$F$2:$F$10,"&gt;="&amp;C4432)</f>
        <v>1</v>
      </c>
      <c r="G4432">
        <v>1.7999999999999999E-2</v>
      </c>
      <c r="H4432">
        <v>14.38</v>
      </c>
      <c r="I4432" t="s">
        <v>15</v>
      </c>
      <c r="J4432" t="s">
        <v>15</v>
      </c>
      <c r="K4432">
        <v>2.59</v>
      </c>
      <c r="L4432">
        <v>0</v>
      </c>
    </row>
    <row r="4433" spans="1:12" x14ac:dyDescent="0.3">
      <c r="A4433" t="s">
        <v>4449</v>
      </c>
      <c r="B4433" t="s">
        <v>21</v>
      </c>
      <c r="C4433">
        <v>3498</v>
      </c>
      <c r="D4433">
        <v>10.49</v>
      </c>
      <c r="E4433">
        <v>1.89</v>
      </c>
      <c r="F4433">
        <f>COUNTIFS(mdr_rate_cleaned!$A$2:$A$10,B4433,mdr_rate_cleaned!$B$2:$B$10,"&lt;"&amp;C4433,mdr_rate_cleaned!$F$2:$F$10,"&gt;="&amp;C4433)</f>
        <v>1</v>
      </c>
      <c r="G4433">
        <v>3.0000000000000001E-3</v>
      </c>
      <c r="H4433">
        <v>10.49</v>
      </c>
      <c r="I4433" t="s">
        <v>15</v>
      </c>
      <c r="J4433" t="s">
        <v>15</v>
      </c>
      <c r="K4433">
        <v>1.89</v>
      </c>
      <c r="L4433">
        <v>0</v>
      </c>
    </row>
    <row r="4434" spans="1:12" x14ac:dyDescent="0.3">
      <c r="A4434" t="s">
        <v>4450</v>
      </c>
      <c r="B4434" t="s">
        <v>21</v>
      </c>
      <c r="C4434">
        <v>3499</v>
      </c>
      <c r="D4434">
        <v>10.5</v>
      </c>
      <c r="E4434">
        <v>1.89</v>
      </c>
      <c r="F4434">
        <f>COUNTIFS(mdr_rate_cleaned!$A$2:$A$10,B4434,mdr_rate_cleaned!$B$2:$B$10,"&lt;"&amp;C4434,mdr_rate_cleaned!$F$2:$F$10,"&gt;="&amp;C4434)</f>
        <v>1</v>
      </c>
      <c r="G4434">
        <v>3.0000000000000001E-3</v>
      </c>
      <c r="H4434">
        <v>10.5</v>
      </c>
      <c r="I4434" t="s">
        <v>15</v>
      </c>
      <c r="J4434" t="s">
        <v>15</v>
      </c>
      <c r="K4434">
        <v>1.89</v>
      </c>
      <c r="L4434">
        <v>0</v>
      </c>
    </row>
    <row r="4435" spans="1:12" x14ac:dyDescent="0.3">
      <c r="A4435" t="s">
        <v>4451</v>
      </c>
      <c r="B4435" t="s">
        <v>21</v>
      </c>
      <c r="C4435">
        <v>999</v>
      </c>
      <c r="D4435">
        <v>0</v>
      </c>
      <c r="E4435">
        <v>0</v>
      </c>
      <c r="F4435">
        <f>COUNTIFS(mdr_rate_cleaned!$A$2:$A$10,B4435,mdr_rate_cleaned!$B$2:$B$10,"&lt;"&amp;C4435,mdr_rate_cleaned!$F$2:$F$10,"&gt;="&amp;C4435)</f>
        <v>1</v>
      </c>
      <c r="G4435">
        <v>0</v>
      </c>
      <c r="H4435">
        <v>0</v>
      </c>
      <c r="I4435" t="s">
        <v>15</v>
      </c>
      <c r="J4435" t="s">
        <v>15</v>
      </c>
      <c r="K4435">
        <v>0</v>
      </c>
      <c r="L4435">
        <v>0</v>
      </c>
    </row>
    <row r="4436" spans="1:12" x14ac:dyDescent="0.3">
      <c r="A4436" t="s">
        <v>4452</v>
      </c>
      <c r="B4436" t="s">
        <v>17</v>
      </c>
      <c r="C4436">
        <v>8097</v>
      </c>
      <c r="D4436">
        <v>129.55000000000001</v>
      </c>
      <c r="E4436">
        <v>23.32</v>
      </c>
      <c r="F4436">
        <f>COUNTIFS(mdr_rate_cleaned!$A$2:$A$10,B4436,mdr_rate_cleaned!$B$2:$B$10,"&lt;"&amp;C4436,mdr_rate_cleaned!$F$2:$F$10,"&gt;="&amp;C4436)</f>
        <v>1</v>
      </c>
      <c r="G4436">
        <v>1.6E-2</v>
      </c>
      <c r="H4436">
        <v>129.55000000000001</v>
      </c>
      <c r="I4436" t="s">
        <v>15</v>
      </c>
      <c r="J4436" t="s">
        <v>15</v>
      </c>
      <c r="K4436">
        <v>23.32</v>
      </c>
      <c r="L4436">
        <v>0</v>
      </c>
    </row>
    <row r="4437" spans="1:12" x14ac:dyDescent="0.3">
      <c r="A4437" t="s">
        <v>4453</v>
      </c>
      <c r="B4437" t="s">
        <v>21</v>
      </c>
      <c r="C4437">
        <v>3298</v>
      </c>
      <c r="D4437">
        <v>9.89</v>
      </c>
      <c r="E4437">
        <v>1.78</v>
      </c>
      <c r="F4437">
        <f>COUNTIFS(mdr_rate_cleaned!$A$2:$A$10,B4437,mdr_rate_cleaned!$B$2:$B$10,"&lt;"&amp;C4437,mdr_rate_cleaned!$F$2:$F$10,"&gt;="&amp;C4437)</f>
        <v>1</v>
      </c>
      <c r="G4437">
        <v>3.0000000000000001E-3</v>
      </c>
      <c r="H4437">
        <v>9.89</v>
      </c>
      <c r="I4437" t="s">
        <v>15</v>
      </c>
      <c r="J4437" t="s">
        <v>15</v>
      </c>
      <c r="K4437">
        <v>1.78</v>
      </c>
      <c r="L4437">
        <v>0</v>
      </c>
    </row>
    <row r="4438" spans="1:12" x14ac:dyDescent="0.3">
      <c r="A4438" t="s">
        <v>4454</v>
      </c>
      <c r="B4438" t="s">
        <v>17</v>
      </c>
      <c r="C4438">
        <v>4397</v>
      </c>
      <c r="D4438">
        <v>70.349999999999994</v>
      </c>
      <c r="E4438">
        <v>12.66</v>
      </c>
      <c r="F4438">
        <f>COUNTIFS(mdr_rate_cleaned!$A$2:$A$10,B4438,mdr_rate_cleaned!$B$2:$B$10,"&lt;"&amp;C4438,mdr_rate_cleaned!$F$2:$F$10,"&gt;="&amp;C4438)</f>
        <v>1</v>
      </c>
      <c r="G4438">
        <v>1.6E-2</v>
      </c>
      <c r="H4438">
        <v>70.349999999999994</v>
      </c>
      <c r="I4438" t="s">
        <v>15</v>
      </c>
      <c r="J4438" t="s">
        <v>15</v>
      </c>
      <c r="K4438">
        <v>12.66</v>
      </c>
      <c r="L4438">
        <v>0</v>
      </c>
    </row>
    <row r="4439" spans="1:12" x14ac:dyDescent="0.3">
      <c r="A4439" t="s">
        <v>4455</v>
      </c>
      <c r="B4439" t="s">
        <v>39</v>
      </c>
      <c r="C4439">
        <v>4498</v>
      </c>
      <c r="D4439">
        <v>53.98</v>
      </c>
      <c r="E4439">
        <v>9.7200000000000006</v>
      </c>
      <c r="F4439">
        <f>COUNTIFS(mdr_rate_cleaned!$A$2:$A$10,B4439,mdr_rate_cleaned!$B$2:$B$10,"&lt;"&amp;C4439,mdr_rate_cleaned!$F$2:$F$10,"&gt;="&amp;C4439)</f>
        <v>1</v>
      </c>
      <c r="G4439">
        <v>1.2E-2</v>
      </c>
      <c r="H4439">
        <v>53.98</v>
      </c>
      <c r="I4439" t="s">
        <v>15</v>
      </c>
      <c r="J4439" t="s">
        <v>15</v>
      </c>
      <c r="K4439">
        <v>9.7200000000000006</v>
      </c>
      <c r="L4439">
        <v>0</v>
      </c>
    </row>
    <row r="4440" spans="1:12" x14ac:dyDescent="0.3">
      <c r="A4440" t="s">
        <v>4456</v>
      </c>
      <c r="B4440" t="s">
        <v>17</v>
      </c>
      <c r="C4440">
        <v>5297</v>
      </c>
      <c r="D4440">
        <v>84.75</v>
      </c>
      <c r="E4440">
        <v>15.26</v>
      </c>
      <c r="F4440">
        <f>COUNTIFS(mdr_rate_cleaned!$A$2:$A$10,B4440,mdr_rate_cleaned!$B$2:$B$10,"&lt;"&amp;C4440,mdr_rate_cleaned!$F$2:$F$10,"&gt;="&amp;C4440)</f>
        <v>1</v>
      </c>
      <c r="G4440">
        <v>1.6E-2</v>
      </c>
      <c r="H4440">
        <v>84.75</v>
      </c>
      <c r="I4440" t="s">
        <v>15</v>
      </c>
      <c r="J4440" t="s">
        <v>15</v>
      </c>
      <c r="K4440">
        <v>15.26</v>
      </c>
      <c r="L4440">
        <v>0</v>
      </c>
    </row>
    <row r="4441" spans="1:12" x14ac:dyDescent="0.3">
      <c r="A4441" t="s">
        <v>4457</v>
      </c>
      <c r="B4441" t="s">
        <v>39</v>
      </c>
      <c r="C4441">
        <v>599</v>
      </c>
      <c r="D4441">
        <v>8.99</v>
      </c>
      <c r="E4441">
        <v>1.62</v>
      </c>
      <c r="F4441">
        <f>COUNTIFS(mdr_rate_cleaned!$A$2:$A$10,B4441,mdr_rate_cleaned!$B$2:$B$10,"&lt;"&amp;C4441,mdr_rate_cleaned!$F$2:$F$10,"&gt;="&amp;C4441)</f>
        <v>1</v>
      </c>
      <c r="G4441">
        <v>1.4999999999999999E-2</v>
      </c>
      <c r="H4441">
        <v>8.99</v>
      </c>
      <c r="I4441" t="s">
        <v>15</v>
      </c>
      <c r="J4441" t="s">
        <v>15</v>
      </c>
      <c r="K4441">
        <v>1.62</v>
      </c>
      <c r="L4441">
        <v>0</v>
      </c>
    </row>
    <row r="4442" spans="1:12" x14ac:dyDescent="0.3">
      <c r="A4442" t="s">
        <v>4458</v>
      </c>
      <c r="B4442" t="s">
        <v>21</v>
      </c>
      <c r="C4442">
        <v>5998</v>
      </c>
      <c r="D4442">
        <v>17.989999999999998</v>
      </c>
      <c r="E4442">
        <v>3.24</v>
      </c>
      <c r="F4442">
        <f>COUNTIFS(mdr_rate_cleaned!$A$2:$A$10,B4442,mdr_rate_cleaned!$B$2:$B$10,"&lt;"&amp;C4442,mdr_rate_cleaned!$F$2:$F$10,"&gt;="&amp;C4442)</f>
        <v>1</v>
      </c>
      <c r="G4442">
        <v>3.0000000000000001E-3</v>
      </c>
      <c r="H4442">
        <v>17.989999999999998</v>
      </c>
      <c r="I4442" t="s">
        <v>15</v>
      </c>
      <c r="J4442" t="s">
        <v>15</v>
      </c>
      <c r="K4442">
        <v>3.24</v>
      </c>
      <c r="L4442">
        <v>0</v>
      </c>
    </row>
    <row r="4443" spans="1:12" x14ac:dyDescent="0.3">
      <c r="A4443" t="s">
        <v>4459</v>
      </c>
      <c r="B4443" t="s">
        <v>13</v>
      </c>
      <c r="C4443">
        <v>1799</v>
      </c>
      <c r="D4443">
        <v>34.18</v>
      </c>
      <c r="E4443">
        <v>6.15</v>
      </c>
      <c r="F4443">
        <f>COUNTIFS(mdr_rate_cleaned!$A$2:$A$10,B4443,mdr_rate_cleaned!$B$2:$B$10,"&lt;"&amp;C4443,mdr_rate_cleaned!$F$2:$F$10,"&gt;="&amp;C4443)</f>
        <v>1</v>
      </c>
      <c r="G4443">
        <v>1.9E-2</v>
      </c>
      <c r="H4443">
        <v>34.18</v>
      </c>
      <c r="I4443" t="s">
        <v>15</v>
      </c>
      <c r="J4443" t="s">
        <v>15</v>
      </c>
      <c r="K4443">
        <v>6.15</v>
      </c>
      <c r="L4443">
        <v>0</v>
      </c>
    </row>
    <row r="4444" spans="1:12" x14ac:dyDescent="0.3">
      <c r="A4444" t="s">
        <v>4460</v>
      </c>
      <c r="B4444" t="s">
        <v>21</v>
      </c>
      <c r="C4444">
        <v>999</v>
      </c>
      <c r="D4444">
        <v>0</v>
      </c>
      <c r="E4444">
        <v>0</v>
      </c>
      <c r="F4444">
        <f>COUNTIFS(mdr_rate_cleaned!$A$2:$A$10,B4444,mdr_rate_cleaned!$B$2:$B$10,"&lt;"&amp;C4444,mdr_rate_cleaned!$F$2:$F$10,"&gt;="&amp;C4444)</f>
        <v>1</v>
      </c>
      <c r="G4444">
        <v>0</v>
      </c>
      <c r="H4444">
        <v>0</v>
      </c>
      <c r="I4444" t="s">
        <v>15</v>
      </c>
      <c r="J4444" t="s">
        <v>15</v>
      </c>
      <c r="K4444">
        <v>0</v>
      </c>
      <c r="L4444">
        <v>0</v>
      </c>
    </row>
    <row r="4445" spans="1:12" x14ac:dyDescent="0.3">
      <c r="A4445" t="s">
        <v>4461</v>
      </c>
      <c r="B4445" t="s">
        <v>17</v>
      </c>
      <c r="C4445">
        <v>6998</v>
      </c>
      <c r="D4445">
        <v>111.97</v>
      </c>
      <c r="E4445">
        <v>20.149999999999999</v>
      </c>
      <c r="F4445">
        <f>COUNTIFS(mdr_rate_cleaned!$A$2:$A$10,B4445,mdr_rate_cleaned!$B$2:$B$10,"&lt;"&amp;C4445,mdr_rate_cleaned!$F$2:$F$10,"&gt;="&amp;C4445)</f>
        <v>1</v>
      </c>
      <c r="G4445">
        <v>1.6E-2</v>
      </c>
      <c r="H4445">
        <v>111.97</v>
      </c>
      <c r="I4445" t="s">
        <v>15</v>
      </c>
      <c r="J4445" t="s">
        <v>15</v>
      </c>
      <c r="K4445">
        <v>20.149999999999999</v>
      </c>
      <c r="L4445">
        <v>0</v>
      </c>
    </row>
    <row r="4446" spans="1:12" x14ac:dyDescent="0.3">
      <c r="A4446" t="s">
        <v>4462</v>
      </c>
      <c r="B4446" t="s">
        <v>17</v>
      </c>
      <c r="C4446">
        <v>8798</v>
      </c>
      <c r="D4446">
        <v>140.77000000000001</v>
      </c>
      <c r="E4446">
        <v>25.34</v>
      </c>
      <c r="F4446">
        <f>COUNTIFS(mdr_rate_cleaned!$A$2:$A$10,B4446,mdr_rate_cleaned!$B$2:$B$10,"&lt;"&amp;C4446,mdr_rate_cleaned!$F$2:$F$10,"&gt;="&amp;C4446)</f>
        <v>1</v>
      </c>
      <c r="G4446">
        <v>1.6E-2</v>
      </c>
      <c r="H4446">
        <v>140.77000000000001</v>
      </c>
      <c r="I4446" t="s">
        <v>15</v>
      </c>
      <c r="J4446" t="s">
        <v>15</v>
      </c>
      <c r="K4446">
        <v>25.34</v>
      </c>
      <c r="L4446">
        <v>0</v>
      </c>
    </row>
    <row r="4447" spans="1:12" x14ac:dyDescent="0.3">
      <c r="A4447" t="s">
        <v>4463</v>
      </c>
      <c r="B4447" t="s">
        <v>21</v>
      </c>
      <c r="C4447">
        <v>10097</v>
      </c>
      <c r="D4447">
        <v>30.29</v>
      </c>
      <c r="E4447">
        <v>5.45</v>
      </c>
      <c r="F4447">
        <f>COUNTIFS(mdr_rate_cleaned!$A$2:$A$10,B4447,mdr_rate_cleaned!$B$2:$B$10,"&lt;"&amp;C4447,mdr_rate_cleaned!$F$2:$F$10,"&gt;="&amp;C4447)</f>
        <v>1</v>
      </c>
      <c r="G4447">
        <v>3.0000000000000001E-3</v>
      </c>
      <c r="H4447">
        <v>30.29</v>
      </c>
      <c r="I4447" t="s">
        <v>15</v>
      </c>
      <c r="J4447" t="s">
        <v>15</v>
      </c>
      <c r="K4447">
        <v>5.45</v>
      </c>
      <c r="L4447">
        <v>0</v>
      </c>
    </row>
    <row r="4448" spans="1:12" x14ac:dyDescent="0.3">
      <c r="A4448" t="s">
        <v>4464</v>
      </c>
      <c r="B4448" t="s">
        <v>21</v>
      </c>
      <c r="C4448">
        <v>1098</v>
      </c>
      <c r="D4448">
        <v>0</v>
      </c>
      <c r="E4448">
        <v>0</v>
      </c>
      <c r="F4448">
        <f>COUNTIFS(mdr_rate_cleaned!$A$2:$A$10,B4448,mdr_rate_cleaned!$B$2:$B$10,"&lt;"&amp;C4448,mdr_rate_cleaned!$F$2:$F$10,"&gt;="&amp;C4448)</f>
        <v>1</v>
      </c>
      <c r="G4448">
        <v>0</v>
      </c>
      <c r="H4448">
        <v>0</v>
      </c>
      <c r="I4448" t="s">
        <v>15</v>
      </c>
      <c r="J4448" t="s">
        <v>15</v>
      </c>
      <c r="K4448">
        <v>0</v>
      </c>
      <c r="L4448">
        <v>0</v>
      </c>
    </row>
    <row r="4449" spans="1:12" x14ac:dyDescent="0.3">
      <c r="A4449" t="s">
        <v>4465</v>
      </c>
      <c r="B4449" t="s">
        <v>21</v>
      </c>
      <c r="C4449">
        <v>349</v>
      </c>
      <c r="D4449">
        <v>0</v>
      </c>
      <c r="E4449">
        <v>0</v>
      </c>
      <c r="F4449">
        <f>COUNTIFS(mdr_rate_cleaned!$A$2:$A$10,B4449,mdr_rate_cleaned!$B$2:$B$10,"&lt;"&amp;C4449,mdr_rate_cleaned!$F$2:$F$10,"&gt;="&amp;C4449)</f>
        <v>1</v>
      </c>
      <c r="G4449">
        <v>0</v>
      </c>
      <c r="H4449">
        <v>0</v>
      </c>
      <c r="I4449" t="s">
        <v>15</v>
      </c>
      <c r="J4449" t="s">
        <v>15</v>
      </c>
      <c r="K4449">
        <v>0</v>
      </c>
      <c r="L4449">
        <v>0</v>
      </c>
    </row>
    <row r="4450" spans="1:12" x14ac:dyDescent="0.3">
      <c r="A4450" t="s">
        <v>4466</v>
      </c>
      <c r="B4450" t="s">
        <v>21</v>
      </c>
      <c r="C4450">
        <v>4647</v>
      </c>
      <c r="D4450">
        <v>13.94</v>
      </c>
      <c r="E4450">
        <v>2.5099999999999998</v>
      </c>
      <c r="F4450">
        <f>COUNTIFS(mdr_rate_cleaned!$A$2:$A$10,B4450,mdr_rate_cleaned!$B$2:$B$10,"&lt;"&amp;C4450,mdr_rate_cleaned!$F$2:$F$10,"&gt;="&amp;C4450)</f>
        <v>1</v>
      </c>
      <c r="G4450">
        <v>3.0000000000000001E-3</v>
      </c>
      <c r="H4450">
        <v>13.94</v>
      </c>
      <c r="I4450" t="s">
        <v>15</v>
      </c>
      <c r="J4450" t="s">
        <v>15</v>
      </c>
      <c r="K4450">
        <v>2.5099999999999998</v>
      </c>
      <c r="L4450">
        <v>0</v>
      </c>
    </row>
    <row r="4451" spans="1:12" x14ac:dyDescent="0.3">
      <c r="A4451" t="s">
        <v>4467</v>
      </c>
      <c r="B4451" t="s">
        <v>13</v>
      </c>
      <c r="C4451">
        <v>5348</v>
      </c>
      <c r="D4451">
        <v>90.92</v>
      </c>
      <c r="E4451">
        <v>16.37</v>
      </c>
      <c r="F4451">
        <f>COUNTIFS(mdr_rate_cleaned!$A$2:$A$10,B4451,mdr_rate_cleaned!$B$2:$B$10,"&lt;"&amp;C4451,mdr_rate_cleaned!$F$2:$F$10,"&gt;="&amp;C4451)</f>
        <v>1</v>
      </c>
      <c r="G4451">
        <v>1.7000000000000001E-2</v>
      </c>
      <c r="H4451">
        <v>90.92</v>
      </c>
      <c r="I4451" t="s">
        <v>15</v>
      </c>
      <c r="J4451" t="s">
        <v>15</v>
      </c>
      <c r="K4451">
        <v>16.37</v>
      </c>
      <c r="L4451">
        <v>0</v>
      </c>
    </row>
    <row r="4452" spans="1:12" x14ac:dyDescent="0.3">
      <c r="A4452" t="s">
        <v>4468</v>
      </c>
      <c r="B4452" t="s">
        <v>39</v>
      </c>
      <c r="C4452">
        <v>299</v>
      </c>
      <c r="D4452">
        <v>4.49</v>
      </c>
      <c r="E4452">
        <v>0.81</v>
      </c>
      <c r="F4452">
        <f>COUNTIFS(mdr_rate_cleaned!$A$2:$A$10,B4452,mdr_rate_cleaned!$B$2:$B$10,"&lt;"&amp;C4452,mdr_rate_cleaned!$F$2:$F$10,"&gt;="&amp;C4452)</f>
        <v>1</v>
      </c>
      <c r="G4452">
        <v>1.4999999999999999E-2</v>
      </c>
      <c r="H4452">
        <v>4.49</v>
      </c>
      <c r="I4452" t="s">
        <v>15</v>
      </c>
      <c r="J4452" t="s">
        <v>15</v>
      </c>
      <c r="K4452">
        <v>0.81</v>
      </c>
      <c r="L4452">
        <v>0</v>
      </c>
    </row>
    <row r="4453" spans="1:12" x14ac:dyDescent="0.3">
      <c r="A4453" t="s">
        <v>4469</v>
      </c>
      <c r="B4453" t="s">
        <v>21</v>
      </c>
      <c r="C4453">
        <v>4298</v>
      </c>
      <c r="D4453">
        <v>12.89</v>
      </c>
      <c r="E4453">
        <v>2.3199999999999998</v>
      </c>
      <c r="F4453">
        <f>COUNTIFS(mdr_rate_cleaned!$A$2:$A$10,B4453,mdr_rate_cleaned!$B$2:$B$10,"&lt;"&amp;C4453,mdr_rate_cleaned!$F$2:$F$10,"&gt;="&amp;C4453)</f>
        <v>1</v>
      </c>
      <c r="G4453">
        <v>3.0000000000000001E-3</v>
      </c>
      <c r="H4453">
        <v>12.89</v>
      </c>
      <c r="I4453" t="s">
        <v>15</v>
      </c>
      <c r="J4453" t="s">
        <v>15</v>
      </c>
      <c r="K4453">
        <v>2.3199999999999998</v>
      </c>
      <c r="L4453">
        <v>0</v>
      </c>
    </row>
    <row r="4454" spans="1:12" x14ac:dyDescent="0.3">
      <c r="A4454" t="s">
        <v>4470</v>
      </c>
      <c r="B4454" t="s">
        <v>17</v>
      </c>
      <c r="C4454">
        <v>1198</v>
      </c>
      <c r="D4454">
        <v>21.56</v>
      </c>
      <c r="E4454">
        <v>3.88</v>
      </c>
      <c r="F4454">
        <f>COUNTIFS(mdr_rate_cleaned!$A$2:$A$10,B4454,mdr_rate_cleaned!$B$2:$B$10,"&lt;"&amp;C4454,mdr_rate_cleaned!$F$2:$F$10,"&gt;="&amp;C4454)</f>
        <v>1</v>
      </c>
      <c r="G4454">
        <v>1.7999999999999999E-2</v>
      </c>
      <c r="H4454">
        <v>21.56</v>
      </c>
      <c r="I4454" t="s">
        <v>15</v>
      </c>
      <c r="J4454" t="s">
        <v>15</v>
      </c>
      <c r="K4454">
        <v>3.88</v>
      </c>
      <c r="L4454">
        <v>0</v>
      </c>
    </row>
    <row r="4455" spans="1:12" x14ac:dyDescent="0.3">
      <c r="A4455" t="s">
        <v>4471</v>
      </c>
      <c r="B4455" t="s">
        <v>39</v>
      </c>
      <c r="C4455">
        <v>3499</v>
      </c>
      <c r="D4455">
        <v>41.99</v>
      </c>
      <c r="E4455">
        <v>7.56</v>
      </c>
      <c r="F4455">
        <f>COUNTIFS(mdr_rate_cleaned!$A$2:$A$10,B4455,mdr_rate_cleaned!$B$2:$B$10,"&lt;"&amp;C4455,mdr_rate_cleaned!$F$2:$F$10,"&gt;="&amp;C4455)</f>
        <v>1</v>
      </c>
      <c r="G4455">
        <v>1.2E-2</v>
      </c>
      <c r="H4455">
        <v>41.99</v>
      </c>
      <c r="I4455" t="s">
        <v>15</v>
      </c>
      <c r="J4455" t="s">
        <v>15</v>
      </c>
      <c r="K4455">
        <v>7.56</v>
      </c>
      <c r="L4455">
        <v>0</v>
      </c>
    </row>
    <row r="4456" spans="1:12" x14ac:dyDescent="0.3">
      <c r="A4456" t="s">
        <v>4472</v>
      </c>
      <c r="B4456" t="s">
        <v>17</v>
      </c>
      <c r="C4456">
        <v>4597</v>
      </c>
      <c r="D4456">
        <v>73.55</v>
      </c>
      <c r="E4456">
        <v>13.24</v>
      </c>
      <c r="F4456">
        <f>COUNTIFS(mdr_rate_cleaned!$A$2:$A$10,B4456,mdr_rate_cleaned!$B$2:$B$10,"&lt;"&amp;C4456,mdr_rate_cleaned!$F$2:$F$10,"&gt;="&amp;C4456)</f>
        <v>1</v>
      </c>
      <c r="G4456">
        <v>1.6E-2</v>
      </c>
      <c r="H4456">
        <v>73.55</v>
      </c>
      <c r="I4456" t="s">
        <v>15</v>
      </c>
      <c r="J4456" t="s">
        <v>15</v>
      </c>
      <c r="K4456">
        <v>13.24</v>
      </c>
      <c r="L4456">
        <v>0</v>
      </c>
    </row>
    <row r="4457" spans="1:12" x14ac:dyDescent="0.3">
      <c r="A4457" t="s">
        <v>4473</v>
      </c>
      <c r="B4457" t="s">
        <v>21</v>
      </c>
      <c r="C4457">
        <v>10297</v>
      </c>
      <c r="D4457">
        <v>30.89</v>
      </c>
      <c r="E4457">
        <v>5.56</v>
      </c>
      <c r="F4457">
        <f>COUNTIFS(mdr_rate_cleaned!$A$2:$A$10,B4457,mdr_rate_cleaned!$B$2:$B$10,"&lt;"&amp;C4457,mdr_rate_cleaned!$F$2:$F$10,"&gt;="&amp;C4457)</f>
        <v>1</v>
      </c>
      <c r="G4457">
        <v>3.0000000000000001E-3</v>
      </c>
      <c r="H4457">
        <v>30.89</v>
      </c>
      <c r="I4457" t="s">
        <v>15</v>
      </c>
      <c r="J4457" t="s">
        <v>15</v>
      </c>
      <c r="K4457">
        <v>5.56</v>
      </c>
      <c r="L4457">
        <v>0</v>
      </c>
    </row>
    <row r="4458" spans="1:12" x14ac:dyDescent="0.3">
      <c r="A4458" t="s">
        <v>4474</v>
      </c>
      <c r="B4458" t="s">
        <v>21</v>
      </c>
      <c r="C4458">
        <v>11097</v>
      </c>
      <c r="D4458">
        <v>33.29</v>
      </c>
      <c r="E4458">
        <v>5.99</v>
      </c>
      <c r="F4458">
        <f>COUNTIFS(mdr_rate_cleaned!$A$2:$A$10,B4458,mdr_rate_cleaned!$B$2:$B$10,"&lt;"&amp;C4458,mdr_rate_cleaned!$F$2:$F$10,"&gt;="&amp;C4458)</f>
        <v>1</v>
      </c>
      <c r="G4458">
        <v>3.0000000000000001E-3</v>
      </c>
      <c r="H4458">
        <v>33.29</v>
      </c>
      <c r="I4458" t="s">
        <v>15</v>
      </c>
      <c r="J4458" t="s">
        <v>15</v>
      </c>
      <c r="K4458">
        <v>5.99</v>
      </c>
      <c r="L4458">
        <v>0</v>
      </c>
    </row>
    <row r="4459" spans="1:12" x14ac:dyDescent="0.3">
      <c r="A4459" t="s">
        <v>4475</v>
      </c>
      <c r="B4459" t="s">
        <v>21</v>
      </c>
      <c r="C4459">
        <v>599</v>
      </c>
      <c r="D4459">
        <v>0</v>
      </c>
      <c r="E4459">
        <v>0</v>
      </c>
      <c r="F4459">
        <f>COUNTIFS(mdr_rate_cleaned!$A$2:$A$10,B4459,mdr_rate_cleaned!$B$2:$B$10,"&lt;"&amp;C4459,mdr_rate_cleaned!$F$2:$F$10,"&gt;="&amp;C4459)</f>
        <v>1</v>
      </c>
      <c r="G4459">
        <v>0</v>
      </c>
      <c r="H4459">
        <v>0</v>
      </c>
      <c r="I4459" t="s">
        <v>15</v>
      </c>
      <c r="J4459" t="s">
        <v>15</v>
      </c>
      <c r="K4459">
        <v>0</v>
      </c>
      <c r="L4459">
        <v>0</v>
      </c>
    </row>
    <row r="4460" spans="1:12" x14ac:dyDescent="0.3">
      <c r="A4460" t="s">
        <v>4476</v>
      </c>
      <c r="B4460" t="s">
        <v>21</v>
      </c>
      <c r="C4460">
        <v>1798</v>
      </c>
      <c r="D4460">
        <v>0</v>
      </c>
      <c r="E4460">
        <v>0</v>
      </c>
      <c r="F4460">
        <f>COUNTIFS(mdr_rate_cleaned!$A$2:$A$10,B4460,mdr_rate_cleaned!$B$2:$B$10,"&lt;"&amp;C4460,mdr_rate_cleaned!$F$2:$F$10,"&gt;="&amp;C4460)</f>
        <v>1</v>
      </c>
      <c r="G4460">
        <v>0</v>
      </c>
      <c r="H4460">
        <v>0</v>
      </c>
      <c r="I4460" t="s">
        <v>15</v>
      </c>
      <c r="J4460" t="s">
        <v>15</v>
      </c>
      <c r="K4460">
        <v>0</v>
      </c>
      <c r="L4460">
        <v>0</v>
      </c>
    </row>
    <row r="4461" spans="1:12" x14ac:dyDescent="0.3">
      <c r="A4461" t="s">
        <v>4477</v>
      </c>
      <c r="B4461" t="s">
        <v>21</v>
      </c>
      <c r="C4461">
        <v>299</v>
      </c>
      <c r="D4461">
        <v>0</v>
      </c>
      <c r="E4461">
        <v>0</v>
      </c>
      <c r="F4461">
        <f>COUNTIFS(mdr_rate_cleaned!$A$2:$A$10,B4461,mdr_rate_cleaned!$B$2:$B$10,"&lt;"&amp;C4461,mdr_rate_cleaned!$F$2:$F$10,"&gt;="&amp;C4461)</f>
        <v>1</v>
      </c>
      <c r="G4461">
        <v>0</v>
      </c>
      <c r="H4461">
        <v>0</v>
      </c>
      <c r="I4461" t="s">
        <v>15</v>
      </c>
      <c r="J4461" t="s">
        <v>15</v>
      </c>
      <c r="K4461">
        <v>0</v>
      </c>
      <c r="L4461">
        <v>0</v>
      </c>
    </row>
    <row r="4462" spans="1:12" x14ac:dyDescent="0.3">
      <c r="A4462" t="s">
        <v>4478</v>
      </c>
      <c r="B4462" t="s">
        <v>17</v>
      </c>
      <c r="C4462">
        <v>7498</v>
      </c>
      <c r="D4462">
        <v>119.97</v>
      </c>
      <c r="E4462">
        <v>21.59</v>
      </c>
      <c r="F4462">
        <f>COUNTIFS(mdr_rate_cleaned!$A$2:$A$10,B4462,mdr_rate_cleaned!$B$2:$B$10,"&lt;"&amp;C4462,mdr_rate_cleaned!$F$2:$F$10,"&gt;="&amp;C4462)</f>
        <v>1</v>
      </c>
      <c r="G4462">
        <v>1.6E-2</v>
      </c>
      <c r="H4462">
        <v>119.97</v>
      </c>
      <c r="I4462" t="s">
        <v>15</v>
      </c>
      <c r="J4462" t="s">
        <v>15</v>
      </c>
      <c r="K4462">
        <v>21.59</v>
      </c>
      <c r="L4462">
        <v>0</v>
      </c>
    </row>
    <row r="4463" spans="1:12" x14ac:dyDescent="0.3">
      <c r="A4463" t="s">
        <v>4479</v>
      </c>
      <c r="B4463" t="s">
        <v>17</v>
      </c>
      <c r="C4463">
        <v>4999</v>
      </c>
      <c r="D4463">
        <v>79.98</v>
      </c>
      <c r="E4463">
        <v>14.4</v>
      </c>
      <c r="F4463">
        <f>COUNTIFS(mdr_rate_cleaned!$A$2:$A$10,B4463,mdr_rate_cleaned!$B$2:$B$10,"&lt;"&amp;C4463,mdr_rate_cleaned!$F$2:$F$10,"&gt;="&amp;C4463)</f>
        <v>1</v>
      </c>
      <c r="G4463">
        <v>1.6E-2</v>
      </c>
      <c r="H4463">
        <v>79.98</v>
      </c>
      <c r="I4463" t="s">
        <v>15</v>
      </c>
      <c r="J4463" t="s">
        <v>15</v>
      </c>
      <c r="K4463">
        <v>14.4</v>
      </c>
      <c r="L4463">
        <v>0</v>
      </c>
    </row>
    <row r="4464" spans="1:12" x14ac:dyDescent="0.3">
      <c r="A4464" t="s">
        <v>4480</v>
      </c>
      <c r="B4464" t="s">
        <v>21</v>
      </c>
      <c r="C4464">
        <v>1299</v>
      </c>
      <c r="D4464">
        <v>0</v>
      </c>
      <c r="E4464">
        <v>0</v>
      </c>
      <c r="F4464">
        <f>COUNTIFS(mdr_rate_cleaned!$A$2:$A$10,B4464,mdr_rate_cleaned!$B$2:$B$10,"&lt;"&amp;C4464,mdr_rate_cleaned!$F$2:$F$10,"&gt;="&amp;C4464)</f>
        <v>1</v>
      </c>
      <c r="G4464">
        <v>0</v>
      </c>
      <c r="H4464">
        <v>0</v>
      </c>
      <c r="I4464" t="s">
        <v>15</v>
      </c>
      <c r="J4464" t="s">
        <v>15</v>
      </c>
      <c r="K4464">
        <v>0</v>
      </c>
      <c r="L4464">
        <v>0</v>
      </c>
    </row>
    <row r="4465" spans="1:12" x14ac:dyDescent="0.3">
      <c r="A4465" t="s">
        <v>4481</v>
      </c>
      <c r="B4465" t="s">
        <v>21</v>
      </c>
      <c r="C4465">
        <v>299</v>
      </c>
      <c r="D4465">
        <v>0</v>
      </c>
      <c r="E4465">
        <v>0</v>
      </c>
      <c r="F4465">
        <f>COUNTIFS(mdr_rate_cleaned!$A$2:$A$10,B4465,mdr_rate_cleaned!$B$2:$B$10,"&lt;"&amp;C4465,mdr_rate_cleaned!$F$2:$F$10,"&gt;="&amp;C4465)</f>
        <v>1</v>
      </c>
      <c r="G4465">
        <v>0</v>
      </c>
      <c r="H4465">
        <v>0</v>
      </c>
      <c r="I4465" t="s">
        <v>15</v>
      </c>
      <c r="J4465" t="s">
        <v>15</v>
      </c>
      <c r="K4465">
        <v>0</v>
      </c>
      <c r="L4465">
        <v>0</v>
      </c>
    </row>
    <row r="4466" spans="1:12" x14ac:dyDescent="0.3">
      <c r="A4466" t="s">
        <v>4482</v>
      </c>
      <c r="B4466" t="s">
        <v>21</v>
      </c>
      <c r="C4466">
        <v>6997</v>
      </c>
      <c r="D4466">
        <v>20.99</v>
      </c>
      <c r="E4466">
        <v>3.78</v>
      </c>
      <c r="F4466">
        <f>COUNTIFS(mdr_rate_cleaned!$A$2:$A$10,B4466,mdr_rate_cleaned!$B$2:$B$10,"&lt;"&amp;C4466,mdr_rate_cleaned!$F$2:$F$10,"&gt;="&amp;C4466)</f>
        <v>1</v>
      </c>
      <c r="G4466">
        <v>3.0000000000000001E-3</v>
      </c>
      <c r="H4466">
        <v>20.99</v>
      </c>
      <c r="I4466" t="s">
        <v>15</v>
      </c>
      <c r="J4466" t="s">
        <v>15</v>
      </c>
      <c r="K4466">
        <v>3.78</v>
      </c>
      <c r="L4466">
        <v>0</v>
      </c>
    </row>
    <row r="4467" spans="1:12" x14ac:dyDescent="0.3">
      <c r="A4467" t="s">
        <v>4483</v>
      </c>
      <c r="B4467" t="s">
        <v>21</v>
      </c>
      <c r="C4467">
        <v>7999</v>
      </c>
      <c r="D4467">
        <v>24</v>
      </c>
      <c r="E4467">
        <v>4.32</v>
      </c>
      <c r="F4467">
        <f>COUNTIFS(mdr_rate_cleaned!$A$2:$A$10,B4467,mdr_rate_cleaned!$B$2:$B$10,"&lt;"&amp;C4467,mdr_rate_cleaned!$F$2:$F$10,"&gt;="&amp;C4467)</f>
        <v>1</v>
      </c>
      <c r="G4467">
        <v>3.0000000000000001E-3</v>
      </c>
      <c r="H4467">
        <v>24</v>
      </c>
      <c r="I4467" t="s">
        <v>15</v>
      </c>
      <c r="J4467" t="s">
        <v>15</v>
      </c>
      <c r="K4467">
        <v>4.32</v>
      </c>
      <c r="L4467">
        <v>0</v>
      </c>
    </row>
    <row r="4468" spans="1:12" x14ac:dyDescent="0.3">
      <c r="A4468" t="s">
        <v>4484</v>
      </c>
      <c r="B4468" t="s">
        <v>21</v>
      </c>
      <c r="C4468">
        <v>3998</v>
      </c>
      <c r="D4468">
        <v>11.99</v>
      </c>
      <c r="E4468">
        <v>2.16</v>
      </c>
      <c r="F4468">
        <f>COUNTIFS(mdr_rate_cleaned!$A$2:$A$10,B4468,mdr_rate_cleaned!$B$2:$B$10,"&lt;"&amp;C4468,mdr_rate_cleaned!$F$2:$F$10,"&gt;="&amp;C4468)</f>
        <v>1</v>
      </c>
      <c r="G4468">
        <v>3.0000000000000001E-3</v>
      </c>
      <c r="H4468">
        <v>11.99</v>
      </c>
      <c r="I4468" t="s">
        <v>15</v>
      </c>
      <c r="J4468" t="s">
        <v>15</v>
      </c>
      <c r="K4468">
        <v>2.16</v>
      </c>
      <c r="L4468">
        <v>0</v>
      </c>
    </row>
    <row r="4469" spans="1:12" x14ac:dyDescent="0.3">
      <c r="A4469" t="s">
        <v>4485</v>
      </c>
      <c r="B4469" t="s">
        <v>21</v>
      </c>
      <c r="C4469">
        <v>6798</v>
      </c>
      <c r="D4469">
        <v>20.39</v>
      </c>
      <c r="E4469">
        <v>3.67</v>
      </c>
      <c r="F4469">
        <f>COUNTIFS(mdr_rate_cleaned!$A$2:$A$10,B4469,mdr_rate_cleaned!$B$2:$B$10,"&lt;"&amp;C4469,mdr_rate_cleaned!$F$2:$F$10,"&gt;="&amp;C4469)</f>
        <v>1</v>
      </c>
      <c r="G4469">
        <v>3.0000000000000001E-3</v>
      </c>
      <c r="H4469">
        <v>20.39</v>
      </c>
      <c r="I4469" t="s">
        <v>15</v>
      </c>
      <c r="J4469" t="s">
        <v>15</v>
      </c>
      <c r="K4469">
        <v>3.67</v>
      </c>
      <c r="L4469">
        <v>0</v>
      </c>
    </row>
    <row r="4470" spans="1:12" x14ac:dyDescent="0.3">
      <c r="A4470" t="s">
        <v>4486</v>
      </c>
      <c r="B4470" t="s">
        <v>17</v>
      </c>
      <c r="C4470">
        <v>3998</v>
      </c>
      <c r="D4470">
        <v>63.97</v>
      </c>
      <c r="E4470">
        <v>11.51</v>
      </c>
      <c r="F4470">
        <f>COUNTIFS(mdr_rate_cleaned!$A$2:$A$10,B4470,mdr_rate_cleaned!$B$2:$B$10,"&lt;"&amp;C4470,mdr_rate_cleaned!$F$2:$F$10,"&gt;="&amp;C4470)</f>
        <v>1</v>
      </c>
      <c r="G4470">
        <v>1.6E-2</v>
      </c>
      <c r="H4470">
        <v>63.97</v>
      </c>
      <c r="I4470" t="s">
        <v>15</v>
      </c>
      <c r="J4470" t="s">
        <v>15</v>
      </c>
      <c r="K4470">
        <v>11.51</v>
      </c>
      <c r="L4470">
        <v>0</v>
      </c>
    </row>
    <row r="4471" spans="1:12" x14ac:dyDescent="0.3">
      <c r="A4471" t="s">
        <v>4487</v>
      </c>
      <c r="B4471" t="s">
        <v>21</v>
      </c>
      <c r="C4471">
        <v>2999</v>
      </c>
      <c r="D4471">
        <v>9</v>
      </c>
      <c r="E4471">
        <v>1.62</v>
      </c>
      <c r="F4471">
        <f>COUNTIFS(mdr_rate_cleaned!$A$2:$A$10,B4471,mdr_rate_cleaned!$B$2:$B$10,"&lt;"&amp;C4471,mdr_rate_cleaned!$F$2:$F$10,"&gt;="&amp;C4471)</f>
        <v>1</v>
      </c>
      <c r="G4471">
        <v>3.0000000000000001E-3</v>
      </c>
      <c r="H4471">
        <v>9</v>
      </c>
      <c r="I4471" t="s">
        <v>15</v>
      </c>
      <c r="J4471" t="s">
        <v>15</v>
      </c>
      <c r="K4471">
        <v>1.62</v>
      </c>
      <c r="L4471">
        <v>0</v>
      </c>
    </row>
    <row r="4472" spans="1:12" x14ac:dyDescent="0.3">
      <c r="A4472" t="s">
        <v>4488</v>
      </c>
      <c r="B4472" t="s">
        <v>21</v>
      </c>
      <c r="C4472">
        <v>4999</v>
      </c>
      <c r="D4472">
        <v>15</v>
      </c>
      <c r="E4472">
        <v>2.7</v>
      </c>
      <c r="F4472">
        <f>COUNTIFS(mdr_rate_cleaned!$A$2:$A$10,B4472,mdr_rate_cleaned!$B$2:$B$10,"&lt;"&amp;C4472,mdr_rate_cleaned!$F$2:$F$10,"&gt;="&amp;C4472)</f>
        <v>1</v>
      </c>
      <c r="G4472">
        <v>3.0000000000000001E-3</v>
      </c>
      <c r="H4472">
        <v>15</v>
      </c>
      <c r="I4472" t="s">
        <v>15</v>
      </c>
      <c r="J4472" t="s">
        <v>15</v>
      </c>
      <c r="K4472">
        <v>2.7</v>
      </c>
      <c r="L4472">
        <v>0</v>
      </c>
    </row>
    <row r="4473" spans="1:12" x14ac:dyDescent="0.3">
      <c r="A4473" t="s">
        <v>4489</v>
      </c>
      <c r="B4473" t="s">
        <v>21</v>
      </c>
      <c r="C4473">
        <v>2499</v>
      </c>
      <c r="D4473">
        <v>7.5</v>
      </c>
      <c r="E4473">
        <v>1.35</v>
      </c>
      <c r="F4473">
        <f>COUNTIFS(mdr_rate_cleaned!$A$2:$A$10,B4473,mdr_rate_cleaned!$B$2:$B$10,"&lt;"&amp;C4473,mdr_rate_cleaned!$F$2:$F$10,"&gt;="&amp;C4473)</f>
        <v>1</v>
      </c>
      <c r="G4473">
        <v>3.0000000000000001E-3</v>
      </c>
      <c r="H4473">
        <v>7.5</v>
      </c>
      <c r="I4473" t="s">
        <v>15</v>
      </c>
      <c r="J4473" t="s">
        <v>15</v>
      </c>
      <c r="K4473">
        <v>1.35</v>
      </c>
      <c r="L4473">
        <v>0</v>
      </c>
    </row>
    <row r="4474" spans="1:12" x14ac:dyDescent="0.3">
      <c r="A4474" t="s">
        <v>4490</v>
      </c>
      <c r="B4474" t="s">
        <v>17</v>
      </c>
      <c r="C4474">
        <v>3998</v>
      </c>
      <c r="D4474">
        <v>63.97</v>
      </c>
      <c r="E4474">
        <v>11.51</v>
      </c>
      <c r="F4474">
        <f>COUNTIFS(mdr_rate_cleaned!$A$2:$A$10,B4474,mdr_rate_cleaned!$B$2:$B$10,"&lt;"&amp;C4474,mdr_rate_cleaned!$F$2:$F$10,"&gt;="&amp;C4474)</f>
        <v>1</v>
      </c>
      <c r="G4474">
        <v>1.6E-2</v>
      </c>
      <c r="H4474">
        <v>63.97</v>
      </c>
      <c r="I4474" t="s">
        <v>15</v>
      </c>
      <c r="J4474" t="s">
        <v>15</v>
      </c>
      <c r="K4474">
        <v>11.51</v>
      </c>
      <c r="L4474">
        <v>0</v>
      </c>
    </row>
    <row r="4475" spans="1:12" x14ac:dyDescent="0.3">
      <c r="A4475" t="s">
        <v>4491</v>
      </c>
      <c r="B4475" t="s">
        <v>21</v>
      </c>
      <c r="C4475">
        <v>299</v>
      </c>
      <c r="D4475">
        <v>0</v>
      </c>
      <c r="E4475">
        <v>0</v>
      </c>
      <c r="F4475">
        <f>COUNTIFS(mdr_rate_cleaned!$A$2:$A$10,B4475,mdr_rate_cleaned!$B$2:$B$10,"&lt;"&amp;C4475,mdr_rate_cleaned!$F$2:$F$10,"&gt;="&amp;C4475)</f>
        <v>1</v>
      </c>
      <c r="G4475">
        <v>0</v>
      </c>
      <c r="H4475">
        <v>0</v>
      </c>
      <c r="I4475" t="s">
        <v>15</v>
      </c>
      <c r="J4475" t="s">
        <v>15</v>
      </c>
      <c r="K4475">
        <v>0</v>
      </c>
      <c r="L4475">
        <v>0</v>
      </c>
    </row>
    <row r="4476" spans="1:12" x14ac:dyDescent="0.3">
      <c r="A4476" t="s">
        <v>4492</v>
      </c>
      <c r="B4476" t="s">
        <v>17</v>
      </c>
      <c r="C4476">
        <v>4298</v>
      </c>
      <c r="D4476">
        <v>68.77</v>
      </c>
      <c r="E4476">
        <v>12.38</v>
      </c>
      <c r="F4476">
        <f>COUNTIFS(mdr_rate_cleaned!$A$2:$A$10,B4476,mdr_rate_cleaned!$B$2:$B$10,"&lt;"&amp;C4476,mdr_rate_cleaned!$F$2:$F$10,"&gt;="&amp;C4476)</f>
        <v>1</v>
      </c>
      <c r="G4476">
        <v>1.6E-2</v>
      </c>
      <c r="H4476">
        <v>68.77</v>
      </c>
      <c r="I4476" t="s">
        <v>15</v>
      </c>
      <c r="J4476" t="s">
        <v>15</v>
      </c>
      <c r="K4476">
        <v>12.38</v>
      </c>
      <c r="L4476">
        <v>0</v>
      </c>
    </row>
    <row r="4477" spans="1:12" x14ac:dyDescent="0.3">
      <c r="A4477" t="s">
        <v>4493</v>
      </c>
      <c r="B4477" t="s">
        <v>21</v>
      </c>
      <c r="C4477">
        <v>299</v>
      </c>
      <c r="D4477">
        <v>0</v>
      </c>
      <c r="E4477">
        <v>0</v>
      </c>
      <c r="F4477">
        <f>COUNTIFS(mdr_rate_cleaned!$A$2:$A$10,B4477,mdr_rate_cleaned!$B$2:$B$10,"&lt;"&amp;C4477,mdr_rate_cleaned!$F$2:$F$10,"&gt;="&amp;C4477)</f>
        <v>1</v>
      </c>
      <c r="G4477">
        <v>0</v>
      </c>
      <c r="H4477">
        <v>0</v>
      </c>
      <c r="I4477" t="s">
        <v>15</v>
      </c>
      <c r="J4477" t="s">
        <v>15</v>
      </c>
      <c r="K4477">
        <v>0</v>
      </c>
      <c r="L4477">
        <v>0</v>
      </c>
    </row>
    <row r="4478" spans="1:12" x14ac:dyDescent="0.3">
      <c r="A4478" t="s">
        <v>4494</v>
      </c>
      <c r="B4478" t="s">
        <v>21</v>
      </c>
      <c r="C4478">
        <v>299</v>
      </c>
      <c r="D4478">
        <v>0</v>
      </c>
      <c r="E4478">
        <v>0</v>
      </c>
      <c r="F4478">
        <f>COUNTIFS(mdr_rate_cleaned!$A$2:$A$10,B4478,mdr_rate_cleaned!$B$2:$B$10,"&lt;"&amp;C4478,mdr_rate_cleaned!$F$2:$F$10,"&gt;="&amp;C4478)</f>
        <v>1</v>
      </c>
      <c r="G4478">
        <v>0</v>
      </c>
      <c r="H4478">
        <v>0</v>
      </c>
      <c r="I4478" t="s">
        <v>15</v>
      </c>
      <c r="J4478" t="s">
        <v>15</v>
      </c>
      <c r="K4478">
        <v>0</v>
      </c>
      <c r="L4478">
        <v>0</v>
      </c>
    </row>
    <row r="4479" spans="1:12" x14ac:dyDescent="0.3">
      <c r="A4479" t="s">
        <v>4495</v>
      </c>
      <c r="B4479" t="s">
        <v>13</v>
      </c>
      <c r="C4479">
        <v>3298</v>
      </c>
      <c r="D4479">
        <v>56.07</v>
      </c>
      <c r="E4479">
        <v>10.09</v>
      </c>
      <c r="F4479">
        <f>COUNTIFS(mdr_rate_cleaned!$A$2:$A$10,B4479,mdr_rate_cleaned!$B$2:$B$10,"&lt;"&amp;C4479,mdr_rate_cleaned!$F$2:$F$10,"&gt;="&amp;C4479)</f>
        <v>1</v>
      </c>
      <c r="G4479">
        <v>1.7000000000000001E-2</v>
      </c>
      <c r="H4479">
        <v>56.07</v>
      </c>
      <c r="I4479" t="s">
        <v>15</v>
      </c>
      <c r="J4479" t="s">
        <v>15</v>
      </c>
      <c r="K4479">
        <v>10.09</v>
      </c>
      <c r="L4479">
        <v>0</v>
      </c>
    </row>
    <row r="4480" spans="1:12" x14ac:dyDescent="0.3">
      <c r="A4480" t="s">
        <v>4496</v>
      </c>
      <c r="B4480" t="s">
        <v>17</v>
      </c>
      <c r="C4480">
        <v>6798</v>
      </c>
      <c r="D4480">
        <v>108.77</v>
      </c>
      <c r="E4480">
        <v>19.579999999999998</v>
      </c>
      <c r="F4480">
        <f>COUNTIFS(mdr_rate_cleaned!$A$2:$A$10,B4480,mdr_rate_cleaned!$B$2:$B$10,"&lt;"&amp;C4480,mdr_rate_cleaned!$F$2:$F$10,"&gt;="&amp;C4480)</f>
        <v>1</v>
      </c>
      <c r="G4480">
        <v>1.6E-2</v>
      </c>
      <c r="H4480">
        <v>108.77</v>
      </c>
      <c r="I4480" t="s">
        <v>15</v>
      </c>
      <c r="J4480" t="s">
        <v>15</v>
      </c>
      <c r="K4480">
        <v>19.579999999999998</v>
      </c>
      <c r="L4480">
        <v>0</v>
      </c>
    </row>
    <row r="4481" spans="1:12" x14ac:dyDescent="0.3">
      <c r="A4481" t="s">
        <v>4497</v>
      </c>
      <c r="B4481" t="s">
        <v>13</v>
      </c>
      <c r="C4481">
        <v>6797</v>
      </c>
      <c r="D4481">
        <v>115.55</v>
      </c>
      <c r="E4481">
        <v>20.8</v>
      </c>
      <c r="F4481">
        <f>COUNTIFS(mdr_rate_cleaned!$A$2:$A$10,B4481,mdr_rate_cleaned!$B$2:$B$10,"&lt;"&amp;C4481,mdr_rate_cleaned!$F$2:$F$10,"&gt;="&amp;C4481)</f>
        <v>1</v>
      </c>
      <c r="G4481">
        <v>1.7000000000000001E-2</v>
      </c>
      <c r="H4481">
        <v>115.55</v>
      </c>
      <c r="I4481" t="s">
        <v>15</v>
      </c>
      <c r="J4481" t="s">
        <v>15</v>
      </c>
      <c r="K4481">
        <v>20.8</v>
      </c>
      <c r="L4481">
        <v>0</v>
      </c>
    </row>
    <row r="4482" spans="1:12" x14ac:dyDescent="0.3">
      <c r="A4482" t="s">
        <v>4498</v>
      </c>
      <c r="B4482" t="s">
        <v>21</v>
      </c>
      <c r="C4482">
        <v>1148</v>
      </c>
      <c r="D4482">
        <v>0</v>
      </c>
      <c r="E4482">
        <v>0</v>
      </c>
      <c r="F4482">
        <f>COUNTIFS(mdr_rate_cleaned!$A$2:$A$10,B4482,mdr_rate_cleaned!$B$2:$B$10,"&lt;"&amp;C4482,mdr_rate_cleaned!$F$2:$F$10,"&gt;="&amp;C4482)</f>
        <v>1</v>
      </c>
      <c r="G4482">
        <v>0</v>
      </c>
      <c r="H4482">
        <v>0</v>
      </c>
      <c r="I4482" t="s">
        <v>15</v>
      </c>
      <c r="J4482" t="s">
        <v>15</v>
      </c>
      <c r="K4482">
        <v>0</v>
      </c>
      <c r="L4482">
        <v>0</v>
      </c>
    </row>
    <row r="4483" spans="1:12" x14ac:dyDescent="0.3">
      <c r="A4483" t="s">
        <v>4499</v>
      </c>
      <c r="B4483" t="s">
        <v>21</v>
      </c>
      <c r="C4483">
        <v>7999</v>
      </c>
      <c r="D4483">
        <v>24</v>
      </c>
      <c r="E4483">
        <v>4.32</v>
      </c>
      <c r="F4483">
        <f>COUNTIFS(mdr_rate_cleaned!$A$2:$A$10,B4483,mdr_rate_cleaned!$B$2:$B$10,"&lt;"&amp;C4483,mdr_rate_cleaned!$F$2:$F$10,"&gt;="&amp;C4483)</f>
        <v>1</v>
      </c>
      <c r="G4483">
        <v>3.0000000000000001E-3</v>
      </c>
      <c r="H4483">
        <v>24</v>
      </c>
      <c r="I4483" t="s">
        <v>15</v>
      </c>
      <c r="J4483" t="s">
        <v>15</v>
      </c>
      <c r="K4483">
        <v>4.32</v>
      </c>
      <c r="L4483">
        <v>0</v>
      </c>
    </row>
    <row r="4484" spans="1:12" x14ac:dyDescent="0.3">
      <c r="A4484" t="s">
        <v>4500</v>
      </c>
      <c r="B4484" t="s">
        <v>17</v>
      </c>
      <c r="C4484">
        <v>499</v>
      </c>
      <c r="D4484">
        <v>8.98</v>
      </c>
      <c r="E4484">
        <v>1.62</v>
      </c>
      <c r="F4484">
        <f>COUNTIFS(mdr_rate_cleaned!$A$2:$A$10,B4484,mdr_rate_cleaned!$B$2:$B$10,"&lt;"&amp;C4484,mdr_rate_cleaned!$F$2:$F$10,"&gt;="&amp;C4484)</f>
        <v>1</v>
      </c>
      <c r="G4484">
        <v>1.7999999999999999E-2</v>
      </c>
      <c r="H4484">
        <v>8.98</v>
      </c>
      <c r="I4484" t="s">
        <v>15</v>
      </c>
      <c r="J4484" t="s">
        <v>15</v>
      </c>
      <c r="K4484">
        <v>1.62</v>
      </c>
      <c r="L4484">
        <v>0</v>
      </c>
    </row>
    <row r="4485" spans="1:12" x14ac:dyDescent="0.3">
      <c r="A4485" t="s">
        <v>4501</v>
      </c>
      <c r="B4485" t="s">
        <v>21</v>
      </c>
      <c r="C4485">
        <v>2798</v>
      </c>
      <c r="D4485">
        <v>8.39</v>
      </c>
      <c r="E4485">
        <v>1.51</v>
      </c>
      <c r="F4485">
        <f>COUNTIFS(mdr_rate_cleaned!$A$2:$A$10,B4485,mdr_rate_cleaned!$B$2:$B$10,"&lt;"&amp;C4485,mdr_rate_cleaned!$F$2:$F$10,"&gt;="&amp;C4485)</f>
        <v>1</v>
      </c>
      <c r="G4485">
        <v>3.0000000000000001E-3</v>
      </c>
      <c r="H4485">
        <v>8.39</v>
      </c>
      <c r="I4485" t="s">
        <v>15</v>
      </c>
      <c r="J4485" t="s">
        <v>15</v>
      </c>
      <c r="K4485">
        <v>1.51</v>
      </c>
      <c r="L4485">
        <v>0</v>
      </c>
    </row>
    <row r="4486" spans="1:12" x14ac:dyDescent="0.3">
      <c r="A4486" t="s">
        <v>4502</v>
      </c>
      <c r="B4486" t="s">
        <v>21</v>
      </c>
      <c r="C4486">
        <v>10998</v>
      </c>
      <c r="D4486">
        <v>32.99</v>
      </c>
      <c r="E4486">
        <v>5.94</v>
      </c>
      <c r="F4486">
        <f>COUNTIFS(mdr_rate_cleaned!$A$2:$A$10,B4486,mdr_rate_cleaned!$B$2:$B$10,"&lt;"&amp;C4486,mdr_rate_cleaned!$F$2:$F$10,"&gt;="&amp;C4486)</f>
        <v>1</v>
      </c>
      <c r="G4486">
        <v>3.0000000000000001E-3</v>
      </c>
      <c r="H4486">
        <v>32.99</v>
      </c>
      <c r="I4486" t="s">
        <v>15</v>
      </c>
      <c r="J4486" t="s">
        <v>15</v>
      </c>
      <c r="K4486">
        <v>5.94</v>
      </c>
      <c r="L4486">
        <v>0</v>
      </c>
    </row>
    <row r="4487" spans="1:12" x14ac:dyDescent="0.3">
      <c r="A4487" t="s">
        <v>4503</v>
      </c>
      <c r="B4487" t="s">
        <v>21</v>
      </c>
      <c r="C4487">
        <v>3098</v>
      </c>
      <c r="D4487">
        <v>9.2899999999999991</v>
      </c>
      <c r="E4487">
        <v>1.67</v>
      </c>
      <c r="F4487">
        <f>COUNTIFS(mdr_rate_cleaned!$A$2:$A$10,B4487,mdr_rate_cleaned!$B$2:$B$10,"&lt;"&amp;C4487,mdr_rate_cleaned!$F$2:$F$10,"&gt;="&amp;C4487)</f>
        <v>1</v>
      </c>
      <c r="G4487">
        <v>3.0000000000000001E-3</v>
      </c>
      <c r="H4487">
        <v>9.2899999999999991</v>
      </c>
      <c r="I4487" t="s">
        <v>15</v>
      </c>
      <c r="J4487" t="s">
        <v>15</v>
      </c>
      <c r="K4487">
        <v>1.67</v>
      </c>
      <c r="L4487">
        <v>0</v>
      </c>
    </row>
    <row r="4488" spans="1:12" x14ac:dyDescent="0.3">
      <c r="A4488" t="s">
        <v>4504</v>
      </c>
      <c r="B4488" t="s">
        <v>21</v>
      </c>
      <c r="C4488">
        <v>11597</v>
      </c>
      <c r="D4488">
        <v>34.79</v>
      </c>
      <c r="E4488">
        <v>6.26</v>
      </c>
      <c r="F4488">
        <f>COUNTIFS(mdr_rate_cleaned!$A$2:$A$10,B4488,mdr_rate_cleaned!$B$2:$B$10,"&lt;"&amp;C4488,mdr_rate_cleaned!$F$2:$F$10,"&gt;="&amp;C4488)</f>
        <v>1</v>
      </c>
      <c r="G4488">
        <v>3.0000000000000001E-3</v>
      </c>
      <c r="H4488">
        <v>34.79</v>
      </c>
      <c r="I4488" t="s">
        <v>15</v>
      </c>
      <c r="J4488" t="s">
        <v>15</v>
      </c>
      <c r="K4488">
        <v>6.26</v>
      </c>
      <c r="L4488">
        <v>0</v>
      </c>
    </row>
    <row r="4489" spans="1:12" x14ac:dyDescent="0.3">
      <c r="A4489" t="s">
        <v>4505</v>
      </c>
      <c r="B4489" t="s">
        <v>21</v>
      </c>
      <c r="C4489">
        <v>2499</v>
      </c>
      <c r="D4489">
        <v>7.5</v>
      </c>
      <c r="E4489">
        <v>1.35</v>
      </c>
      <c r="F4489">
        <f>COUNTIFS(mdr_rate_cleaned!$A$2:$A$10,B4489,mdr_rate_cleaned!$B$2:$B$10,"&lt;"&amp;C4489,mdr_rate_cleaned!$F$2:$F$10,"&gt;="&amp;C4489)</f>
        <v>1</v>
      </c>
      <c r="G4489">
        <v>3.0000000000000001E-3</v>
      </c>
      <c r="H4489">
        <v>7.5</v>
      </c>
      <c r="I4489" t="s">
        <v>15</v>
      </c>
      <c r="J4489" t="s">
        <v>15</v>
      </c>
      <c r="K4489">
        <v>1.35</v>
      </c>
      <c r="L4489">
        <v>0</v>
      </c>
    </row>
    <row r="4490" spans="1:12" x14ac:dyDescent="0.3">
      <c r="A4490" t="s">
        <v>4506</v>
      </c>
      <c r="B4490" t="s">
        <v>17</v>
      </c>
      <c r="C4490">
        <v>5998</v>
      </c>
      <c r="D4490">
        <v>95.97</v>
      </c>
      <c r="E4490">
        <v>17.27</v>
      </c>
      <c r="F4490">
        <f>COUNTIFS(mdr_rate_cleaned!$A$2:$A$10,B4490,mdr_rate_cleaned!$B$2:$B$10,"&lt;"&amp;C4490,mdr_rate_cleaned!$F$2:$F$10,"&gt;="&amp;C4490)</f>
        <v>1</v>
      </c>
      <c r="G4490">
        <v>1.6E-2</v>
      </c>
      <c r="H4490">
        <v>95.97</v>
      </c>
      <c r="I4490" t="s">
        <v>15</v>
      </c>
      <c r="J4490" t="s">
        <v>15</v>
      </c>
      <c r="K4490">
        <v>17.27</v>
      </c>
      <c r="L4490">
        <v>0</v>
      </c>
    </row>
    <row r="4491" spans="1:12" x14ac:dyDescent="0.3">
      <c r="A4491" t="s">
        <v>4507</v>
      </c>
      <c r="B4491" t="s">
        <v>21</v>
      </c>
      <c r="C4491">
        <v>4798</v>
      </c>
      <c r="D4491">
        <v>14.39</v>
      </c>
      <c r="E4491">
        <v>2.59</v>
      </c>
      <c r="F4491">
        <f>COUNTIFS(mdr_rate_cleaned!$A$2:$A$10,B4491,mdr_rate_cleaned!$B$2:$B$10,"&lt;"&amp;C4491,mdr_rate_cleaned!$F$2:$F$10,"&gt;="&amp;C4491)</f>
        <v>1</v>
      </c>
      <c r="G4491">
        <v>3.0000000000000001E-3</v>
      </c>
      <c r="H4491">
        <v>14.39</v>
      </c>
      <c r="I4491" t="s">
        <v>15</v>
      </c>
      <c r="J4491" t="s">
        <v>15</v>
      </c>
      <c r="K4491">
        <v>2.59</v>
      </c>
      <c r="L4491">
        <v>0</v>
      </c>
    </row>
    <row r="4492" spans="1:12" x14ac:dyDescent="0.3">
      <c r="A4492" t="s">
        <v>4508</v>
      </c>
      <c r="B4492" t="s">
        <v>21</v>
      </c>
      <c r="C4492">
        <v>599</v>
      </c>
      <c r="D4492">
        <v>0</v>
      </c>
      <c r="E4492">
        <v>0</v>
      </c>
      <c r="F4492">
        <f>COUNTIFS(mdr_rate_cleaned!$A$2:$A$10,B4492,mdr_rate_cleaned!$B$2:$B$10,"&lt;"&amp;C4492,mdr_rate_cleaned!$F$2:$F$10,"&gt;="&amp;C4492)</f>
        <v>1</v>
      </c>
      <c r="G4492">
        <v>0</v>
      </c>
      <c r="H4492">
        <v>0</v>
      </c>
      <c r="I4492" t="s">
        <v>15</v>
      </c>
      <c r="J4492" t="s">
        <v>15</v>
      </c>
      <c r="K4492">
        <v>0</v>
      </c>
      <c r="L4492">
        <v>0</v>
      </c>
    </row>
    <row r="4493" spans="1:12" x14ac:dyDescent="0.3">
      <c r="A4493" t="s">
        <v>4509</v>
      </c>
      <c r="B4493" t="s">
        <v>13</v>
      </c>
      <c r="C4493">
        <v>3397</v>
      </c>
      <c r="D4493">
        <v>57.75</v>
      </c>
      <c r="E4493">
        <v>10.4</v>
      </c>
      <c r="F4493">
        <f>COUNTIFS(mdr_rate_cleaned!$A$2:$A$10,B4493,mdr_rate_cleaned!$B$2:$B$10,"&lt;"&amp;C4493,mdr_rate_cleaned!$F$2:$F$10,"&gt;="&amp;C4493)</f>
        <v>1</v>
      </c>
      <c r="G4493">
        <v>1.7000000000000001E-2</v>
      </c>
      <c r="H4493">
        <v>57.75</v>
      </c>
      <c r="I4493" t="s">
        <v>15</v>
      </c>
      <c r="J4493" t="s">
        <v>15</v>
      </c>
      <c r="K4493">
        <v>10.4</v>
      </c>
      <c r="L4493">
        <v>0</v>
      </c>
    </row>
    <row r="4494" spans="1:12" x14ac:dyDescent="0.3">
      <c r="A4494" t="s">
        <v>4510</v>
      </c>
      <c r="B4494" t="s">
        <v>21</v>
      </c>
      <c r="C4494">
        <v>349</v>
      </c>
      <c r="D4494">
        <v>0</v>
      </c>
      <c r="E4494">
        <v>0</v>
      </c>
      <c r="F4494">
        <f>COUNTIFS(mdr_rate_cleaned!$A$2:$A$10,B4494,mdr_rate_cleaned!$B$2:$B$10,"&lt;"&amp;C4494,mdr_rate_cleaned!$F$2:$F$10,"&gt;="&amp;C4494)</f>
        <v>1</v>
      </c>
      <c r="G4494">
        <v>0</v>
      </c>
      <c r="H4494">
        <v>0</v>
      </c>
      <c r="I4494" t="s">
        <v>15</v>
      </c>
      <c r="J4494" t="s">
        <v>15</v>
      </c>
      <c r="K4494">
        <v>0</v>
      </c>
      <c r="L4494">
        <v>0</v>
      </c>
    </row>
    <row r="4495" spans="1:12" x14ac:dyDescent="0.3">
      <c r="A4495" t="s">
        <v>4511</v>
      </c>
      <c r="B4495" t="s">
        <v>17</v>
      </c>
      <c r="C4495">
        <v>299</v>
      </c>
      <c r="D4495">
        <v>5.38</v>
      </c>
      <c r="E4495">
        <v>0.97</v>
      </c>
      <c r="F4495">
        <f>COUNTIFS(mdr_rate_cleaned!$A$2:$A$10,B4495,mdr_rate_cleaned!$B$2:$B$10,"&lt;"&amp;C4495,mdr_rate_cleaned!$F$2:$F$10,"&gt;="&amp;C4495)</f>
        <v>1</v>
      </c>
      <c r="G4495">
        <v>1.7999999999999999E-2</v>
      </c>
      <c r="H4495">
        <v>5.38</v>
      </c>
      <c r="I4495" t="s">
        <v>15</v>
      </c>
      <c r="J4495" t="s">
        <v>15</v>
      </c>
      <c r="K4495">
        <v>0.97</v>
      </c>
      <c r="L4495">
        <v>0</v>
      </c>
    </row>
    <row r="4496" spans="1:12" x14ac:dyDescent="0.3">
      <c r="A4496" t="s">
        <v>4512</v>
      </c>
      <c r="B4496" t="s">
        <v>21</v>
      </c>
      <c r="C4496">
        <v>2999</v>
      </c>
      <c r="D4496">
        <v>9</v>
      </c>
      <c r="E4496">
        <v>1.62</v>
      </c>
      <c r="F4496">
        <f>COUNTIFS(mdr_rate_cleaned!$A$2:$A$10,B4496,mdr_rate_cleaned!$B$2:$B$10,"&lt;"&amp;C4496,mdr_rate_cleaned!$F$2:$F$10,"&gt;="&amp;C4496)</f>
        <v>1</v>
      </c>
      <c r="G4496">
        <v>3.0000000000000001E-3</v>
      </c>
      <c r="H4496">
        <v>9</v>
      </c>
      <c r="I4496" t="s">
        <v>15</v>
      </c>
      <c r="J4496" t="s">
        <v>15</v>
      </c>
      <c r="K4496">
        <v>1.62</v>
      </c>
      <c r="L4496">
        <v>0</v>
      </c>
    </row>
    <row r="4497" spans="1:12" x14ac:dyDescent="0.3">
      <c r="A4497" t="s">
        <v>4513</v>
      </c>
      <c r="B4497" t="s">
        <v>17</v>
      </c>
      <c r="C4497">
        <v>349</v>
      </c>
      <c r="D4497">
        <v>6.28</v>
      </c>
      <c r="E4497">
        <v>1.1299999999999999</v>
      </c>
      <c r="F4497">
        <f>COUNTIFS(mdr_rate_cleaned!$A$2:$A$10,B4497,mdr_rate_cleaned!$B$2:$B$10,"&lt;"&amp;C4497,mdr_rate_cleaned!$F$2:$F$10,"&gt;="&amp;C4497)</f>
        <v>1</v>
      </c>
      <c r="G4497">
        <v>1.7999999999999999E-2</v>
      </c>
      <c r="H4497">
        <v>6.28</v>
      </c>
      <c r="I4497" t="s">
        <v>15</v>
      </c>
      <c r="J4497" t="s">
        <v>15</v>
      </c>
      <c r="K4497">
        <v>1.1299999999999999</v>
      </c>
      <c r="L4497">
        <v>0</v>
      </c>
    </row>
    <row r="4498" spans="1:12" x14ac:dyDescent="0.3">
      <c r="A4498" t="s">
        <v>4514</v>
      </c>
      <c r="B4498" t="s">
        <v>21</v>
      </c>
      <c r="C4498">
        <v>2999</v>
      </c>
      <c r="D4498">
        <v>9</v>
      </c>
      <c r="E4498">
        <v>1.62</v>
      </c>
      <c r="F4498">
        <f>COUNTIFS(mdr_rate_cleaned!$A$2:$A$10,B4498,mdr_rate_cleaned!$B$2:$B$10,"&lt;"&amp;C4498,mdr_rate_cleaned!$F$2:$F$10,"&gt;="&amp;C4498)</f>
        <v>1</v>
      </c>
      <c r="G4498">
        <v>3.0000000000000001E-3</v>
      </c>
      <c r="H4498">
        <v>9</v>
      </c>
      <c r="I4498" t="s">
        <v>15</v>
      </c>
      <c r="J4498" t="s">
        <v>15</v>
      </c>
      <c r="K4498">
        <v>1.62</v>
      </c>
      <c r="L4498">
        <v>0</v>
      </c>
    </row>
    <row r="4499" spans="1:12" x14ac:dyDescent="0.3">
      <c r="A4499" t="s">
        <v>4515</v>
      </c>
      <c r="B4499" t="s">
        <v>21</v>
      </c>
      <c r="C4499">
        <v>4999</v>
      </c>
      <c r="D4499">
        <v>15</v>
      </c>
      <c r="E4499">
        <v>2.7</v>
      </c>
      <c r="F4499">
        <f>COUNTIFS(mdr_rate_cleaned!$A$2:$A$10,B4499,mdr_rate_cleaned!$B$2:$B$10,"&lt;"&amp;C4499,mdr_rate_cleaned!$F$2:$F$10,"&gt;="&amp;C4499)</f>
        <v>1</v>
      </c>
      <c r="G4499">
        <v>3.0000000000000001E-3</v>
      </c>
      <c r="H4499">
        <v>15</v>
      </c>
      <c r="I4499" t="s">
        <v>15</v>
      </c>
      <c r="J4499" t="s">
        <v>15</v>
      </c>
      <c r="K4499">
        <v>2.7</v>
      </c>
      <c r="L4499">
        <v>0</v>
      </c>
    </row>
    <row r="4500" spans="1:12" x14ac:dyDescent="0.3">
      <c r="A4500" t="s">
        <v>4516</v>
      </c>
      <c r="B4500" t="s">
        <v>21</v>
      </c>
      <c r="C4500">
        <v>799</v>
      </c>
      <c r="D4500">
        <v>0</v>
      </c>
      <c r="E4500">
        <v>0</v>
      </c>
      <c r="F4500">
        <f>COUNTIFS(mdr_rate_cleaned!$A$2:$A$10,B4500,mdr_rate_cleaned!$B$2:$B$10,"&lt;"&amp;C4500,mdr_rate_cleaned!$F$2:$F$10,"&gt;="&amp;C4500)</f>
        <v>1</v>
      </c>
      <c r="G4500">
        <v>0</v>
      </c>
      <c r="H4500">
        <v>0</v>
      </c>
      <c r="I4500" t="s">
        <v>15</v>
      </c>
      <c r="J4500" t="s">
        <v>15</v>
      </c>
      <c r="K4500">
        <v>0</v>
      </c>
      <c r="L4500">
        <v>0</v>
      </c>
    </row>
    <row r="4501" spans="1:12" x14ac:dyDescent="0.3">
      <c r="A4501" t="s">
        <v>4517</v>
      </c>
      <c r="B4501" t="s">
        <v>17</v>
      </c>
      <c r="C4501">
        <v>3798</v>
      </c>
      <c r="D4501">
        <v>60.77</v>
      </c>
      <c r="E4501">
        <v>10.94</v>
      </c>
      <c r="F4501">
        <f>COUNTIFS(mdr_rate_cleaned!$A$2:$A$10,B4501,mdr_rate_cleaned!$B$2:$B$10,"&lt;"&amp;C4501,mdr_rate_cleaned!$F$2:$F$10,"&gt;="&amp;C4501)</f>
        <v>1</v>
      </c>
      <c r="G4501">
        <v>1.6E-2</v>
      </c>
      <c r="H4501">
        <v>60.77</v>
      </c>
      <c r="I4501" t="s">
        <v>15</v>
      </c>
      <c r="J4501" t="s">
        <v>15</v>
      </c>
      <c r="K4501">
        <v>10.94</v>
      </c>
      <c r="L4501">
        <v>0</v>
      </c>
    </row>
    <row r="4502" spans="1:12" x14ac:dyDescent="0.3">
      <c r="A4502" t="s">
        <v>4518</v>
      </c>
      <c r="B4502" t="s">
        <v>21</v>
      </c>
      <c r="C4502">
        <v>12998</v>
      </c>
      <c r="D4502">
        <v>38.99</v>
      </c>
      <c r="E4502">
        <v>7.02</v>
      </c>
      <c r="F4502">
        <f>COUNTIFS(mdr_rate_cleaned!$A$2:$A$10,B4502,mdr_rate_cleaned!$B$2:$B$10,"&lt;"&amp;C4502,mdr_rate_cleaned!$F$2:$F$10,"&gt;="&amp;C4502)</f>
        <v>1</v>
      </c>
      <c r="G4502">
        <v>3.0000000000000001E-3</v>
      </c>
      <c r="H4502">
        <v>38.99</v>
      </c>
      <c r="I4502" t="s">
        <v>15</v>
      </c>
      <c r="J4502" t="s">
        <v>15</v>
      </c>
      <c r="K4502">
        <v>7.02</v>
      </c>
      <c r="L4502">
        <v>0</v>
      </c>
    </row>
    <row r="4503" spans="1:12" x14ac:dyDescent="0.3">
      <c r="A4503" t="s">
        <v>4519</v>
      </c>
      <c r="B4503" t="s">
        <v>21</v>
      </c>
      <c r="C4503">
        <v>6647</v>
      </c>
      <c r="D4503">
        <v>19.940000000000001</v>
      </c>
      <c r="E4503">
        <v>3.59</v>
      </c>
      <c r="F4503">
        <f>COUNTIFS(mdr_rate_cleaned!$A$2:$A$10,B4503,mdr_rate_cleaned!$B$2:$B$10,"&lt;"&amp;C4503,mdr_rate_cleaned!$F$2:$F$10,"&gt;="&amp;C4503)</f>
        <v>1</v>
      </c>
      <c r="G4503">
        <v>3.0000000000000001E-3</v>
      </c>
      <c r="H4503">
        <v>19.940000000000001</v>
      </c>
      <c r="I4503" t="s">
        <v>15</v>
      </c>
      <c r="J4503" t="s">
        <v>15</v>
      </c>
      <c r="K4503">
        <v>3.59</v>
      </c>
      <c r="L4503">
        <v>0</v>
      </c>
    </row>
    <row r="4504" spans="1:12" x14ac:dyDescent="0.3">
      <c r="A4504" t="s">
        <v>4520</v>
      </c>
      <c r="B4504" t="s">
        <v>21</v>
      </c>
      <c r="C4504">
        <v>999</v>
      </c>
      <c r="D4504">
        <v>0</v>
      </c>
      <c r="E4504">
        <v>0</v>
      </c>
      <c r="F4504">
        <f>COUNTIFS(mdr_rate_cleaned!$A$2:$A$10,B4504,mdr_rate_cleaned!$B$2:$B$10,"&lt;"&amp;C4504,mdr_rate_cleaned!$F$2:$F$10,"&gt;="&amp;C4504)</f>
        <v>1</v>
      </c>
      <c r="G4504">
        <v>0</v>
      </c>
      <c r="H4504">
        <v>0</v>
      </c>
      <c r="I4504" t="s">
        <v>15</v>
      </c>
      <c r="J4504" t="s">
        <v>15</v>
      </c>
      <c r="K4504">
        <v>0</v>
      </c>
      <c r="L4504">
        <v>0</v>
      </c>
    </row>
    <row r="4505" spans="1:12" x14ac:dyDescent="0.3">
      <c r="A4505" t="s">
        <v>4521</v>
      </c>
      <c r="B4505" t="s">
        <v>21</v>
      </c>
      <c r="C4505">
        <v>5847</v>
      </c>
      <c r="D4505">
        <v>17.54</v>
      </c>
      <c r="E4505">
        <v>3.16</v>
      </c>
      <c r="F4505">
        <f>COUNTIFS(mdr_rate_cleaned!$A$2:$A$10,B4505,mdr_rate_cleaned!$B$2:$B$10,"&lt;"&amp;C4505,mdr_rate_cleaned!$F$2:$F$10,"&gt;="&amp;C4505)</f>
        <v>1</v>
      </c>
      <c r="G4505">
        <v>3.0000000000000001E-3</v>
      </c>
      <c r="H4505">
        <v>17.54</v>
      </c>
      <c r="I4505" t="s">
        <v>15</v>
      </c>
      <c r="J4505" t="s">
        <v>15</v>
      </c>
      <c r="K4505">
        <v>3.16</v>
      </c>
      <c r="L4505">
        <v>0</v>
      </c>
    </row>
    <row r="4506" spans="1:12" x14ac:dyDescent="0.3">
      <c r="A4506" t="s">
        <v>4522</v>
      </c>
      <c r="B4506" t="s">
        <v>21</v>
      </c>
      <c r="C4506">
        <v>2999</v>
      </c>
      <c r="D4506">
        <v>9</v>
      </c>
      <c r="E4506">
        <v>1.62</v>
      </c>
      <c r="F4506">
        <f>COUNTIFS(mdr_rate_cleaned!$A$2:$A$10,B4506,mdr_rate_cleaned!$B$2:$B$10,"&lt;"&amp;C4506,mdr_rate_cleaned!$F$2:$F$10,"&gt;="&amp;C4506)</f>
        <v>1</v>
      </c>
      <c r="G4506">
        <v>3.0000000000000001E-3</v>
      </c>
      <c r="H4506">
        <v>9</v>
      </c>
      <c r="I4506" t="s">
        <v>15</v>
      </c>
      <c r="J4506" t="s">
        <v>15</v>
      </c>
      <c r="K4506">
        <v>1.62</v>
      </c>
      <c r="L4506">
        <v>0</v>
      </c>
    </row>
    <row r="4507" spans="1:12" x14ac:dyDescent="0.3">
      <c r="A4507" t="s">
        <v>4523</v>
      </c>
      <c r="B4507" t="s">
        <v>21</v>
      </c>
      <c r="C4507">
        <v>499</v>
      </c>
      <c r="D4507">
        <v>0</v>
      </c>
      <c r="E4507">
        <v>0</v>
      </c>
      <c r="F4507">
        <f>COUNTIFS(mdr_rate_cleaned!$A$2:$A$10,B4507,mdr_rate_cleaned!$B$2:$B$10,"&lt;"&amp;C4507,mdr_rate_cleaned!$F$2:$F$10,"&gt;="&amp;C4507)</f>
        <v>1</v>
      </c>
      <c r="G4507">
        <v>0</v>
      </c>
      <c r="H4507">
        <v>0</v>
      </c>
      <c r="I4507" t="s">
        <v>15</v>
      </c>
      <c r="J4507" t="s">
        <v>15</v>
      </c>
      <c r="K4507">
        <v>0</v>
      </c>
      <c r="L4507">
        <v>0</v>
      </c>
    </row>
    <row r="4508" spans="1:12" x14ac:dyDescent="0.3">
      <c r="A4508" t="s">
        <v>4524</v>
      </c>
      <c r="B4508" t="s">
        <v>17</v>
      </c>
      <c r="C4508">
        <v>3298</v>
      </c>
      <c r="D4508">
        <v>52.77</v>
      </c>
      <c r="E4508">
        <v>9.5</v>
      </c>
      <c r="F4508">
        <f>COUNTIFS(mdr_rate_cleaned!$A$2:$A$10,B4508,mdr_rate_cleaned!$B$2:$B$10,"&lt;"&amp;C4508,mdr_rate_cleaned!$F$2:$F$10,"&gt;="&amp;C4508)</f>
        <v>1</v>
      </c>
      <c r="G4508">
        <v>1.6E-2</v>
      </c>
      <c r="H4508">
        <v>52.77</v>
      </c>
      <c r="I4508" t="s">
        <v>15</v>
      </c>
      <c r="J4508" t="s">
        <v>15</v>
      </c>
      <c r="K4508">
        <v>9.5</v>
      </c>
      <c r="L4508">
        <v>0</v>
      </c>
    </row>
    <row r="4509" spans="1:12" x14ac:dyDescent="0.3">
      <c r="A4509" t="s">
        <v>4525</v>
      </c>
      <c r="B4509" t="s">
        <v>21</v>
      </c>
      <c r="C4509">
        <v>2999</v>
      </c>
      <c r="D4509">
        <v>9</v>
      </c>
      <c r="E4509">
        <v>1.62</v>
      </c>
      <c r="F4509">
        <f>COUNTIFS(mdr_rate_cleaned!$A$2:$A$10,B4509,mdr_rate_cleaned!$B$2:$B$10,"&lt;"&amp;C4509,mdr_rate_cleaned!$F$2:$F$10,"&gt;="&amp;C4509)</f>
        <v>1</v>
      </c>
      <c r="G4509">
        <v>3.0000000000000001E-3</v>
      </c>
      <c r="H4509">
        <v>9</v>
      </c>
      <c r="I4509" t="s">
        <v>15</v>
      </c>
      <c r="J4509" t="s">
        <v>15</v>
      </c>
      <c r="K4509">
        <v>1.62</v>
      </c>
      <c r="L4509">
        <v>0</v>
      </c>
    </row>
    <row r="4510" spans="1:12" x14ac:dyDescent="0.3">
      <c r="A4510" t="s">
        <v>4526</v>
      </c>
      <c r="B4510" t="s">
        <v>21</v>
      </c>
      <c r="C4510">
        <v>1499</v>
      </c>
      <c r="D4510">
        <v>0</v>
      </c>
      <c r="E4510">
        <v>0</v>
      </c>
      <c r="F4510">
        <f>COUNTIFS(mdr_rate_cleaned!$A$2:$A$10,B4510,mdr_rate_cleaned!$B$2:$B$10,"&lt;"&amp;C4510,mdr_rate_cleaned!$F$2:$F$10,"&gt;="&amp;C4510)</f>
        <v>1</v>
      </c>
      <c r="G4510">
        <v>0</v>
      </c>
      <c r="H4510">
        <v>0</v>
      </c>
      <c r="I4510" t="s">
        <v>15</v>
      </c>
      <c r="J4510" t="s">
        <v>15</v>
      </c>
      <c r="K4510">
        <v>0</v>
      </c>
      <c r="L4510">
        <v>0</v>
      </c>
    </row>
    <row r="4511" spans="1:12" x14ac:dyDescent="0.3">
      <c r="A4511" t="s">
        <v>4527</v>
      </c>
      <c r="B4511" t="s">
        <v>17</v>
      </c>
      <c r="C4511">
        <v>1098</v>
      </c>
      <c r="D4511">
        <v>19.760000000000002</v>
      </c>
      <c r="E4511">
        <v>3.56</v>
      </c>
      <c r="F4511">
        <f>COUNTIFS(mdr_rate_cleaned!$A$2:$A$10,B4511,mdr_rate_cleaned!$B$2:$B$10,"&lt;"&amp;C4511,mdr_rate_cleaned!$F$2:$F$10,"&gt;="&amp;C4511)</f>
        <v>1</v>
      </c>
      <c r="G4511">
        <v>1.7999999999999999E-2</v>
      </c>
      <c r="H4511">
        <v>19.760000000000002</v>
      </c>
      <c r="I4511" t="s">
        <v>15</v>
      </c>
      <c r="J4511" t="s">
        <v>15</v>
      </c>
      <c r="K4511">
        <v>3.56</v>
      </c>
      <c r="L4511">
        <v>0</v>
      </c>
    </row>
    <row r="4512" spans="1:12" x14ac:dyDescent="0.3">
      <c r="A4512" t="s">
        <v>4528</v>
      </c>
      <c r="B4512" t="s">
        <v>17</v>
      </c>
      <c r="C4512">
        <v>10297</v>
      </c>
      <c r="D4512">
        <v>164.75</v>
      </c>
      <c r="E4512">
        <v>29.66</v>
      </c>
      <c r="F4512">
        <f>COUNTIFS(mdr_rate_cleaned!$A$2:$A$10,B4512,mdr_rate_cleaned!$B$2:$B$10,"&lt;"&amp;C4512,mdr_rate_cleaned!$F$2:$F$10,"&gt;="&amp;C4512)</f>
        <v>1</v>
      </c>
      <c r="G4512">
        <v>1.6E-2</v>
      </c>
      <c r="H4512">
        <v>164.75</v>
      </c>
      <c r="I4512" t="s">
        <v>15</v>
      </c>
      <c r="J4512" t="s">
        <v>15</v>
      </c>
      <c r="K4512">
        <v>29.66</v>
      </c>
      <c r="L4512">
        <v>0</v>
      </c>
    </row>
    <row r="4513" spans="1:12" x14ac:dyDescent="0.3">
      <c r="A4513" t="s">
        <v>4529</v>
      </c>
      <c r="B4513" t="s">
        <v>21</v>
      </c>
      <c r="C4513">
        <v>2499</v>
      </c>
      <c r="D4513">
        <v>7.5</v>
      </c>
      <c r="E4513">
        <v>1.35</v>
      </c>
      <c r="F4513">
        <f>COUNTIFS(mdr_rate_cleaned!$A$2:$A$10,B4513,mdr_rate_cleaned!$B$2:$B$10,"&lt;"&amp;C4513,mdr_rate_cleaned!$F$2:$F$10,"&gt;="&amp;C4513)</f>
        <v>1</v>
      </c>
      <c r="G4513">
        <v>3.0000000000000001E-3</v>
      </c>
      <c r="H4513">
        <v>7.5</v>
      </c>
      <c r="I4513" t="s">
        <v>15</v>
      </c>
      <c r="J4513" t="s">
        <v>15</v>
      </c>
      <c r="K4513">
        <v>1.35</v>
      </c>
      <c r="L4513">
        <v>0</v>
      </c>
    </row>
    <row r="4514" spans="1:12" x14ac:dyDescent="0.3">
      <c r="A4514" t="s">
        <v>4530</v>
      </c>
      <c r="B4514" t="s">
        <v>21</v>
      </c>
      <c r="C4514">
        <v>1799</v>
      </c>
      <c r="D4514">
        <v>0</v>
      </c>
      <c r="E4514">
        <v>0</v>
      </c>
      <c r="F4514">
        <f>COUNTIFS(mdr_rate_cleaned!$A$2:$A$10,B4514,mdr_rate_cleaned!$B$2:$B$10,"&lt;"&amp;C4514,mdr_rate_cleaned!$F$2:$F$10,"&gt;="&amp;C4514)</f>
        <v>1</v>
      </c>
      <c r="G4514">
        <v>0</v>
      </c>
      <c r="H4514">
        <v>0</v>
      </c>
      <c r="I4514" t="s">
        <v>15</v>
      </c>
      <c r="J4514" t="s">
        <v>15</v>
      </c>
      <c r="K4514">
        <v>0</v>
      </c>
      <c r="L4514">
        <v>0</v>
      </c>
    </row>
    <row r="4515" spans="1:12" x14ac:dyDescent="0.3">
      <c r="A4515" t="s">
        <v>4531</v>
      </c>
      <c r="B4515" t="s">
        <v>21</v>
      </c>
      <c r="C4515">
        <v>3998</v>
      </c>
      <c r="D4515">
        <v>11.99</v>
      </c>
      <c r="E4515">
        <v>2.16</v>
      </c>
      <c r="F4515">
        <f>COUNTIFS(mdr_rate_cleaned!$A$2:$A$10,B4515,mdr_rate_cleaned!$B$2:$B$10,"&lt;"&amp;C4515,mdr_rate_cleaned!$F$2:$F$10,"&gt;="&amp;C4515)</f>
        <v>1</v>
      </c>
      <c r="G4515">
        <v>3.0000000000000001E-3</v>
      </c>
      <c r="H4515">
        <v>11.99</v>
      </c>
      <c r="I4515" t="s">
        <v>15</v>
      </c>
      <c r="J4515" t="s">
        <v>15</v>
      </c>
      <c r="K4515">
        <v>2.16</v>
      </c>
      <c r="L4515">
        <v>0</v>
      </c>
    </row>
    <row r="4516" spans="1:12" x14ac:dyDescent="0.3">
      <c r="A4516" t="s">
        <v>4532</v>
      </c>
      <c r="B4516" t="s">
        <v>21</v>
      </c>
      <c r="C4516">
        <v>2798</v>
      </c>
      <c r="D4516">
        <v>8.39</v>
      </c>
      <c r="E4516">
        <v>1.51</v>
      </c>
      <c r="F4516">
        <f>COUNTIFS(mdr_rate_cleaned!$A$2:$A$10,B4516,mdr_rate_cleaned!$B$2:$B$10,"&lt;"&amp;C4516,mdr_rate_cleaned!$F$2:$F$10,"&gt;="&amp;C4516)</f>
        <v>1</v>
      </c>
      <c r="G4516">
        <v>3.0000000000000001E-3</v>
      </c>
      <c r="H4516">
        <v>8.39</v>
      </c>
      <c r="I4516" t="s">
        <v>15</v>
      </c>
      <c r="J4516" t="s">
        <v>15</v>
      </c>
      <c r="K4516">
        <v>1.51</v>
      </c>
      <c r="L4516">
        <v>0</v>
      </c>
    </row>
    <row r="4517" spans="1:12" x14ac:dyDescent="0.3">
      <c r="A4517" t="s">
        <v>4533</v>
      </c>
      <c r="B4517" t="s">
        <v>17</v>
      </c>
      <c r="C4517">
        <v>12297</v>
      </c>
      <c r="D4517">
        <v>196.75</v>
      </c>
      <c r="E4517">
        <v>35.42</v>
      </c>
      <c r="F4517">
        <f>COUNTIFS(mdr_rate_cleaned!$A$2:$A$10,B4517,mdr_rate_cleaned!$B$2:$B$10,"&lt;"&amp;C4517,mdr_rate_cleaned!$F$2:$F$10,"&gt;="&amp;C4517)</f>
        <v>1</v>
      </c>
      <c r="G4517">
        <v>1.6E-2</v>
      </c>
      <c r="H4517">
        <v>196.75</v>
      </c>
      <c r="I4517" t="s">
        <v>15</v>
      </c>
      <c r="J4517" t="s">
        <v>15</v>
      </c>
      <c r="K4517">
        <v>35.42</v>
      </c>
      <c r="L4517">
        <v>0</v>
      </c>
    </row>
    <row r="4518" spans="1:12" x14ac:dyDescent="0.3">
      <c r="A4518" t="s">
        <v>4534</v>
      </c>
      <c r="B4518" t="s">
        <v>39</v>
      </c>
      <c r="C4518">
        <v>499</v>
      </c>
      <c r="D4518">
        <v>7.49</v>
      </c>
      <c r="E4518">
        <v>1.35</v>
      </c>
      <c r="F4518">
        <f>COUNTIFS(mdr_rate_cleaned!$A$2:$A$10,B4518,mdr_rate_cleaned!$B$2:$B$10,"&lt;"&amp;C4518,mdr_rate_cleaned!$F$2:$F$10,"&gt;="&amp;C4518)</f>
        <v>1</v>
      </c>
      <c r="G4518">
        <v>1.4999999999999999E-2</v>
      </c>
      <c r="H4518">
        <v>7.49</v>
      </c>
      <c r="I4518" t="s">
        <v>15</v>
      </c>
      <c r="J4518" t="s">
        <v>15</v>
      </c>
      <c r="K4518">
        <v>1.35</v>
      </c>
      <c r="L4518">
        <v>0</v>
      </c>
    </row>
    <row r="4519" spans="1:12" x14ac:dyDescent="0.3">
      <c r="A4519" t="s">
        <v>4535</v>
      </c>
      <c r="B4519" t="s">
        <v>21</v>
      </c>
      <c r="C4519">
        <v>3298</v>
      </c>
      <c r="D4519">
        <v>9.89</v>
      </c>
      <c r="E4519">
        <v>1.78</v>
      </c>
      <c r="F4519">
        <f>COUNTIFS(mdr_rate_cleaned!$A$2:$A$10,B4519,mdr_rate_cleaned!$B$2:$B$10,"&lt;"&amp;C4519,mdr_rate_cleaned!$F$2:$F$10,"&gt;="&amp;C4519)</f>
        <v>1</v>
      </c>
      <c r="G4519">
        <v>3.0000000000000001E-3</v>
      </c>
      <c r="H4519">
        <v>9.89</v>
      </c>
      <c r="I4519" t="s">
        <v>15</v>
      </c>
      <c r="J4519" t="s">
        <v>15</v>
      </c>
      <c r="K4519">
        <v>1.78</v>
      </c>
      <c r="L4519">
        <v>0</v>
      </c>
    </row>
    <row r="4520" spans="1:12" x14ac:dyDescent="0.3">
      <c r="A4520" t="s">
        <v>4536</v>
      </c>
      <c r="B4520" t="s">
        <v>13</v>
      </c>
      <c r="C4520">
        <v>8798</v>
      </c>
      <c r="D4520">
        <v>149.57</v>
      </c>
      <c r="E4520">
        <v>26.92</v>
      </c>
      <c r="F4520">
        <f>COUNTIFS(mdr_rate_cleaned!$A$2:$A$10,B4520,mdr_rate_cleaned!$B$2:$B$10,"&lt;"&amp;C4520,mdr_rate_cleaned!$F$2:$F$10,"&gt;="&amp;C4520)</f>
        <v>1</v>
      </c>
      <c r="G4520">
        <v>1.7000000000000001E-2</v>
      </c>
      <c r="H4520">
        <v>149.57</v>
      </c>
      <c r="I4520" t="s">
        <v>15</v>
      </c>
      <c r="J4520" t="s">
        <v>15</v>
      </c>
      <c r="K4520">
        <v>26.92</v>
      </c>
      <c r="L4520">
        <v>0</v>
      </c>
    </row>
    <row r="4521" spans="1:12" x14ac:dyDescent="0.3">
      <c r="A4521" t="s">
        <v>4537</v>
      </c>
      <c r="B4521" t="s">
        <v>21</v>
      </c>
      <c r="C4521">
        <v>1299</v>
      </c>
      <c r="D4521">
        <v>0</v>
      </c>
      <c r="E4521">
        <v>0</v>
      </c>
      <c r="F4521">
        <f>COUNTIFS(mdr_rate_cleaned!$A$2:$A$10,B4521,mdr_rate_cleaned!$B$2:$B$10,"&lt;"&amp;C4521,mdr_rate_cleaned!$F$2:$F$10,"&gt;="&amp;C4521)</f>
        <v>1</v>
      </c>
      <c r="G4521">
        <v>0</v>
      </c>
      <c r="H4521">
        <v>0</v>
      </c>
      <c r="I4521" t="s">
        <v>15</v>
      </c>
      <c r="J4521" t="s">
        <v>15</v>
      </c>
      <c r="K4521">
        <v>0</v>
      </c>
      <c r="L4521">
        <v>0</v>
      </c>
    </row>
    <row r="4522" spans="1:12" x14ac:dyDescent="0.3">
      <c r="A4522" t="s">
        <v>4538</v>
      </c>
      <c r="B4522" t="s">
        <v>21</v>
      </c>
      <c r="C4522">
        <v>1799</v>
      </c>
      <c r="D4522">
        <v>5.4</v>
      </c>
      <c r="E4522">
        <v>0.97</v>
      </c>
      <c r="F4522">
        <f>COUNTIFS(mdr_rate_cleaned!$A$2:$A$10,B4522,mdr_rate_cleaned!$B$2:$B$10,"&lt;"&amp;C4522,mdr_rate_cleaned!$F$2:$F$10,"&gt;="&amp;C4522)</f>
        <v>1</v>
      </c>
      <c r="G4522">
        <v>0</v>
      </c>
      <c r="H4522">
        <v>0</v>
      </c>
      <c r="I4522" t="s">
        <v>14</v>
      </c>
      <c r="J4522" t="s">
        <v>15</v>
      </c>
      <c r="K4522">
        <v>0</v>
      </c>
      <c r="L4522">
        <v>6.37</v>
      </c>
    </row>
    <row r="4523" spans="1:12" x14ac:dyDescent="0.3">
      <c r="A4523" t="s">
        <v>4539</v>
      </c>
      <c r="B4523" t="s">
        <v>39</v>
      </c>
      <c r="C4523">
        <v>799</v>
      </c>
      <c r="D4523">
        <v>11.99</v>
      </c>
      <c r="E4523">
        <v>2.16</v>
      </c>
      <c r="F4523">
        <f>COUNTIFS(mdr_rate_cleaned!$A$2:$A$10,B4523,mdr_rate_cleaned!$B$2:$B$10,"&lt;"&amp;C4523,mdr_rate_cleaned!$F$2:$F$10,"&gt;="&amp;C4523)</f>
        <v>1</v>
      </c>
      <c r="G4523">
        <v>1.4999999999999999E-2</v>
      </c>
      <c r="H4523">
        <v>11.99</v>
      </c>
      <c r="I4523" t="s">
        <v>15</v>
      </c>
      <c r="J4523" t="s">
        <v>15</v>
      </c>
      <c r="K4523">
        <v>2.16</v>
      </c>
      <c r="L4523">
        <v>0</v>
      </c>
    </row>
    <row r="4524" spans="1:12" x14ac:dyDescent="0.3">
      <c r="A4524" t="s">
        <v>4540</v>
      </c>
      <c r="B4524" t="s">
        <v>21</v>
      </c>
      <c r="C4524">
        <v>2499</v>
      </c>
      <c r="D4524">
        <v>7.5</v>
      </c>
      <c r="E4524">
        <v>1.35</v>
      </c>
      <c r="F4524">
        <f>COUNTIFS(mdr_rate_cleaned!$A$2:$A$10,B4524,mdr_rate_cleaned!$B$2:$B$10,"&lt;"&amp;C4524,mdr_rate_cleaned!$F$2:$F$10,"&gt;="&amp;C4524)</f>
        <v>1</v>
      </c>
      <c r="G4524">
        <v>3.0000000000000001E-3</v>
      </c>
      <c r="H4524">
        <v>7.5</v>
      </c>
      <c r="I4524" t="s">
        <v>15</v>
      </c>
      <c r="J4524" t="s">
        <v>15</v>
      </c>
      <c r="K4524">
        <v>1.35</v>
      </c>
      <c r="L4524">
        <v>0</v>
      </c>
    </row>
    <row r="4525" spans="1:12" x14ac:dyDescent="0.3">
      <c r="A4525" t="s">
        <v>4541</v>
      </c>
      <c r="B4525" t="s">
        <v>17</v>
      </c>
      <c r="C4525">
        <v>999</v>
      </c>
      <c r="D4525">
        <v>17.98</v>
      </c>
      <c r="E4525">
        <v>3.24</v>
      </c>
      <c r="F4525">
        <f>COUNTIFS(mdr_rate_cleaned!$A$2:$A$10,B4525,mdr_rate_cleaned!$B$2:$B$10,"&lt;"&amp;C4525,mdr_rate_cleaned!$F$2:$F$10,"&gt;="&amp;C4525)</f>
        <v>1</v>
      </c>
      <c r="G4525">
        <v>1.7999999999999999E-2</v>
      </c>
      <c r="H4525">
        <v>17.98</v>
      </c>
      <c r="I4525" t="s">
        <v>15</v>
      </c>
      <c r="J4525" t="s">
        <v>15</v>
      </c>
      <c r="K4525">
        <v>3.24</v>
      </c>
      <c r="L4525">
        <v>0</v>
      </c>
    </row>
    <row r="4526" spans="1:12" x14ac:dyDescent="0.3">
      <c r="A4526" t="s">
        <v>4542</v>
      </c>
      <c r="B4526" t="s">
        <v>21</v>
      </c>
      <c r="C4526">
        <v>8498</v>
      </c>
      <c r="D4526">
        <v>25.49</v>
      </c>
      <c r="E4526">
        <v>4.59</v>
      </c>
      <c r="F4526">
        <f>COUNTIFS(mdr_rate_cleaned!$A$2:$A$10,B4526,mdr_rate_cleaned!$B$2:$B$10,"&lt;"&amp;C4526,mdr_rate_cleaned!$F$2:$F$10,"&gt;="&amp;C4526)</f>
        <v>1</v>
      </c>
      <c r="G4526">
        <v>3.0000000000000001E-3</v>
      </c>
      <c r="H4526">
        <v>25.49</v>
      </c>
      <c r="I4526" t="s">
        <v>15</v>
      </c>
      <c r="J4526" t="s">
        <v>15</v>
      </c>
      <c r="K4526">
        <v>4.59</v>
      </c>
      <c r="L4526">
        <v>0</v>
      </c>
    </row>
    <row r="4527" spans="1:12" x14ac:dyDescent="0.3">
      <c r="A4527" t="s">
        <v>4543</v>
      </c>
      <c r="B4527" t="s">
        <v>21</v>
      </c>
      <c r="C4527">
        <v>4998</v>
      </c>
      <c r="D4527">
        <v>14.99</v>
      </c>
      <c r="E4527">
        <v>2.7</v>
      </c>
      <c r="F4527">
        <f>COUNTIFS(mdr_rate_cleaned!$A$2:$A$10,B4527,mdr_rate_cleaned!$B$2:$B$10,"&lt;"&amp;C4527,mdr_rate_cleaned!$F$2:$F$10,"&gt;="&amp;C4527)</f>
        <v>1</v>
      </c>
      <c r="G4527">
        <v>3.0000000000000001E-3</v>
      </c>
      <c r="H4527">
        <v>14.99</v>
      </c>
      <c r="I4527" t="s">
        <v>15</v>
      </c>
      <c r="J4527" t="s">
        <v>15</v>
      </c>
      <c r="K4527">
        <v>2.7</v>
      </c>
      <c r="L4527">
        <v>0</v>
      </c>
    </row>
    <row r="4528" spans="1:12" x14ac:dyDescent="0.3">
      <c r="A4528" t="s">
        <v>4544</v>
      </c>
      <c r="B4528" t="s">
        <v>21</v>
      </c>
      <c r="C4528">
        <v>3798</v>
      </c>
      <c r="D4528">
        <v>11.39</v>
      </c>
      <c r="E4528">
        <v>2.0499999999999998</v>
      </c>
      <c r="F4528">
        <f>COUNTIFS(mdr_rate_cleaned!$A$2:$A$10,B4528,mdr_rate_cleaned!$B$2:$B$10,"&lt;"&amp;C4528,mdr_rate_cleaned!$F$2:$F$10,"&gt;="&amp;C4528)</f>
        <v>1</v>
      </c>
      <c r="G4528">
        <v>3.0000000000000001E-3</v>
      </c>
      <c r="H4528">
        <v>11.39</v>
      </c>
      <c r="I4528" t="s">
        <v>15</v>
      </c>
      <c r="J4528" t="s">
        <v>15</v>
      </c>
      <c r="K4528">
        <v>2.0499999999999998</v>
      </c>
      <c r="L4528">
        <v>0</v>
      </c>
    </row>
    <row r="4529" spans="1:12" x14ac:dyDescent="0.3">
      <c r="A4529" t="s">
        <v>4545</v>
      </c>
      <c r="B4529" t="s">
        <v>17</v>
      </c>
      <c r="C4529">
        <v>599</v>
      </c>
      <c r="D4529">
        <v>10.78</v>
      </c>
      <c r="E4529">
        <v>1.94</v>
      </c>
      <c r="F4529">
        <f>COUNTIFS(mdr_rate_cleaned!$A$2:$A$10,B4529,mdr_rate_cleaned!$B$2:$B$10,"&lt;"&amp;C4529,mdr_rate_cleaned!$F$2:$F$10,"&gt;="&amp;C4529)</f>
        <v>1</v>
      </c>
      <c r="G4529">
        <v>1.7999999999999999E-2</v>
      </c>
      <c r="H4529">
        <v>10.78</v>
      </c>
      <c r="I4529" t="s">
        <v>15</v>
      </c>
      <c r="J4529" t="s">
        <v>15</v>
      </c>
      <c r="K4529">
        <v>1.94</v>
      </c>
      <c r="L4529">
        <v>0</v>
      </c>
    </row>
    <row r="4530" spans="1:12" x14ac:dyDescent="0.3">
      <c r="A4530" t="s">
        <v>4546</v>
      </c>
      <c r="B4530" t="s">
        <v>17</v>
      </c>
      <c r="C4530">
        <v>4999</v>
      </c>
      <c r="D4530">
        <v>79.98</v>
      </c>
      <c r="E4530">
        <v>14.4</v>
      </c>
      <c r="F4530">
        <f>COUNTIFS(mdr_rate_cleaned!$A$2:$A$10,B4530,mdr_rate_cleaned!$B$2:$B$10,"&lt;"&amp;C4530,mdr_rate_cleaned!$F$2:$F$10,"&gt;="&amp;C4530)</f>
        <v>1</v>
      </c>
      <c r="G4530">
        <v>1.6E-2</v>
      </c>
      <c r="H4530">
        <v>79.98</v>
      </c>
      <c r="I4530" t="s">
        <v>15</v>
      </c>
      <c r="J4530" t="s">
        <v>15</v>
      </c>
      <c r="K4530">
        <v>14.4</v>
      </c>
      <c r="L4530">
        <v>0</v>
      </c>
    </row>
    <row r="4531" spans="1:12" x14ac:dyDescent="0.3">
      <c r="A4531" t="s">
        <v>4547</v>
      </c>
      <c r="B4531" t="s">
        <v>21</v>
      </c>
      <c r="C4531">
        <v>8998</v>
      </c>
      <c r="D4531">
        <v>26.99</v>
      </c>
      <c r="E4531">
        <v>4.8600000000000003</v>
      </c>
      <c r="F4531">
        <f>COUNTIFS(mdr_rate_cleaned!$A$2:$A$10,B4531,mdr_rate_cleaned!$B$2:$B$10,"&lt;"&amp;C4531,mdr_rate_cleaned!$F$2:$F$10,"&gt;="&amp;C4531)</f>
        <v>1</v>
      </c>
      <c r="G4531">
        <v>3.0000000000000001E-3</v>
      </c>
      <c r="H4531">
        <v>26.99</v>
      </c>
      <c r="I4531" t="s">
        <v>15</v>
      </c>
      <c r="J4531" t="s">
        <v>15</v>
      </c>
      <c r="K4531">
        <v>4.8600000000000003</v>
      </c>
      <c r="L4531">
        <v>0</v>
      </c>
    </row>
    <row r="4532" spans="1:12" x14ac:dyDescent="0.3">
      <c r="A4532" t="s">
        <v>4548</v>
      </c>
      <c r="B4532" t="s">
        <v>39</v>
      </c>
      <c r="C4532">
        <v>11097</v>
      </c>
      <c r="D4532">
        <v>99.87</v>
      </c>
      <c r="E4532">
        <v>17.98</v>
      </c>
      <c r="F4532">
        <f>COUNTIFS(mdr_rate_cleaned!$A$2:$A$10,B4532,mdr_rate_cleaned!$B$2:$B$10,"&lt;"&amp;C4532,mdr_rate_cleaned!$F$2:$F$10,"&gt;="&amp;C4532)</f>
        <v>1</v>
      </c>
      <c r="G4532">
        <v>8.9999999999999993E-3</v>
      </c>
      <c r="H4532">
        <v>99.87</v>
      </c>
      <c r="I4532" t="s">
        <v>15</v>
      </c>
      <c r="J4532" t="s">
        <v>15</v>
      </c>
      <c r="K4532">
        <v>17.98</v>
      </c>
      <c r="L4532">
        <v>0</v>
      </c>
    </row>
    <row r="4533" spans="1:12" x14ac:dyDescent="0.3">
      <c r="A4533" t="s">
        <v>4549</v>
      </c>
      <c r="B4533" t="s">
        <v>21</v>
      </c>
      <c r="C4533">
        <v>6797</v>
      </c>
      <c r="D4533">
        <v>20.39</v>
      </c>
      <c r="E4533">
        <v>3.67</v>
      </c>
      <c r="F4533">
        <f>COUNTIFS(mdr_rate_cleaned!$A$2:$A$10,B4533,mdr_rate_cleaned!$B$2:$B$10,"&lt;"&amp;C4533,mdr_rate_cleaned!$F$2:$F$10,"&gt;="&amp;C4533)</f>
        <v>1</v>
      </c>
      <c r="G4533">
        <v>3.0000000000000001E-3</v>
      </c>
      <c r="H4533">
        <v>20.39</v>
      </c>
      <c r="I4533" t="s">
        <v>15</v>
      </c>
      <c r="J4533" t="s">
        <v>15</v>
      </c>
      <c r="K4533">
        <v>3.67</v>
      </c>
      <c r="L4533">
        <v>0</v>
      </c>
    </row>
    <row r="4534" spans="1:12" x14ac:dyDescent="0.3">
      <c r="A4534" t="s">
        <v>4550</v>
      </c>
      <c r="B4534" t="s">
        <v>21</v>
      </c>
      <c r="C4534">
        <v>299</v>
      </c>
      <c r="D4534">
        <v>0</v>
      </c>
      <c r="E4534">
        <v>0</v>
      </c>
      <c r="F4534">
        <f>COUNTIFS(mdr_rate_cleaned!$A$2:$A$10,B4534,mdr_rate_cleaned!$B$2:$B$10,"&lt;"&amp;C4534,mdr_rate_cleaned!$F$2:$F$10,"&gt;="&amp;C4534)</f>
        <v>1</v>
      </c>
      <c r="G4534">
        <v>0</v>
      </c>
      <c r="H4534">
        <v>0</v>
      </c>
      <c r="I4534" t="s">
        <v>15</v>
      </c>
      <c r="J4534" t="s">
        <v>15</v>
      </c>
      <c r="K4534">
        <v>0</v>
      </c>
      <c r="L4534">
        <v>0</v>
      </c>
    </row>
    <row r="4535" spans="1:12" x14ac:dyDescent="0.3">
      <c r="A4535" t="s">
        <v>4551</v>
      </c>
      <c r="B4535" t="s">
        <v>21</v>
      </c>
      <c r="C4535">
        <v>10998</v>
      </c>
      <c r="D4535">
        <v>32.99</v>
      </c>
      <c r="E4535">
        <v>5.94</v>
      </c>
      <c r="F4535">
        <f>COUNTIFS(mdr_rate_cleaned!$A$2:$A$10,B4535,mdr_rate_cleaned!$B$2:$B$10,"&lt;"&amp;C4535,mdr_rate_cleaned!$F$2:$F$10,"&gt;="&amp;C4535)</f>
        <v>1</v>
      </c>
      <c r="G4535">
        <v>3.0000000000000001E-3</v>
      </c>
      <c r="H4535">
        <v>32.99</v>
      </c>
      <c r="I4535" t="s">
        <v>15</v>
      </c>
      <c r="J4535" t="s">
        <v>15</v>
      </c>
      <c r="K4535">
        <v>5.94</v>
      </c>
      <c r="L4535">
        <v>0</v>
      </c>
    </row>
    <row r="4536" spans="1:12" x14ac:dyDescent="0.3">
      <c r="A4536" t="s">
        <v>4552</v>
      </c>
      <c r="B4536" t="s">
        <v>13</v>
      </c>
      <c r="C4536">
        <v>14497</v>
      </c>
      <c r="D4536">
        <v>246.45</v>
      </c>
      <c r="E4536">
        <v>44.36</v>
      </c>
      <c r="F4536">
        <f>COUNTIFS(mdr_rate_cleaned!$A$2:$A$10,B4536,mdr_rate_cleaned!$B$2:$B$10,"&lt;"&amp;C4536,mdr_rate_cleaned!$F$2:$F$10,"&gt;="&amp;C4536)</f>
        <v>1</v>
      </c>
      <c r="G4536">
        <v>1.7000000000000001E-2</v>
      </c>
      <c r="H4536">
        <v>246.45</v>
      </c>
      <c r="I4536" t="s">
        <v>15</v>
      </c>
      <c r="J4536" t="s">
        <v>15</v>
      </c>
      <c r="K4536">
        <v>44.36</v>
      </c>
      <c r="L4536">
        <v>0</v>
      </c>
    </row>
    <row r="4537" spans="1:12" x14ac:dyDescent="0.3">
      <c r="A4537" t="s">
        <v>4553</v>
      </c>
      <c r="B4537" t="s">
        <v>21</v>
      </c>
      <c r="C4537">
        <v>11597</v>
      </c>
      <c r="D4537">
        <v>34.79</v>
      </c>
      <c r="E4537">
        <v>6.26</v>
      </c>
      <c r="F4537">
        <f>COUNTIFS(mdr_rate_cleaned!$A$2:$A$10,B4537,mdr_rate_cleaned!$B$2:$B$10,"&lt;"&amp;C4537,mdr_rate_cleaned!$F$2:$F$10,"&gt;="&amp;C4537)</f>
        <v>1</v>
      </c>
      <c r="G4537">
        <v>3.0000000000000001E-3</v>
      </c>
      <c r="H4537">
        <v>34.79</v>
      </c>
      <c r="I4537" t="s">
        <v>15</v>
      </c>
      <c r="J4537" t="s">
        <v>15</v>
      </c>
      <c r="K4537">
        <v>6.26</v>
      </c>
      <c r="L4537">
        <v>0</v>
      </c>
    </row>
    <row r="4538" spans="1:12" x14ac:dyDescent="0.3">
      <c r="A4538" t="s">
        <v>4554</v>
      </c>
      <c r="B4538" t="s">
        <v>17</v>
      </c>
      <c r="C4538">
        <v>1799</v>
      </c>
      <c r="D4538">
        <v>32.380000000000003</v>
      </c>
      <c r="E4538">
        <v>5.83</v>
      </c>
      <c r="F4538">
        <f>COUNTIFS(mdr_rate_cleaned!$A$2:$A$10,B4538,mdr_rate_cleaned!$B$2:$B$10,"&lt;"&amp;C4538,mdr_rate_cleaned!$F$2:$F$10,"&gt;="&amp;C4538)</f>
        <v>1</v>
      </c>
      <c r="G4538">
        <v>1.7999999999999999E-2</v>
      </c>
      <c r="H4538">
        <v>32.380000000000003</v>
      </c>
      <c r="I4538" t="s">
        <v>15</v>
      </c>
      <c r="J4538" t="s">
        <v>15</v>
      </c>
      <c r="K4538">
        <v>5.83</v>
      </c>
      <c r="L4538">
        <v>0</v>
      </c>
    </row>
    <row r="4539" spans="1:12" x14ac:dyDescent="0.3">
      <c r="A4539" t="s">
        <v>4555</v>
      </c>
      <c r="B4539" t="s">
        <v>39</v>
      </c>
      <c r="C4539">
        <v>1098</v>
      </c>
      <c r="D4539">
        <v>16.47</v>
      </c>
      <c r="E4539">
        <v>2.96</v>
      </c>
      <c r="F4539">
        <f>COUNTIFS(mdr_rate_cleaned!$A$2:$A$10,B4539,mdr_rate_cleaned!$B$2:$B$10,"&lt;"&amp;C4539,mdr_rate_cleaned!$F$2:$F$10,"&gt;="&amp;C4539)</f>
        <v>1</v>
      </c>
      <c r="G4539">
        <v>1.4999999999999999E-2</v>
      </c>
      <c r="H4539">
        <v>16.47</v>
      </c>
      <c r="I4539" t="s">
        <v>15</v>
      </c>
      <c r="J4539" t="s">
        <v>15</v>
      </c>
      <c r="K4539">
        <v>2.96</v>
      </c>
      <c r="L4539">
        <v>0</v>
      </c>
    </row>
    <row r="4540" spans="1:12" x14ac:dyDescent="0.3">
      <c r="A4540" t="s">
        <v>4556</v>
      </c>
      <c r="B4540" t="s">
        <v>21</v>
      </c>
      <c r="C4540">
        <v>4597</v>
      </c>
      <c r="D4540">
        <v>13.79</v>
      </c>
      <c r="E4540">
        <v>2.48</v>
      </c>
      <c r="F4540">
        <f>COUNTIFS(mdr_rate_cleaned!$A$2:$A$10,B4540,mdr_rate_cleaned!$B$2:$B$10,"&lt;"&amp;C4540,mdr_rate_cleaned!$F$2:$F$10,"&gt;="&amp;C4540)</f>
        <v>1</v>
      </c>
      <c r="G4540">
        <v>3.0000000000000001E-3</v>
      </c>
      <c r="H4540">
        <v>13.79</v>
      </c>
      <c r="I4540" t="s">
        <v>15</v>
      </c>
      <c r="J4540" t="s">
        <v>15</v>
      </c>
      <c r="K4540">
        <v>2.48</v>
      </c>
      <c r="L4540">
        <v>0</v>
      </c>
    </row>
    <row r="4541" spans="1:12" x14ac:dyDescent="0.3">
      <c r="A4541" t="s">
        <v>4557</v>
      </c>
      <c r="B4541" t="s">
        <v>39</v>
      </c>
      <c r="C4541">
        <v>5297</v>
      </c>
      <c r="D4541">
        <v>63.56</v>
      </c>
      <c r="E4541">
        <v>11.44</v>
      </c>
      <c r="F4541">
        <f>COUNTIFS(mdr_rate_cleaned!$A$2:$A$10,B4541,mdr_rate_cleaned!$B$2:$B$10,"&lt;"&amp;C4541,mdr_rate_cleaned!$F$2:$F$10,"&gt;="&amp;C4541)</f>
        <v>1</v>
      </c>
      <c r="G4541">
        <v>1.2E-2</v>
      </c>
      <c r="H4541">
        <v>63.56</v>
      </c>
      <c r="I4541" t="s">
        <v>15</v>
      </c>
      <c r="J4541" t="s">
        <v>15</v>
      </c>
      <c r="K4541">
        <v>11.44</v>
      </c>
      <c r="L4541">
        <v>0</v>
      </c>
    </row>
    <row r="4542" spans="1:12" x14ac:dyDescent="0.3">
      <c r="A4542" t="s">
        <v>4558</v>
      </c>
      <c r="B4542" t="s">
        <v>21</v>
      </c>
      <c r="C4542">
        <v>999</v>
      </c>
      <c r="D4542">
        <v>0</v>
      </c>
      <c r="E4542">
        <v>0</v>
      </c>
      <c r="F4542">
        <f>COUNTIFS(mdr_rate_cleaned!$A$2:$A$10,B4542,mdr_rate_cleaned!$B$2:$B$10,"&lt;"&amp;C4542,mdr_rate_cleaned!$F$2:$F$10,"&gt;="&amp;C4542)</f>
        <v>1</v>
      </c>
      <c r="G4542">
        <v>0</v>
      </c>
      <c r="H4542">
        <v>0</v>
      </c>
      <c r="I4542" t="s">
        <v>15</v>
      </c>
      <c r="J4542" t="s">
        <v>15</v>
      </c>
      <c r="K4542">
        <v>0</v>
      </c>
      <c r="L4542">
        <v>0</v>
      </c>
    </row>
    <row r="4543" spans="1:12" x14ac:dyDescent="0.3">
      <c r="A4543" t="s">
        <v>4559</v>
      </c>
      <c r="B4543" t="s">
        <v>17</v>
      </c>
      <c r="C4543">
        <v>3499</v>
      </c>
      <c r="D4543">
        <v>55.98</v>
      </c>
      <c r="E4543">
        <v>10.08</v>
      </c>
      <c r="F4543">
        <f>COUNTIFS(mdr_rate_cleaned!$A$2:$A$10,B4543,mdr_rate_cleaned!$B$2:$B$10,"&lt;"&amp;C4543,mdr_rate_cleaned!$F$2:$F$10,"&gt;="&amp;C4543)</f>
        <v>1</v>
      </c>
      <c r="G4543">
        <v>1.6E-2</v>
      </c>
      <c r="H4543">
        <v>55.98</v>
      </c>
      <c r="I4543" t="s">
        <v>15</v>
      </c>
      <c r="J4543" t="s">
        <v>15</v>
      </c>
      <c r="K4543">
        <v>10.08</v>
      </c>
      <c r="L4543">
        <v>0</v>
      </c>
    </row>
    <row r="4544" spans="1:12" x14ac:dyDescent="0.3">
      <c r="A4544" t="s">
        <v>4560</v>
      </c>
      <c r="B4544" t="s">
        <v>21</v>
      </c>
      <c r="C4544">
        <v>7999</v>
      </c>
      <c r="D4544">
        <v>24</v>
      </c>
      <c r="E4544">
        <v>4.32</v>
      </c>
      <c r="F4544">
        <f>COUNTIFS(mdr_rate_cleaned!$A$2:$A$10,B4544,mdr_rate_cleaned!$B$2:$B$10,"&lt;"&amp;C4544,mdr_rate_cleaned!$F$2:$F$10,"&gt;="&amp;C4544)</f>
        <v>1</v>
      </c>
      <c r="G4544">
        <v>3.0000000000000001E-3</v>
      </c>
      <c r="H4544">
        <v>24</v>
      </c>
      <c r="I4544" t="s">
        <v>15</v>
      </c>
      <c r="J4544" t="s">
        <v>15</v>
      </c>
      <c r="K4544">
        <v>4.32</v>
      </c>
      <c r="L4544">
        <v>0</v>
      </c>
    </row>
    <row r="4545" spans="1:12" x14ac:dyDescent="0.3">
      <c r="A4545" t="s">
        <v>4561</v>
      </c>
      <c r="B4545" t="s">
        <v>13</v>
      </c>
      <c r="C4545">
        <v>299</v>
      </c>
      <c r="D4545">
        <v>5.68</v>
      </c>
      <c r="E4545">
        <v>1.02</v>
      </c>
      <c r="F4545">
        <f>COUNTIFS(mdr_rate_cleaned!$A$2:$A$10,B4545,mdr_rate_cleaned!$B$2:$B$10,"&lt;"&amp;C4545,mdr_rate_cleaned!$F$2:$F$10,"&gt;="&amp;C4545)</f>
        <v>1</v>
      </c>
      <c r="G4545">
        <v>1.9E-2</v>
      </c>
      <c r="H4545">
        <v>5.68</v>
      </c>
      <c r="I4545" t="s">
        <v>15</v>
      </c>
      <c r="J4545" t="s">
        <v>15</v>
      </c>
      <c r="K4545">
        <v>1.02</v>
      </c>
      <c r="L4545">
        <v>0</v>
      </c>
    </row>
    <row r="4546" spans="1:12" x14ac:dyDescent="0.3">
      <c r="A4546" t="s">
        <v>4562</v>
      </c>
      <c r="B4546" t="s">
        <v>21</v>
      </c>
      <c r="C4546">
        <v>1799</v>
      </c>
      <c r="D4546">
        <v>0</v>
      </c>
      <c r="E4546">
        <v>0</v>
      </c>
      <c r="F4546">
        <f>COUNTIFS(mdr_rate_cleaned!$A$2:$A$10,B4546,mdr_rate_cleaned!$B$2:$B$10,"&lt;"&amp;C4546,mdr_rate_cleaned!$F$2:$F$10,"&gt;="&amp;C4546)</f>
        <v>1</v>
      </c>
      <c r="G4546">
        <v>0</v>
      </c>
      <c r="H4546">
        <v>0</v>
      </c>
      <c r="I4546" t="s">
        <v>15</v>
      </c>
      <c r="J4546" t="s">
        <v>15</v>
      </c>
      <c r="K4546">
        <v>0</v>
      </c>
      <c r="L4546">
        <v>0</v>
      </c>
    </row>
    <row r="4547" spans="1:12" x14ac:dyDescent="0.3">
      <c r="A4547" t="s">
        <v>4563</v>
      </c>
      <c r="B4547" t="s">
        <v>21</v>
      </c>
      <c r="C4547">
        <v>8498</v>
      </c>
      <c r="D4547">
        <v>25.49</v>
      </c>
      <c r="E4547">
        <v>4.59</v>
      </c>
      <c r="F4547">
        <f>COUNTIFS(mdr_rate_cleaned!$A$2:$A$10,B4547,mdr_rate_cleaned!$B$2:$B$10,"&lt;"&amp;C4547,mdr_rate_cleaned!$F$2:$F$10,"&gt;="&amp;C4547)</f>
        <v>1</v>
      </c>
      <c r="G4547">
        <v>3.0000000000000001E-3</v>
      </c>
      <c r="H4547">
        <v>25.49</v>
      </c>
      <c r="I4547" t="s">
        <v>15</v>
      </c>
      <c r="J4547" t="s">
        <v>15</v>
      </c>
      <c r="K4547">
        <v>4.59</v>
      </c>
      <c r="L4547">
        <v>0</v>
      </c>
    </row>
    <row r="4548" spans="1:12" x14ac:dyDescent="0.3">
      <c r="A4548" t="s">
        <v>4564</v>
      </c>
      <c r="B4548" t="s">
        <v>17</v>
      </c>
      <c r="C4548">
        <v>2798</v>
      </c>
      <c r="D4548">
        <v>44.77</v>
      </c>
      <c r="E4548">
        <v>8.06</v>
      </c>
      <c r="F4548">
        <f>COUNTIFS(mdr_rate_cleaned!$A$2:$A$10,B4548,mdr_rate_cleaned!$B$2:$B$10,"&lt;"&amp;C4548,mdr_rate_cleaned!$F$2:$F$10,"&gt;="&amp;C4548)</f>
        <v>1</v>
      </c>
      <c r="G4548">
        <v>1.6E-2</v>
      </c>
      <c r="H4548">
        <v>44.77</v>
      </c>
      <c r="I4548" t="s">
        <v>15</v>
      </c>
      <c r="J4548" t="s">
        <v>15</v>
      </c>
      <c r="K4548">
        <v>8.06</v>
      </c>
      <c r="L4548">
        <v>0</v>
      </c>
    </row>
    <row r="4549" spans="1:12" x14ac:dyDescent="0.3">
      <c r="A4549" t="s">
        <v>4565</v>
      </c>
      <c r="B4549" t="s">
        <v>21</v>
      </c>
      <c r="C4549">
        <v>1799</v>
      </c>
      <c r="D4549">
        <v>0</v>
      </c>
      <c r="E4549">
        <v>0</v>
      </c>
      <c r="F4549">
        <f>COUNTIFS(mdr_rate_cleaned!$A$2:$A$10,B4549,mdr_rate_cleaned!$B$2:$B$10,"&lt;"&amp;C4549,mdr_rate_cleaned!$F$2:$F$10,"&gt;="&amp;C4549)</f>
        <v>1</v>
      </c>
      <c r="G4549">
        <v>0</v>
      </c>
      <c r="H4549">
        <v>0</v>
      </c>
      <c r="I4549" t="s">
        <v>15</v>
      </c>
      <c r="J4549" t="s">
        <v>15</v>
      </c>
      <c r="K4549">
        <v>0</v>
      </c>
      <c r="L4549">
        <v>0</v>
      </c>
    </row>
    <row r="4550" spans="1:12" x14ac:dyDescent="0.3">
      <c r="A4550" t="s">
        <v>4566</v>
      </c>
      <c r="B4550" t="s">
        <v>13</v>
      </c>
      <c r="C4550">
        <v>2598</v>
      </c>
      <c r="D4550">
        <v>62.35</v>
      </c>
      <c r="E4550">
        <v>11.22</v>
      </c>
      <c r="F4550">
        <f>COUNTIFS(mdr_rate_cleaned!$A$2:$A$10,B4550,mdr_rate_cleaned!$B$2:$B$10,"&lt;"&amp;C4550,mdr_rate_cleaned!$F$2:$F$10,"&gt;="&amp;C4550)</f>
        <v>1</v>
      </c>
      <c r="G4550">
        <v>1.7000000000000001E-2</v>
      </c>
      <c r="H4550">
        <v>44.17</v>
      </c>
      <c r="I4550" t="s">
        <v>14</v>
      </c>
      <c r="J4550" t="s">
        <v>15</v>
      </c>
      <c r="K4550">
        <v>7.95</v>
      </c>
      <c r="L4550">
        <v>21.45</v>
      </c>
    </row>
    <row r="4551" spans="1:12" x14ac:dyDescent="0.3">
      <c r="A4551" t="s">
        <v>4567</v>
      </c>
      <c r="B4551" t="s">
        <v>21</v>
      </c>
      <c r="C4551">
        <v>3897</v>
      </c>
      <c r="D4551">
        <v>11.69</v>
      </c>
      <c r="E4551">
        <v>2.1</v>
      </c>
      <c r="F4551">
        <f>COUNTIFS(mdr_rate_cleaned!$A$2:$A$10,B4551,mdr_rate_cleaned!$B$2:$B$10,"&lt;"&amp;C4551,mdr_rate_cleaned!$F$2:$F$10,"&gt;="&amp;C4551)</f>
        <v>1</v>
      </c>
      <c r="G4551">
        <v>3.0000000000000001E-3</v>
      </c>
      <c r="H4551">
        <v>11.69</v>
      </c>
      <c r="I4551" t="s">
        <v>15</v>
      </c>
      <c r="J4551" t="s">
        <v>15</v>
      </c>
      <c r="K4551">
        <v>2.1</v>
      </c>
      <c r="L4551">
        <v>0</v>
      </c>
    </row>
    <row r="4552" spans="1:12" x14ac:dyDescent="0.3">
      <c r="A4552" t="s">
        <v>4568</v>
      </c>
      <c r="B4552" t="s">
        <v>21</v>
      </c>
      <c r="C4552">
        <v>3798</v>
      </c>
      <c r="D4552">
        <v>11.39</v>
      </c>
      <c r="E4552">
        <v>2.0499999999999998</v>
      </c>
      <c r="F4552">
        <f>COUNTIFS(mdr_rate_cleaned!$A$2:$A$10,B4552,mdr_rate_cleaned!$B$2:$B$10,"&lt;"&amp;C4552,mdr_rate_cleaned!$F$2:$F$10,"&gt;="&amp;C4552)</f>
        <v>1</v>
      </c>
      <c r="G4552">
        <v>3.0000000000000001E-3</v>
      </c>
      <c r="H4552">
        <v>11.39</v>
      </c>
      <c r="I4552" t="s">
        <v>15</v>
      </c>
      <c r="J4552" t="s">
        <v>15</v>
      </c>
      <c r="K4552">
        <v>2.0499999999999998</v>
      </c>
      <c r="L4552">
        <v>0</v>
      </c>
    </row>
    <row r="4553" spans="1:12" x14ac:dyDescent="0.3">
      <c r="A4553" t="s">
        <v>4569</v>
      </c>
      <c r="B4553" t="s">
        <v>21</v>
      </c>
      <c r="C4553">
        <v>299</v>
      </c>
      <c r="D4553">
        <v>0</v>
      </c>
      <c r="E4553">
        <v>0</v>
      </c>
      <c r="F4553">
        <f>COUNTIFS(mdr_rate_cleaned!$A$2:$A$10,B4553,mdr_rate_cleaned!$B$2:$B$10,"&lt;"&amp;C4553,mdr_rate_cleaned!$F$2:$F$10,"&gt;="&amp;C4553)</f>
        <v>1</v>
      </c>
      <c r="G4553">
        <v>0</v>
      </c>
      <c r="H4553">
        <v>0</v>
      </c>
      <c r="I4553" t="s">
        <v>15</v>
      </c>
      <c r="J4553" t="s">
        <v>15</v>
      </c>
      <c r="K4553">
        <v>0</v>
      </c>
      <c r="L4553">
        <v>0</v>
      </c>
    </row>
    <row r="4554" spans="1:12" x14ac:dyDescent="0.3">
      <c r="A4554" t="s">
        <v>4570</v>
      </c>
      <c r="B4554" t="s">
        <v>13</v>
      </c>
      <c r="C4554">
        <v>4498</v>
      </c>
      <c r="D4554">
        <v>76.47</v>
      </c>
      <c r="E4554">
        <v>13.76</v>
      </c>
      <c r="F4554">
        <f>COUNTIFS(mdr_rate_cleaned!$A$2:$A$10,B4554,mdr_rate_cleaned!$B$2:$B$10,"&lt;"&amp;C4554,mdr_rate_cleaned!$F$2:$F$10,"&gt;="&amp;C4554)</f>
        <v>1</v>
      </c>
      <c r="G4554">
        <v>1.7000000000000001E-2</v>
      </c>
      <c r="H4554">
        <v>76.47</v>
      </c>
      <c r="I4554" t="s">
        <v>15</v>
      </c>
      <c r="J4554" t="s">
        <v>15</v>
      </c>
      <c r="K4554">
        <v>13.76</v>
      </c>
      <c r="L4554">
        <v>0</v>
      </c>
    </row>
    <row r="4555" spans="1:12" x14ac:dyDescent="0.3">
      <c r="A4555" t="s">
        <v>4571</v>
      </c>
      <c r="B4555" t="s">
        <v>21</v>
      </c>
      <c r="C4555">
        <v>1799</v>
      </c>
      <c r="D4555">
        <v>0</v>
      </c>
      <c r="E4555">
        <v>0</v>
      </c>
      <c r="F4555">
        <f>COUNTIFS(mdr_rate_cleaned!$A$2:$A$10,B4555,mdr_rate_cleaned!$B$2:$B$10,"&lt;"&amp;C4555,mdr_rate_cleaned!$F$2:$F$10,"&gt;="&amp;C4555)</f>
        <v>1</v>
      </c>
      <c r="G4555">
        <v>0</v>
      </c>
      <c r="H4555">
        <v>0</v>
      </c>
      <c r="I4555" t="s">
        <v>15</v>
      </c>
      <c r="J4555" t="s">
        <v>15</v>
      </c>
      <c r="K4555">
        <v>0</v>
      </c>
      <c r="L4555">
        <v>0</v>
      </c>
    </row>
    <row r="4556" spans="1:12" x14ac:dyDescent="0.3">
      <c r="A4556" t="s">
        <v>4572</v>
      </c>
      <c r="B4556" t="s">
        <v>13</v>
      </c>
      <c r="C4556">
        <v>12497</v>
      </c>
      <c r="D4556">
        <v>212.45</v>
      </c>
      <c r="E4556">
        <v>38.24</v>
      </c>
      <c r="F4556">
        <f>COUNTIFS(mdr_rate_cleaned!$A$2:$A$10,B4556,mdr_rate_cleaned!$B$2:$B$10,"&lt;"&amp;C4556,mdr_rate_cleaned!$F$2:$F$10,"&gt;="&amp;C4556)</f>
        <v>1</v>
      </c>
      <c r="G4556">
        <v>1.7000000000000001E-2</v>
      </c>
      <c r="H4556">
        <v>212.45</v>
      </c>
      <c r="I4556" t="s">
        <v>15</v>
      </c>
      <c r="J4556" t="s">
        <v>15</v>
      </c>
      <c r="K4556">
        <v>38.24</v>
      </c>
      <c r="L4556">
        <v>0</v>
      </c>
    </row>
    <row r="4557" spans="1:12" x14ac:dyDescent="0.3">
      <c r="A4557" t="s">
        <v>4573</v>
      </c>
      <c r="B4557" t="s">
        <v>21</v>
      </c>
      <c r="C4557">
        <v>8598</v>
      </c>
      <c r="D4557">
        <v>25.79</v>
      </c>
      <c r="E4557">
        <v>4.6399999999999997</v>
      </c>
      <c r="F4557">
        <f>COUNTIFS(mdr_rate_cleaned!$A$2:$A$10,B4557,mdr_rate_cleaned!$B$2:$B$10,"&lt;"&amp;C4557,mdr_rate_cleaned!$F$2:$F$10,"&gt;="&amp;C4557)</f>
        <v>1</v>
      </c>
      <c r="G4557">
        <v>3.0000000000000001E-3</v>
      </c>
      <c r="H4557">
        <v>25.79</v>
      </c>
      <c r="I4557" t="s">
        <v>15</v>
      </c>
      <c r="J4557" t="s">
        <v>15</v>
      </c>
      <c r="K4557">
        <v>4.6399999999999997</v>
      </c>
      <c r="L4557">
        <v>0</v>
      </c>
    </row>
    <row r="4558" spans="1:12" x14ac:dyDescent="0.3">
      <c r="A4558" t="s">
        <v>4574</v>
      </c>
      <c r="B4558" t="s">
        <v>17</v>
      </c>
      <c r="C4558">
        <v>799</v>
      </c>
      <c r="D4558">
        <v>14.38</v>
      </c>
      <c r="E4558">
        <v>2.59</v>
      </c>
      <c r="F4558">
        <f>COUNTIFS(mdr_rate_cleaned!$A$2:$A$10,B4558,mdr_rate_cleaned!$B$2:$B$10,"&lt;"&amp;C4558,mdr_rate_cleaned!$F$2:$F$10,"&gt;="&amp;C4558)</f>
        <v>1</v>
      </c>
      <c r="G4558">
        <v>1.7999999999999999E-2</v>
      </c>
      <c r="H4558">
        <v>14.38</v>
      </c>
      <c r="I4558" t="s">
        <v>15</v>
      </c>
      <c r="J4558" t="s">
        <v>15</v>
      </c>
      <c r="K4558">
        <v>2.59</v>
      </c>
      <c r="L4558">
        <v>0</v>
      </c>
    </row>
    <row r="4559" spans="1:12" x14ac:dyDescent="0.3">
      <c r="A4559" t="s">
        <v>4575</v>
      </c>
      <c r="B4559" t="s">
        <v>21</v>
      </c>
      <c r="C4559">
        <v>3998</v>
      </c>
      <c r="D4559">
        <v>11.99</v>
      </c>
      <c r="E4559">
        <v>2.16</v>
      </c>
      <c r="F4559">
        <f>COUNTIFS(mdr_rate_cleaned!$A$2:$A$10,B4559,mdr_rate_cleaned!$B$2:$B$10,"&lt;"&amp;C4559,mdr_rate_cleaned!$F$2:$F$10,"&gt;="&amp;C4559)</f>
        <v>1</v>
      </c>
      <c r="G4559">
        <v>3.0000000000000001E-3</v>
      </c>
      <c r="H4559">
        <v>11.99</v>
      </c>
      <c r="I4559" t="s">
        <v>15</v>
      </c>
      <c r="J4559" t="s">
        <v>15</v>
      </c>
      <c r="K4559">
        <v>2.16</v>
      </c>
      <c r="L4559">
        <v>0</v>
      </c>
    </row>
    <row r="4560" spans="1:12" x14ac:dyDescent="0.3">
      <c r="A4560" t="s">
        <v>4576</v>
      </c>
      <c r="B4560" t="s">
        <v>17</v>
      </c>
      <c r="C4560">
        <v>1499</v>
      </c>
      <c r="D4560">
        <v>26.98</v>
      </c>
      <c r="E4560">
        <v>4.8600000000000003</v>
      </c>
      <c r="F4560">
        <f>COUNTIFS(mdr_rate_cleaned!$A$2:$A$10,B4560,mdr_rate_cleaned!$B$2:$B$10,"&lt;"&amp;C4560,mdr_rate_cleaned!$F$2:$F$10,"&gt;="&amp;C4560)</f>
        <v>1</v>
      </c>
      <c r="G4560">
        <v>1.7999999999999999E-2</v>
      </c>
      <c r="H4560">
        <v>26.98</v>
      </c>
      <c r="I4560" t="s">
        <v>15</v>
      </c>
      <c r="J4560" t="s">
        <v>15</v>
      </c>
      <c r="K4560">
        <v>4.8600000000000003</v>
      </c>
      <c r="L4560">
        <v>0</v>
      </c>
    </row>
    <row r="4561" spans="1:12" x14ac:dyDescent="0.3">
      <c r="A4561" t="s">
        <v>4577</v>
      </c>
      <c r="B4561" t="s">
        <v>21</v>
      </c>
      <c r="C4561">
        <v>599</v>
      </c>
      <c r="D4561">
        <v>0</v>
      </c>
      <c r="E4561">
        <v>0</v>
      </c>
      <c r="F4561">
        <f>COUNTIFS(mdr_rate_cleaned!$A$2:$A$10,B4561,mdr_rate_cleaned!$B$2:$B$10,"&lt;"&amp;C4561,mdr_rate_cleaned!$F$2:$F$10,"&gt;="&amp;C4561)</f>
        <v>1</v>
      </c>
      <c r="G4561">
        <v>0</v>
      </c>
      <c r="H4561">
        <v>0</v>
      </c>
      <c r="I4561" t="s">
        <v>15</v>
      </c>
      <c r="J4561" t="s">
        <v>15</v>
      </c>
      <c r="K4561">
        <v>0</v>
      </c>
      <c r="L4561">
        <v>0</v>
      </c>
    </row>
    <row r="4562" spans="1:12" x14ac:dyDescent="0.3">
      <c r="A4562" t="s">
        <v>4578</v>
      </c>
      <c r="B4562" t="s">
        <v>39</v>
      </c>
      <c r="C4562">
        <v>1799</v>
      </c>
      <c r="D4562">
        <v>26.99</v>
      </c>
      <c r="E4562">
        <v>4.8600000000000003</v>
      </c>
      <c r="F4562">
        <f>COUNTIFS(mdr_rate_cleaned!$A$2:$A$10,B4562,mdr_rate_cleaned!$B$2:$B$10,"&lt;"&amp;C4562,mdr_rate_cleaned!$F$2:$F$10,"&gt;="&amp;C4562)</f>
        <v>1</v>
      </c>
      <c r="G4562">
        <v>1.4999999999999999E-2</v>
      </c>
      <c r="H4562">
        <v>26.99</v>
      </c>
      <c r="I4562" t="s">
        <v>15</v>
      </c>
      <c r="J4562" t="s">
        <v>15</v>
      </c>
      <c r="K4562">
        <v>4.8600000000000003</v>
      </c>
      <c r="L4562">
        <v>0</v>
      </c>
    </row>
    <row r="4563" spans="1:12" x14ac:dyDescent="0.3">
      <c r="A4563" t="s">
        <v>4579</v>
      </c>
      <c r="B4563" t="s">
        <v>21</v>
      </c>
      <c r="C4563">
        <v>2998</v>
      </c>
      <c r="D4563">
        <v>8.99</v>
      </c>
      <c r="E4563">
        <v>1.62</v>
      </c>
      <c r="F4563">
        <f>COUNTIFS(mdr_rate_cleaned!$A$2:$A$10,B4563,mdr_rate_cleaned!$B$2:$B$10,"&lt;"&amp;C4563,mdr_rate_cleaned!$F$2:$F$10,"&gt;="&amp;C4563)</f>
        <v>1</v>
      </c>
      <c r="G4563">
        <v>3.0000000000000001E-3</v>
      </c>
      <c r="H4563">
        <v>8.99</v>
      </c>
      <c r="I4563" t="s">
        <v>15</v>
      </c>
      <c r="J4563" t="s">
        <v>15</v>
      </c>
      <c r="K4563">
        <v>1.62</v>
      </c>
      <c r="L4563">
        <v>0</v>
      </c>
    </row>
    <row r="4564" spans="1:12" x14ac:dyDescent="0.3">
      <c r="A4564" t="s">
        <v>4580</v>
      </c>
      <c r="B4564" t="s">
        <v>13</v>
      </c>
      <c r="C4564">
        <v>3499</v>
      </c>
      <c r="D4564">
        <v>59.48</v>
      </c>
      <c r="E4564">
        <v>10.71</v>
      </c>
      <c r="F4564">
        <f>COUNTIFS(mdr_rate_cleaned!$A$2:$A$10,B4564,mdr_rate_cleaned!$B$2:$B$10,"&lt;"&amp;C4564,mdr_rate_cleaned!$F$2:$F$10,"&gt;="&amp;C4564)</f>
        <v>1</v>
      </c>
      <c r="G4564">
        <v>1.7000000000000001E-2</v>
      </c>
      <c r="H4564">
        <v>59.48</v>
      </c>
      <c r="I4564" t="s">
        <v>15</v>
      </c>
      <c r="J4564" t="s">
        <v>15</v>
      </c>
      <c r="K4564">
        <v>10.71</v>
      </c>
      <c r="L4564">
        <v>0</v>
      </c>
    </row>
    <row r="4565" spans="1:12" x14ac:dyDescent="0.3">
      <c r="A4565" t="s">
        <v>4581</v>
      </c>
      <c r="B4565" t="s">
        <v>21</v>
      </c>
      <c r="C4565">
        <v>3347</v>
      </c>
      <c r="D4565">
        <v>10.039999999999999</v>
      </c>
      <c r="E4565">
        <v>1.81</v>
      </c>
      <c r="F4565">
        <f>COUNTIFS(mdr_rate_cleaned!$A$2:$A$10,B4565,mdr_rate_cleaned!$B$2:$B$10,"&lt;"&amp;C4565,mdr_rate_cleaned!$F$2:$F$10,"&gt;="&amp;C4565)</f>
        <v>1</v>
      </c>
      <c r="G4565">
        <v>3.0000000000000001E-3</v>
      </c>
      <c r="H4565">
        <v>10.039999999999999</v>
      </c>
      <c r="I4565" t="s">
        <v>15</v>
      </c>
      <c r="J4565" t="s">
        <v>15</v>
      </c>
      <c r="K4565">
        <v>1.81</v>
      </c>
      <c r="L4565">
        <v>0</v>
      </c>
    </row>
    <row r="4566" spans="1:12" x14ac:dyDescent="0.3">
      <c r="A4566" t="s">
        <v>4582</v>
      </c>
      <c r="B4566" t="s">
        <v>21</v>
      </c>
      <c r="C4566">
        <v>1348</v>
      </c>
      <c r="D4566">
        <v>0</v>
      </c>
      <c r="E4566">
        <v>0</v>
      </c>
      <c r="F4566">
        <f>COUNTIFS(mdr_rate_cleaned!$A$2:$A$10,B4566,mdr_rate_cleaned!$B$2:$B$10,"&lt;"&amp;C4566,mdr_rate_cleaned!$F$2:$F$10,"&gt;="&amp;C4566)</f>
        <v>1</v>
      </c>
      <c r="G4566">
        <v>0</v>
      </c>
      <c r="H4566">
        <v>0</v>
      </c>
      <c r="I4566" t="s">
        <v>15</v>
      </c>
      <c r="J4566" t="s">
        <v>15</v>
      </c>
      <c r="K4566">
        <v>0</v>
      </c>
      <c r="L4566">
        <v>0</v>
      </c>
    </row>
    <row r="4567" spans="1:12" x14ac:dyDescent="0.3">
      <c r="A4567" t="s">
        <v>4583</v>
      </c>
      <c r="B4567" t="s">
        <v>21</v>
      </c>
      <c r="C4567">
        <v>499</v>
      </c>
      <c r="D4567">
        <v>0</v>
      </c>
      <c r="E4567">
        <v>0</v>
      </c>
      <c r="F4567">
        <f>COUNTIFS(mdr_rate_cleaned!$A$2:$A$10,B4567,mdr_rate_cleaned!$B$2:$B$10,"&lt;"&amp;C4567,mdr_rate_cleaned!$F$2:$F$10,"&gt;="&amp;C4567)</f>
        <v>1</v>
      </c>
      <c r="G4567">
        <v>0</v>
      </c>
      <c r="H4567">
        <v>0</v>
      </c>
      <c r="I4567" t="s">
        <v>15</v>
      </c>
      <c r="J4567" t="s">
        <v>15</v>
      </c>
      <c r="K4567">
        <v>0</v>
      </c>
      <c r="L4567">
        <v>0</v>
      </c>
    </row>
    <row r="4568" spans="1:12" x14ac:dyDescent="0.3">
      <c r="A4568" t="s">
        <v>4584</v>
      </c>
      <c r="B4568" t="s">
        <v>39</v>
      </c>
      <c r="C4568">
        <v>349</v>
      </c>
      <c r="D4568">
        <v>5.24</v>
      </c>
      <c r="E4568">
        <v>0.94</v>
      </c>
      <c r="F4568">
        <f>COUNTIFS(mdr_rate_cleaned!$A$2:$A$10,B4568,mdr_rate_cleaned!$B$2:$B$10,"&lt;"&amp;C4568,mdr_rate_cleaned!$F$2:$F$10,"&gt;="&amp;C4568)</f>
        <v>1</v>
      </c>
      <c r="G4568">
        <v>1.4999999999999999E-2</v>
      </c>
      <c r="H4568">
        <v>5.24</v>
      </c>
      <c r="I4568" t="s">
        <v>15</v>
      </c>
      <c r="J4568" t="s">
        <v>15</v>
      </c>
      <c r="K4568">
        <v>0.94</v>
      </c>
      <c r="L4568">
        <v>0</v>
      </c>
    </row>
    <row r="4569" spans="1:12" x14ac:dyDescent="0.3">
      <c r="A4569" t="s">
        <v>4585</v>
      </c>
      <c r="B4569" t="s">
        <v>21</v>
      </c>
      <c r="C4569">
        <v>5498</v>
      </c>
      <c r="D4569">
        <v>16.489999999999998</v>
      </c>
      <c r="E4569">
        <v>2.97</v>
      </c>
      <c r="F4569">
        <f>COUNTIFS(mdr_rate_cleaned!$A$2:$A$10,B4569,mdr_rate_cleaned!$B$2:$B$10,"&lt;"&amp;C4569,mdr_rate_cleaned!$F$2:$F$10,"&gt;="&amp;C4569)</f>
        <v>1</v>
      </c>
      <c r="G4569">
        <v>3.0000000000000001E-3</v>
      </c>
      <c r="H4569">
        <v>16.489999999999998</v>
      </c>
      <c r="I4569" t="s">
        <v>15</v>
      </c>
      <c r="J4569" t="s">
        <v>15</v>
      </c>
      <c r="K4569">
        <v>2.97</v>
      </c>
      <c r="L4569">
        <v>0</v>
      </c>
    </row>
    <row r="4570" spans="1:12" x14ac:dyDescent="0.3">
      <c r="A4570" t="s">
        <v>4586</v>
      </c>
      <c r="B4570" t="s">
        <v>17</v>
      </c>
      <c r="C4570">
        <v>9298</v>
      </c>
      <c r="D4570">
        <v>148.77000000000001</v>
      </c>
      <c r="E4570">
        <v>26.78</v>
      </c>
      <c r="F4570">
        <f>COUNTIFS(mdr_rate_cleaned!$A$2:$A$10,B4570,mdr_rate_cleaned!$B$2:$B$10,"&lt;"&amp;C4570,mdr_rate_cleaned!$F$2:$F$10,"&gt;="&amp;C4570)</f>
        <v>1</v>
      </c>
      <c r="G4570">
        <v>1.6E-2</v>
      </c>
      <c r="H4570">
        <v>148.77000000000001</v>
      </c>
      <c r="I4570" t="s">
        <v>15</v>
      </c>
      <c r="J4570" t="s">
        <v>15</v>
      </c>
      <c r="K4570">
        <v>26.78</v>
      </c>
      <c r="L4570">
        <v>0</v>
      </c>
    </row>
    <row r="4571" spans="1:12" x14ac:dyDescent="0.3">
      <c r="A4571" t="s">
        <v>4587</v>
      </c>
      <c r="B4571" t="s">
        <v>17</v>
      </c>
      <c r="C4571">
        <v>1299</v>
      </c>
      <c r="D4571">
        <v>23.38</v>
      </c>
      <c r="E4571">
        <v>4.21</v>
      </c>
      <c r="F4571">
        <f>COUNTIFS(mdr_rate_cleaned!$A$2:$A$10,B4571,mdr_rate_cleaned!$B$2:$B$10,"&lt;"&amp;C4571,mdr_rate_cleaned!$F$2:$F$10,"&gt;="&amp;C4571)</f>
        <v>1</v>
      </c>
      <c r="G4571">
        <v>1.7999999999999999E-2</v>
      </c>
      <c r="H4571">
        <v>23.38</v>
      </c>
      <c r="I4571" t="s">
        <v>15</v>
      </c>
      <c r="J4571" t="s">
        <v>15</v>
      </c>
      <c r="K4571">
        <v>4.21</v>
      </c>
      <c r="L4571">
        <v>0</v>
      </c>
    </row>
    <row r="4572" spans="1:12" x14ac:dyDescent="0.3">
      <c r="A4572" t="s">
        <v>4588</v>
      </c>
      <c r="B4572" t="s">
        <v>21</v>
      </c>
      <c r="C4572">
        <v>16497</v>
      </c>
      <c r="D4572">
        <v>49.49</v>
      </c>
      <c r="E4572">
        <v>8.91</v>
      </c>
      <c r="F4572">
        <f>COUNTIFS(mdr_rate_cleaned!$A$2:$A$10,B4572,mdr_rate_cleaned!$B$2:$B$10,"&lt;"&amp;C4572,mdr_rate_cleaned!$F$2:$F$10,"&gt;="&amp;C4572)</f>
        <v>1</v>
      </c>
      <c r="G4572">
        <v>3.0000000000000001E-3</v>
      </c>
      <c r="H4572">
        <v>49.49</v>
      </c>
      <c r="I4572" t="s">
        <v>15</v>
      </c>
      <c r="J4572" t="s">
        <v>15</v>
      </c>
      <c r="K4572">
        <v>8.91</v>
      </c>
      <c r="L4572">
        <v>0</v>
      </c>
    </row>
    <row r="4573" spans="1:12" x14ac:dyDescent="0.3">
      <c r="A4573" t="s">
        <v>4589</v>
      </c>
      <c r="B4573" t="s">
        <v>21</v>
      </c>
      <c r="C4573">
        <v>1098</v>
      </c>
      <c r="D4573">
        <v>0</v>
      </c>
      <c r="E4573">
        <v>0</v>
      </c>
      <c r="F4573">
        <f>COUNTIFS(mdr_rate_cleaned!$A$2:$A$10,B4573,mdr_rate_cleaned!$B$2:$B$10,"&lt;"&amp;C4573,mdr_rate_cleaned!$F$2:$F$10,"&gt;="&amp;C4573)</f>
        <v>1</v>
      </c>
      <c r="G4573">
        <v>0</v>
      </c>
      <c r="H4573">
        <v>0</v>
      </c>
      <c r="I4573" t="s">
        <v>15</v>
      </c>
      <c r="J4573" t="s">
        <v>15</v>
      </c>
      <c r="K4573">
        <v>0</v>
      </c>
      <c r="L4573">
        <v>0</v>
      </c>
    </row>
    <row r="4574" spans="1:12" x14ac:dyDescent="0.3">
      <c r="A4574" t="s">
        <v>4590</v>
      </c>
      <c r="B4574" t="s">
        <v>13</v>
      </c>
      <c r="C4574">
        <v>1799</v>
      </c>
      <c r="D4574">
        <v>34.18</v>
      </c>
      <c r="E4574">
        <v>6.15</v>
      </c>
      <c r="F4574">
        <f>COUNTIFS(mdr_rate_cleaned!$A$2:$A$10,B4574,mdr_rate_cleaned!$B$2:$B$10,"&lt;"&amp;C4574,mdr_rate_cleaned!$F$2:$F$10,"&gt;="&amp;C4574)</f>
        <v>1</v>
      </c>
      <c r="G4574">
        <v>1.9E-2</v>
      </c>
      <c r="H4574">
        <v>34.18</v>
      </c>
      <c r="I4574" t="s">
        <v>15</v>
      </c>
      <c r="J4574" t="s">
        <v>15</v>
      </c>
      <c r="K4574">
        <v>6.15</v>
      </c>
      <c r="L4574">
        <v>0</v>
      </c>
    </row>
    <row r="4575" spans="1:12" x14ac:dyDescent="0.3">
      <c r="A4575" t="s">
        <v>4591</v>
      </c>
      <c r="B4575" t="s">
        <v>21</v>
      </c>
      <c r="C4575">
        <v>8498</v>
      </c>
      <c r="D4575">
        <v>25.49</v>
      </c>
      <c r="E4575">
        <v>4.59</v>
      </c>
      <c r="F4575">
        <f>COUNTIFS(mdr_rate_cleaned!$A$2:$A$10,B4575,mdr_rate_cleaned!$B$2:$B$10,"&lt;"&amp;C4575,mdr_rate_cleaned!$F$2:$F$10,"&gt;="&amp;C4575)</f>
        <v>1</v>
      </c>
      <c r="G4575">
        <v>3.0000000000000001E-3</v>
      </c>
      <c r="H4575">
        <v>25.49</v>
      </c>
      <c r="I4575" t="s">
        <v>15</v>
      </c>
      <c r="J4575" t="s">
        <v>15</v>
      </c>
      <c r="K4575">
        <v>4.59</v>
      </c>
      <c r="L4575">
        <v>0</v>
      </c>
    </row>
    <row r="4576" spans="1:12" x14ac:dyDescent="0.3">
      <c r="A4576" t="s">
        <v>4592</v>
      </c>
      <c r="B4576" t="s">
        <v>21</v>
      </c>
      <c r="C4576">
        <v>11997</v>
      </c>
      <c r="D4576">
        <v>35.99</v>
      </c>
      <c r="E4576">
        <v>6.48</v>
      </c>
      <c r="F4576">
        <f>COUNTIFS(mdr_rate_cleaned!$A$2:$A$10,B4576,mdr_rate_cleaned!$B$2:$B$10,"&lt;"&amp;C4576,mdr_rate_cleaned!$F$2:$F$10,"&gt;="&amp;C4576)</f>
        <v>1</v>
      </c>
      <c r="G4576">
        <v>3.0000000000000001E-3</v>
      </c>
      <c r="H4576">
        <v>35.99</v>
      </c>
      <c r="I4576" t="s">
        <v>15</v>
      </c>
      <c r="J4576" t="s">
        <v>15</v>
      </c>
      <c r="K4576">
        <v>6.48</v>
      </c>
      <c r="L4576">
        <v>0</v>
      </c>
    </row>
    <row r="4577" spans="1:12" x14ac:dyDescent="0.3">
      <c r="A4577" t="s">
        <v>4593</v>
      </c>
      <c r="B4577" t="s">
        <v>13</v>
      </c>
      <c r="C4577">
        <v>1799</v>
      </c>
      <c r="D4577">
        <v>34.18</v>
      </c>
      <c r="E4577">
        <v>6.15</v>
      </c>
      <c r="F4577">
        <f>COUNTIFS(mdr_rate_cleaned!$A$2:$A$10,B4577,mdr_rate_cleaned!$B$2:$B$10,"&lt;"&amp;C4577,mdr_rate_cleaned!$F$2:$F$10,"&gt;="&amp;C4577)</f>
        <v>1</v>
      </c>
      <c r="G4577">
        <v>1.9E-2</v>
      </c>
      <c r="H4577">
        <v>34.18</v>
      </c>
      <c r="I4577" t="s">
        <v>15</v>
      </c>
      <c r="J4577" t="s">
        <v>15</v>
      </c>
      <c r="K4577">
        <v>6.15</v>
      </c>
      <c r="L4577">
        <v>0</v>
      </c>
    </row>
    <row r="4578" spans="1:12" x14ac:dyDescent="0.3">
      <c r="A4578" t="s">
        <v>4594</v>
      </c>
      <c r="B4578" t="s">
        <v>17</v>
      </c>
      <c r="C4578">
        <v>13597</v>
      </c>
      <c r="D4578">
        <v>217.55</v>
      </c>
      <c r="E4578">
        <v>39.159999999999997</v>
      </c>
      <c r="F4578">
        <f>COUNTIFS(mdr_rate_cleaned!$A$2:$A$10,B4578,mdr_rate_cleaned!$B$2:$B$10,"&lt;"&amp;C4578,mdr_rate_cleaned!$F$2:$F$10,"&gt;="&amp;C4578)</f>
        <v>1</v>
      </c>
      <c r="G4578">
        <v>1.6E-2</v>
      </c>
      <c r="H4578">
        <v>217.55</v>
      </c>
      <c r="I4578" t="s">
        <v>15</v>
      </c>
      <c r="J4578" t="s">
        <v>15</v>
      </c>
      <c r="K4578">
        <v>39.159999999999997</v>
      </c>
      <c r="L4578">
        <v>0</v>
      </c>
    </row>
    <row r="4579" spans="1:12" x14ac:dyDescent="0.3">
      <c r="A4579" t="s">
        <v>4595</v>
      </c>
      <c r="B4579" t="s">
        <v>13</v>
      </c>
      <c r="C4579">
        <v>8797</v>
      </c>
      <c r="D4579">
        <v>149.55000000000001</v>
      </c>
      <c r="E4579">
        <v>26.92</v>
      </c>
      <c r="F4579">
        <f>COUNTIFS(mdr_rate_cleaned!$A$2:$A$10,B4579,mdr_rate_cleaned!$B$2:$B$10,"&lt;"&amp;C4579,mdr_rate_cleaned!$F$2:$F$10,"&gt;="&amp;C4579)</f>
        <v>1</v>
      </c>
      <c r="G4579">
        <v>1.7000000000000001E-2</v>
      </c>
      <c r="H4579">
        <v>149.55000000000001</v>
      </c>
      <c r="I4579" t="s">
        <v>15</v>
      </c>
      <c r="J4579" t="s">
        <v>15</v>
      </c>
      <c r="K4579">
        <v>26.92</v>
      </c>
      <c r="L4579">
        <v>0</v>
      </c>
    </row>
    <row r="4580" spans="1:12" x14ac:dyDescent="0.3">
      <c r="A4580" t="s">
        <v>4596</v>
      </c>
      <c r="B4580" t="s">
        <v>13</v>
      </c>
      <c r="C4580">
        <v>2098</v>
      </c>
      <c r="D4580">
        <v>50.35</v>
      </c>
      <c r="E4580">
        <v>9.06</v>
      </c>
      <c r="F4580">
        <f>COUNTIFS(mdr_rate_cleaned!$A$2:$A$10,B4580,mdr_rate_cleaned!$B$2:$B$10,"&lt;"&amp;C4580,mdr_rate_cleaned!$F$2:$F$10,"&gt;="&amp;C4580)</f>
        <v>1</v>
      </c>
      <c r="G4580">
        <v>1.7000000000000001E-2</v>
      </c>
      <c r="H4580">
        <v>35.67</v>
      </c>
      <c r="I4580" t="s">
        <v>14</v>
      </c>
      <c r="J4580" t="s">
        <v>15</v>
      </c>
      <c r="K4580">
        <v>6.42</v>
      </c>
      <c r="L4580">
        <v>17.32</v>
      </c>
    </row>
    <row r="4581" spans="1:12" x14ac:dyDescent="0.3">
      <c r="A4581" t="s">
        <v>4597</v>
      </c>
      <c r="B4581" t="s">
        <v>17</v>
      </c>
      <c r="C4581">
        <v>6997</v>
      </c>
      <c r="D4581">
        <v>111.95</v>
      </c>
      <c r="E4581">
        <v>20.149999999999999</v>
      </c>
      <c r="F4581">
        <f>COUNTIFS(mdr_rate_cleaned!$A$2:$A$10,B4581,mdr_rate_cleaned!$B$2:$B$10,"&lt;"&amp;C4581,mdr_rate_cleaned!$F$2:$F$10,"&gt;="&amp;C4581)</f>
        <v>1</v>
      </c>
      <c r="G4581">
        <v>1.6E-2</v>
      </c>
      <c r="H4581">
        <v>111.95</v>
      </c>
      <c r="I4581" t="s">
        <v>15</v>
      </c>
      <c r="J4581" t="s">
        <v>15</v>
      </c>
      <c r="K4581">
        <v>20.149999999999999</v>
      </c>
      <c r="L4581">
        <v>0</v>
      </c>
    </row>
    <row r="4582" spans="1:12" x14ac:dyDescent="0.3">
      <c r="A4582" t="s">
        <v>4598</v>
      </c>
      <c r="B4582" t="s">
        <v>17</v>
      </c>
      <c r="C4582">
        <v>2297</v>
      </c>
      <c r="D4582">
        <v>36.75</v>
      </c>
      <c r="E4582">
        <v>6.62</v>
      </c>
      <c r="F4582">
        <f>COUNTIFS(mdr_rate_cleaned!$A$2:$A$10,B4582,mdr_rate_cleaned!$B$2:$B$10,"&lt;"&amp;C4582,mdr_rate_cleaned!$F$2:$F$10,"&gt;="&amp;C4582)</f>
        <v>1</v>
      </c>
      <c r="G4582">
        <v>1.6E-2</v>
      </c>
      <c r="H4582">
        <v>36.75</v>
      </c>
      <c r="I4582" t="s">
        <v>15</v>
      </c>
      <c r="J4582" t="s">
        <v>15</v>
      </c>
      <c r="K4582">
        <v>6.62</v>
      </c>
      <c r="L4582">
        <v>0</v>
      </c>
    </row>
    <row r="4583" spans="1:12" x14ac:dyDescent="0.3">
      <c r="A4583" t="s">
        <v>4599</v>
      </c>
      <c r="B4583" t="s">
        <v>21</v>
      </c>
      <c r="C4583">
        <v>3499</v>
      </c>
      <c r="D4583">
        <v>10.5</v>
      </c>
      <c r="E4583">
        <v>1.89</v>
      </c>
      <c r="F4583">
        <f>COUNTIFS(mdr_rate_cleaned!$A$2:$A$10,B4583,mdr_rate_cleaned!$B$2:$B$10,"&lt;"&amp;C4583,mdr_rate_cleaned!$F$2:$F$10,"&gt;="&amp;C4583)</f>
        <v>1</v>
      </c>
      <c r="G4583">
        <v>3.0000000000000001E-3</v>
      </c>
      <c r="H4583">
        <v>10.5</v>
      </c>
      <c r="I4583" t="s">
        <v>15</v>
      </c>
      <c r="J4583" t="s">
        <v>15</v>
      </c>
      <c r="K4583">
        <v>1.89</v>
      </c>
      <c r="L4583">
        <v>0</v>
      </c>
    </row>
    <row r="4584" spans="1:12" x14ac:dyDescent="0.3">
      <c r="A4584" t="s">
        <v>4600</v>
      </c>
      <c r="B4584" t="s">
        <v>13</v>
      </c>
      <c r="C4584">
        <v>5497</v>
      </c>
      <c r="D4584">
        <v>93.45</v>
      </c>
      <c r="E4584">
        <v>16.82</v>
      </c>
      <c r="F4584">
        <f>COUNTIFS(mdr_rate_cleaned!$A$2:$A$10,B4584,mdr_rate_cleaned!$B$2:$B$10,"&lt;"&amp;C4584,mdr_rate_cleaned!$F$2:$F$10,"&gt;="&amp;C4584)</f>
        <v>1</v>
      </c>
      <c r="G4584">
        <v>1.7000000000000001E-2</v>
      </c>
      <c r="H4584">
        <v>93.45</v>
      </c>
      <c r="I4584" t="s">
        <v>15</v>
      </c>
      <c r="J4584" t="s">
        <v>15</v>
      </c>
      <c r="K4584">
        <v>16.82</v>
      </c>
      <c r="L4584">
        <v>0</v>
      </c>
    </row>
    <row r="4585" spans="1:12" x14ac:dyDescent="0.3">
      <c r="A4585" t="s">
        <v>4601</v>
      </c>
      <c r="B4585" t="s">
        <v>17</v>
      </c>
      <c r="C4585">
        <v>1499</v>
      </c>
      <c r="D4585">
        <v>26.98</v>
      </c>
      <c r="E4585">
        <v>4.8600000000000003</v>
      </c>
      <c r="F4585">
        <f>COUNTIFS(mdr_rate_cleaned!$A$2:$A$10,B4585,mdr_rate_cleaned!$B$2:$B$10,"&lt;"&amp;C4585,mdr_rate_cleaned!$F$2:$F$10,"&gt;="&amp;C4585)</f>
        <v>1</v>
      </c>
      <c r="G4585">
        <v>1.7999999999999999E-2</v>
      </c>
      <c r="H4585">
        <v>26.98</v>
      </c>
      <c r="I4585" t="s">
        <v>15</v>
      </c>
      <c r="J4585" t="s">
        <v>15</v>
      </c>
      <c r="K4585">
        <v>4.8600000000000003</v>
      </c>
      <c r="L4585">
        <v>0</v>
      </c>
    </row>
    <row r="4586" spans="1:12" x14ac:dyDescent="0.3">
      <c r="A4586" t="s">
        <v>4602</v>
      </c>
      <c r="B4586" t="s">
        <v>21</v>
      </c>
      <c r="C4586">
        <v>4498</v>
      </c>
      <c r="D4586">
        <v>13.49</v>
      </c>
      <c r="E4586">
        <v>2.4300000000000002</v>
      </c>
      <c r="F4586">
        <f>COUNTIFS(mdr_rate_cleaned!$A$2:$A$10,B4586,mdr_rate_cleaned!$B$2:$B$10,"&lt;"&amp;C4586,mdr_rate_cleaned!$F$2:$F$10,"&gt;="&amp;C4586)</f>
        <v>1</v>
      </c>
      <c r="G4586">
        <v>3.0000000000000001E-3</v>
      </c>
      <c r="H4586">
        <v>13.49</v>
      </c>
      <c r="I4586" t="s">
        <v>15</v>
      </c>
      <c r="J4586" t="s">
        <v>15</v>
      </c>
      <c r="K4586">
        <v>2.4300000000000002</v>
      </c>
      <c r="L4586">
        <v>0</v>
      </c>
    </row>
    <row r="4587" spans="1:12" x14ac:dyDescent="0.3">
      <c r="A4587" t="s">
        <v>4603</v>
      </c>
      <c r="B4587" t="s">
        <v>21</v>
      </c>
      <c r="C4587">
        <v>1598</v>
      </c>
      <c r="D4587">
        <v>0</v>
      </c>
      <c r="E4587">
        <v>0</v>
      </c>
      <c r="F4587">
        <f>COUNTIFS(mdr_rate_cleaned!$A$2:$A$10,B4587,mdr_rate_cleaned!$B$2:$B$10,"&lt;"&amp;C4587,mdr_rate_cleaned!$F$2:$F$10,"&gt;="&amp;C4587)</f>
        <v>1</v>
      </c>
      <c r="G4587">
        <v>0</v>
      </c>
      <c r="H4587">
        <v>0</v>
      </c>
      <c r="I4587" t="s">
        <v>15</v>
      </c>
      <c r="J4587" t="s">
        <v>15</v>
      </c>
      <c r="K4587">
        <v>0</v>
      </c>
      <c r="L4587">
        <v>0</v>
      </c>
    </row>
    <row r="4588" spans="1:12" x14ac:dyDescent="0.3">
      <c r="A4588" t="s">
        <v>4604</v>
      </c>
      <c r="B4588" t="s">
        <v>21</v>
      </c>
      <c r="C4588">
        <v>4597</v>
      </c>
      <c r="D4588">
        <v>13.79</v>
      </c>
      <c r="E4588">
        <v>2.48</v>
      </c>
      <c r="F4588">
        <f>COUNTIFS(mdr_rate_cleaned!$A$2:$A$10,B4588,mdr_rate_cleaned!$B$2:$B$10,"&lt;"&amp;C4588,mdr_rate_cleaned!$F$2:$F$10,"&gt;="&amp;C4588)</f>
        <v>1</v>
      </c>
      <c r="G4588">
        <v>3.0000000000000001E-3</v>
      </c>
      <c r="H4588">
        <v>13.79</v>
      </c>
      <c r="I4588" t="s">
        <v>15</v>
      </c>
      <c r="J4588" t="s">
        <v>15</v>
      </c>
      <c r="K4588">
        <v>2.48</v>
      </c>
      <c r="L4588">
        <v>0</v>
      </c>
    </row>
    <row r="4589" spans="1:12" x14ac:dyDescent="0.3">
      <c r="A4589" t="s">
        <v>4605</v>
      </c>
      <c r="B4589" t="s">
        <v>13</v>
      </c>
      <c r="C4589">
        <v>3097</v>
      </c>
      <c r="D4589">
        <v>52.65</v>
      </c>
      <c r="E4589">
        <v>9.48</v>
      </c>
      <c r="F4589">
        <f>COUNTIFS(mdr_rate_cleaned!$A$2:$A$10,B4589,mdr_rate_cleaned!$B$2:$B$10,"&lt;"&amp;C4589,mdr_rate_cleaned!$F$2:$F$10,"&gt;="&amp;C4589)</f>
        <v>1</v>
      </c>
      <c r="G4589">
        <v>1.7000000000000001E-2</v>
      </c>
      <c r="H4589">
        <v>52.65</v>
      </c>
      <c r="I4589" t="s">
        <v>15</v>
      </c>
      <c r="J4589" t="s">
        <v>15</v>
      </c>
      <c r="K4589">
        <v>9.48</v>
      </c>
      <c r="L4589">
        <v>0</v>
      </c>
    </row>
    <row r="4590" spans="1:12" x14ac:dyDescent="0.3">
      <c r="A4590" t="s">
        <v>4606</v>
      </c>
      <c r="B4590" t="s">
        <v>21</v>
      </c>
      <c r="C4590">
        <v>1499</v>
      </c>
      <c r="D4590">
        <v>0</v>
      </c>
      <c r="E4590">
        <v>0</v>
      </c>
      <c r="F4590">
        <f>COUNTIFS(mdr_rate_cleaned!$A$2:$A$10,B4590,mdr_rate_cleaned!$B$2:$B$10,"&lt;"&amp;C4590,mdr_rate_cleaned!$F$2:$F$10,"&gt;="&amp;C4590)</f>
        <v>1</v>
      </c>
      <c r="G4590">
        <v>0</v>
      </c>
      <c r="H4590">
        <v>0</v>
      </c>
      <c r="I4590" t="s">
        <v>15</v>
      </c>
      <c r="J4590" t="s">
        <v>15</v>
      </c>
      <c r="K4590">
        <v>0</v>
      </c>
      <c r="L4590">
        <v>0</v>
      </c>
    </row>
    <row r="4591" spans="1:12" x14ac:dyDescent="0.3">
      <c r="A4591" t="s">
        <v>4607</v>
      </c>
      <c r="B4591" t="s">
        <v>13</v>
      </c>
      <c r="C4591">
        <v>3597</v>
      </c>
      <c r="D4591">
        <v>61.15</v>
      </c>
      <c r="E4591">
        <v>11.01</v>
      </c>
      <c r="F4591">
        <f>COUNTIFS(mdr_rate_cleaned!$A$2:$A$10,B4591,mdr_rate_cleaned!$B$2:$B$10,"&lt;"&amp;C4591,mdr_rate_cleaned!$F$2:$F$10,"&gt;="&amp;C4591)</f>
        <v>1</v>
      </c>
      <c r="G4591">
        <v>1.7000000000000001E-2</v>
      </c>
      <c r="H4591">
        <v>61.15</v>
      </c>
      <c r="I4591" t="s">
        <v>15</v>
      </c>
      <c r="J4591" t="s">
        <v>15</v>
      </c>
      <c r="K4591">
        <v>11.01</v>
      </c>
      <c r="L4591">
        <v>0</v>
      </c>
    </row>
    <row r="4592" spans="1:12" x14ac:dyDescent="0.3">
      <c r="A4592" t="s">
        <v>4608</v>
      </c>
      <c r="B4592" t="s">
        <v>21</v>
      </c>
      <c r="C4592">
        <v>349</v>
      </c>
      <c r="D4592">
        <v>0</v>
      </c>
      <c r="E4592">
        <v>0</v>
      </c>
      <c r="F4592">
        <f>COUNTIFS(mdr_rate_cleaned!$A$2:$A$10,B4592,mdr_rate_cleaned!$B$2:$B$10,"&lt;"&amp;C4592,mdr_rate_cleaned!$F$2:$F$10,"&gt;="&amp;C4592)</f>
        <v>1</v>
      </c>
      <c r="G4592">
        <v>0</v>
      </c>
      <c r="H4592">
        <v>0</v>
      </c>
      <c r="I4592" t="s">
        <v>15</v>
      </c>
      <c r="J4592" t="s">
        <v>15</v>
      </c>
      <c r="K4592">
        <v>0</v>
      </c>
      <c r="L4592">
        <v>0</v>
      </c>
    </row>
    <row r="4593" spans="1:12" x14ac:dyDescent="0.3">
      <c r="A4593" t="s">
        <v>4609</v>
      </c>
      <c r="B4593" t="s">
        <v>13</v>
      </c>
      <c r="C4593">
        <v>1499</v>
      </c>
      <c r="D4593">
        <v>28.48</v>
      </c>
      <c r="E4593">
        <v>5.13</v>
      </c>
      <c r="F4593">
        <f>COUNTIFS(mdr_rate_cleaned!$A$2:$A$10,B4593,mdr_rate_cleaned!$B$2:$B$10,"&lt;"&amp;C4593,mdr_rate_cleaned!$F$2:$F$10,"&gt;="&amp;C4593)</f>
        <v>1</v>
      </c>
      <c r="G4593">
        <v>1.9E-2</v>
      </c>
      <c r="H4593">
        <v>28.48</v>
      </c>
      <c r="I4593" t="s">
        <v>15</v>
      </c>
      <c r="J4593" t="s">
        <v>15</v>
      </c>
      <c r="K4593">
        <v>5.13</v>
      </c>
      <c r="L4593">
        <v>0</v>
      </c>
    </row>
    <row r="4594" spans="1:12" x14ac:dyDescent="0.3">
      <c r="A4594" t="s">
        <v>4610</v>
      </c>
      <c r="B4594" t="s">
        <v>21</v>
      </c>
      <c r="C4594">
        <v>349</v>
      </c>
      <c r="D4594">
        <v>0</v>
      </c>
      <c r="E4594">
        <v>0</v>
      </c>
      <c r="F4594">
        <f>COUNTIFS(mdr_rate_cleaned!$A$2:$A$10,B4594,mdr_rate_cleaned!$B$2:$B$10,"&lt;"&amp;C4594,mdr_rate_cleaned!$F$2:$F$10,"&gt;="&amp;C4594)</f>
        <v>1</v>
      </c>
      <c r="G4594">
        <v>0</v>
      </c>
      <c r="H4594">
        <v>0</v>
      </c>
      <c r="I4594" t="s">
        <v>15</v>
      </c>
      <c r="J4594" t="s">
        <v>15</v>
      </c>
      <c r="K4594">
        <v>0</v>
      </c>
      <c r="L4594">
        <v>0</v>
      </c>
    </row>
    <row r="4595" spans="1:12" x14ac:dyDescent="0.3">
      <c r="A4595" t="s">
        <v>4611</v>
      </c>
      <c r="B4595" t="s">
        <v>39</v>
      </c>
      <c r="C4595">
        <v>1299</v>
      </c>
      <c r="D4595">
        <v>19.489999999999998</v>
      </c>
      <c r="E4595">
        <v>3.51</v>
      </c>
      <c r="F4595">
        <f>COUNTIFS(mdr_rate_cleaned!$A$2:$A$10,B4595,mdr_rate_cleaned!$B$2:$B$10,"&lt;"&amp;C4595,mdr_rate_cleaned!$F$2:$F$10,"&gt;="&amp;C4595)</f>
        <v>1</v>
      </c>
      <c r="G4595">
        <v>1.4999999999999999E-2</v>
      </c>
      <c r="H4595">
        <v>19.489999999999998</v>
      </c>
      <c r="I4595" t="s">
        <v>15</v>
      </c>
      <c r="J4595" t="s">
        <v>15</v>
      </c>
      <c r="K4595">
        <v>3.51</v>
      </c>
      <c r="L4595">
        <v>0</v>
      </c>
    </row>
    <row r="4596" spans="1:12" x14ac:dyDescent="0.3">
      <c r="A4596" t="s">
        <v>4612</v>
      </c>
      <c r="B4596" t="s">
        <v>39</v>
      </c>
      <c r="C4596">
        <v>5497</v>
      </c>
      <c r="D4596">
        <v>65.959999999999994</v>
      </c>
      <c r="E4596">
        <v>11.87</v>
      </c>
      <c r="F4596">
        <f>COUNTIFS(mdr_rate_cleaned!$A$2:$A$10,B4596,mdr_rate_cleaned!$B$2:$B$10,"&lt;"&amp;C4596,mdr_rate_cleaned!$F$2:$F$10,"&gt;="&amp;C4596)</f>
        <v>1</v>
      </c>
      <c r="G4596">
        <v>1.2E-2</v>
      </c>
      <c r="H4596">
        <v>65.959999999999994</v>
      </c>
      <c r="I4596" t="s">
        <v>15</v>
      </c>
      <c r="J4596" t="s">
        <v>15</v>
      </c>
      <c r="K4596">
        <v>11.87</v>
      </c>
      <c r="L4596">
        <v>0</v>
      </c>
    </row>
    <row r="4597" spans="1:12" x14ac:dyDescent="0.3">
      <c r="A4597" t="s">
        <v>4613</v>
      </c>
      <c r="B4597" t="s">
        <v>21</v>
      </c>
      <c r="C4597">
        <v>2499</v>
      </c>
      <c r="D4597">
        <v>7.5</v>
      </c>
      <c r="E4597">
        <v>1.35</v>
      </c>
      <c r="F4597">
        <f>COUNTIFS(mdr_rate_cleaned!$A$2:$A$10,B4597,mdr_rate_cleaned!$B$2:$B$10,"&lt;"&amp;C4597,mdr_rate_cleaned!$F$2:$F$10,"&gt;="&amp;C4597)</f>
        <v>1</v>
      </c>
      <c r="G4597">
        <v>3.0000000000000001E-3</v>
      </c>
      <c r="H4597">
        <v>7.5</v>
      </c>
      <c r="I4597" t="s">
        <v>15</v>
      </c>
      <c r="J4597" t="s">
        <v>15</v>
      </c>
      <c r="K4597">
        <v>1.35</v>
      </c>
      <c r="L4597">
        <v>0</v>
      </c>
    </row>
    <row r="4598" spans="1:12" x14ac:dyDescent="0.3">
      <c r="A4598" t="s">
        <v>4614</v>
      </c>
      <c r="B4598" t="s">
        <v>17</v>
      </c>
      <c r="C4598">
        <v>2999</v>
      </c>
      <c r="D4598">
        <v>47.98</v>
      </c>
      <c r="E4598">
        <v>8.64</v>
      </c>
      <c r="F4598">
        <f>COUNTIFS(mdr_rate_cleaned!$A$2:$A$10,B4598,mdr_rate_cleaned!$B$2:$B$10,"&lt;"&amp;C4598,mdr_rate_cleaned!$F$2:$F$10,"&gt;="&amp;C4598)</f>
        <v>1</v>
      </c>
      <c r="G4598">
        <v>1.6E-2</v>
      </c>
      <c r="H4598">
        <v>47.98</v>
      </c>
      <c r="I4598" t="s">
        <v>15</v>
      </c>
      <c r="J4598" t="s">
        <v>15</v>
      </c>
      <c r="K4598">
        <v>8.64</v>
      </c>
      <c r="L4598">
        <v>0</v>
      </c>
    </row>
    <row r="4599" spans="1:12" x14ac:dyDescent="0.3">
      <c r="A4599" t="s">
        <v>4615</v>
      </c>
      <c r="B4599" t="s">
        <v>21</v>
      </c>
      <c r="C4599">
        <v>499</v>
      </c>
      <c r="D4599">
        <v>0</v>
      </c>
      <c r="E4599">
        <v>0</v>
      </c>
      <c r="F4599">
        <f>COUNTIFS(mdr_rate_cleaned!$A$2:$A$10,B4599,mdr_rate_cleaned!$B$2:$B$10,"&lt;"&amp;C4599,mdr_rate_cleaned!$F$2:$F$10,"&gt;="&amp;C4599)</f>
        <v>1</v>
      </c>
      <c r="G4599">
        <v>0</v>
      </c>
      <c r="H4599">
        <v>0</v>
      </c>
      <c r="I4599" t="s">
        <v>15</v>
      </c>
      <c r="J4599" t="s">
        <v>15</v>
      </c>
      <c r="K4599">
        <v>0</v>
      </c>
      <c r="L4599">
        <v>0</v>
      </c>
    </row>
    <row r="4600" spans="1:12" x14ac:dyDescent="0.3">
      <c r="A4600" t="s">
        <v>4616</v>
      </c>
      <c r="B4600" t="s">
        <v>21</v>
      </c>
      <c r="C4600">
        <v>999</v>
      </c>
      <c r="D4600">
        <v>0</v>
      </c>
      <c r="E4600">
        <v>0</v>
      </c>
      <c r="F4600">
        <f>COUNTIFS(mdr_rate_cleaned!$A$2:$A$10,B4600,mdr_rate_cleaned!$B$2:$B$10,"&lt;"&amp;C4600,mdr_rate_cleaned!$F$2:$F$10,"&gt;="&amp;C4600)</f>
        <v>1</v>
      </c>
      <c r="G4600">
        <v>0</v>
      </c>
      <c r="H4600">
        <v>0</v>
      </c>
      <c r="I4600" t="s">
        <v>15</v>
      </c>
      <c r="J4600" t="s">
        <v>15</v>
      </c>
      <c r="K4600">
        <v>0</v>
      </c>
      <c r="L4600">
        <v>0</v>
      </c>
    </row>
    <row r="4601" spans="1:12" x14ac:dyDescent="0.3">
      <c r="A4601" t="s">
        <v>4617</v>
      </c>
      <c r="B4601" t="s">
        <v>17</v>
      </c>
      <c r="C4601">
        <v>999</v>
      </c>
      <c r="D4601">
        <v>17.98</v>
      </c>
      <c r="E4601">
        <v>3.24</v>
      </c>
      <c r="F4601">
        <f>COUNTIFS(mdr_rate_cleaned!$A$2:$A$10,B4601,mdr_rate_cleaned!$B$2:$B$10,"&lt;"&amp;C4601,mdr_rate_cleaned!$F$2:$F$10,"&gt;="&amp;C4601)</f>
        <v>1</v>
      </c>
      <c r="G4601">
        <v>1.7999999999999999E-2</v>
      </c>
      <c r="H4601">
        <v>17.98</v>
      </c>
      <c r="I4601" t="s">
        <v>15</v>
      </c>
      <c r="J4601" t="s">
        <v>15</v>
      </c>
      <c r="K4601">
        <v>3.24</v>
      </c>
      <c r="L4601">
        <v>0</v>
      </c>
    </row>
    <row r="4602" spans="1:12" x14ac:dyDescent="0.3">
      <c r="A4602" t="s">
        <v>4618</v>
      </c>
      <c r="B4602" t="s">
        <v>21</v>
      </c>
      <c r="C4602">
        <v>1798</v>
      </c>
      <c r="D4602">
        <v>0</v>
      </c>
      <c r="E4602">
        <v>0</v>
      </c>
      <c r="F4602">
        <f>COUNTIFS(mdr_rate_cleaned!$A$2:$A$10,B4602,mdr_rate_cleaned!$B$2:$B$10,"&lt;"&amp;C4602,mdr_rate_cleaned!$F$2:$F$10,"&gt;="&amp;C4602)</f>
        <v>1</v>
      </c>
      <c r="G4602">
        <v>0</v>
      </c>
      <c r="H4602">
        <v>0</v>
      </c>
      <c r="I4602" t="s">
        <v>15</v>
      </c>
      <c r="J4602" t="s">
        <v>15</v>
      </c>
      <c r="K4602">
        <v>0</v>
      </c>
      <c r="L4602">
        <v>0</v>
      </c>
    </row>
    <row r="4603" spans="1:12" x14ac:dyDescent="0.3">
      <c r="A4603" t="s">
        <v>4619</v>
      </c>
      <c r="B4603" t="s">
        <v>21</v>
      </c>
      <c r="C4603">
        <v>6498</v>
      </c>
      <c r="D4603">
        <v>19.489999999999998</v>
      </c>
      <c r="E4603">
        <v>3.51</v>
      </c>
      <c r="F4603">
        <f>COUNTIFS(mdr_rate_cleaned!$A$2:$A$10,B4603,mdr_rate_cleaned!$B$2:$B$10,"&lt;"&amp;C4603,mdr_rate_cleaned!$F$2:$F$10,"&gt;="&amp;C4603)</f>
        <v>1</v>
      </c>
      <c r="G4603">
        <v>3.0000000000000001E-3</v>
      </c>
      <c r="H4603">
        <v>19.489999999999998</v>
      </c>
      <c r="I4603" t="s">
        <v>15</v>
      </c>
      <c r="J4603" t="s">
        <v>15</v>
      </c>
      <c r="K4603">
        <v>3.51</v>
      </c>
      <c r="L4603">
        <v>0</v>
      </c>
    </row>
    <row r="4604" spans="1:12" x14ac:dyDescent="0.3">
      <c r="A4604" t="s">
        <v>4620</v>
      </c>
      <c r="B4604" t="s">
        <v>21</v>
      </c>
      <c r="C4604">
        <v>799</v>
      </c>
      <c r="D4604">
        <v>0</v>
      </c>
      <c r="E4604">
        <v>0</v>
      </c>
      <c r="F4604">
        <f>COUNTIFS(mdr_rate_cleaned!$A$2:$A$10,B4604,mdr_rate_cleaned!$B$2:$B$10,"&lt;"&amp;C4604,mdr_rate_cleaned!$F$2:$F$10,"&gt;="&amp;C4604)</f>
        <v>1</v>
      </c>
      <c r="G4604">
        <v>0</v>
      </c>
      <c r="H4604">
        <v>0</v>
      </c>
      <c r="I4604" t="s">
        <v>15</v>
      </c>
      <c r="J4604" t="s">
        <v>15</v>
      </c>
      <c r="K4604">
        <v>0</v>
      </c>
      <c r="L4604">
        <v>0</v>
      </c>
    </row>
    <row r="4605" spans="1:12" x14ac:dyDescent="0.3">
      <c r="A4605" t="s">
        <v>4621</v>
      </c>
      <c r="B4605" t="s">
        <v>21</v>
      </c>
      <c r="C4605">
        <v>599</v>
      </c>
      <c r="D4605">
        <v>0</v>
      </c>
      <c r="E4605">
        <v>0</v>
      </c>
      <c r="F4605">
        <f>COUNTIFS(mdr_rate_cleaned!$A$2:$A$10,B4605,mdr_rate_cleaned!$B$2:$B$10,"&lt;"&amp;C4605,mdr_rate_cleaned!$F$2:$F$10,"&gt;="&amp;C4605)</f>
        <v>1</v>
      </c>
      <c r="G4605">
        <v>0</v>
      </c>
      <c r="H4605">
        <v>0</v>
      </c>
      <c r="I4605" t="s">
        <v>15</v>
      </c>
      <c r="J4605" t="s">
        <v>15</v>
      </c>
      <c r="K4605">
        <v>0</v>
      </c>
      <c r="L4605">
        <v>0</v>
      </c>
    </row>
    <row r="4606" spans="1:12" x14ac:dyDescent="0.3">
      <c r="A4606" t="s">
        <v>4622</v>
      </c>
      <c r="B4606" t="s">
        <v>17</v>
      </c>
      <c r="C4606">
        <v>349</v>
      </c>
      <c r="D4606">
        <v>6.28</v>
      </c>
      <c r="E4606">
        <v>1.1299999999999999</v>
      </c>
      <c r="F4606">
        <f>COUNTIFS(mdr_rate_cleaned!$A$2:$A$10,B4606,mdr_rate_cleaned!$B$2:$B$10,"&lt;"&amp;C4606,mdr_rate_cleaned!$F$2:$F$10,"&gt;="&amp;C4606)</f>
        <v>1</v>
      </c>
      <c r="G4606">
        <v>1.7999999999999999E-2</v>
      </c>
      <c r="H4606">
        <v>6.28</v>
      </c>
      <c r="I4606" t="s">
        <v>15</v>
      </c>
      <c r="J4606" t="s">
        <v>15</v>
      </c>
      <c r="K4606">
        <v>1.1299999999999999</v>
      </c>
      <c r="L4606">
        <v>0</v>
      </c>
    </row>
    <row r="4607" spans="1:12" x14ac:dyDescent="0.3">
      <c r="A4607" t="s">
        <v>4623</v>
      </c>
      <c r="B4607" t="s">
        <v>17</v>
      </c>
      <c r="C4607">
        <v>1798</v>
      </c>
      <c r="D4607">
        <v>32.36</v>
      </c>
      <c r="E4607">
        <v>5.82</v>
      </c>
      <c r="F4607">
        <f>COUNTIFS(mdr_rate_cleaned!$A$2:$A$10,B4607,mdr_rate_cleaned!$B$2:$B$10,"&lt;"&amp;C4607,mdr_rate_cleaned!$F$2:$F$10,"&gt;="&amp;C4607)</f>
        <v>1</v>
      </c>
      <c r="G4607">
        <v>1.7999999999999999E-2</v>
      </c>
      <c r="H4607">
        <v>32.36</v>
      </c>
      <c r="I4607" t="s">
        <v>15</v>
      </c>
      <c r="J4607" t="s">
        <v>15</v>
      </c>
      <c r="K4607">
        <v>5.82</v>
      </c>
      <c r="L4607">
        <v>0</v>
      </c>
    </row>
    <row r="4608" spans="1:12" x14ac:dyDescent="0.3">
      <c r="A4608" t="s">
        <v>4624</v>
      </c>
      <c r="B4608" t="s">
        <v>17</v>
      </c>
      <c r="C4608">
        <v>349</v>
      </c>
      <c r="D4608">
        <v>6.28</v>
      </c>
      <c r="E4608">
        <v>1.1299999999999999</v>
      </c>
      <c r="F4608">
        <f>COUNTIFS(mdr_rate_cleaned!$A$2:$A$10,B4608,mdr_rate_cleaned!$B$2:$B$10,"&lt;"&amp;C4608,mdr_rate_cleaned!$F$2:$F$10,"&gt;="&amp;C4608)</f>
        <v>1</v>
      </c>
      <c r="G4608">
        <v>1.7999999999999999E-2</v>
      </c>
      <c r="H4608">
        <v>6.28</v>
      </c>
      <c r="I4608" t="s">
        <v>15</v>
      </c>
      <c r="J4608" t="s">
        <v>15</v>
      </c>
      <c r="K4608">
        <v>1.1299999999999999</v>
      </c>
      <c r="L4608">
        <v>0</v>
      </c>
    </row>
    <row r="4609" spans="1:12" x14ac:dyDescent="0.3">
      <c r="A4609" t="s">
        <v>4625</v>
      </c>
      <c r="B4609" t="s">
        <v>17</v>
      </c>
      <c r="C4609">
        <v>1499</v>
      </c>
      <c r="D4609">
        <v>26.98</v>
      </c>
      <c r="E4609">
        <v>4.8600000000000003</v>
      </c>
      <c r="F4609">
        <f>COUNTIFS(mdr_rate_cleaned!$A$2:$A$10,B4609,mdr_rate_cleaned!$B$2:$B$10,"&lt;"&amp;C4609,mdr_rate_cleaned!$F$2:$F$10,"&gt;="&amp;C4609)</f>
        <v>1</v>
      </c>
      <c r="G4609">
        <v>1.7999999999999999E-2</v>
      </c>
      <c r="H4609">
        <v>26.98</v>
      </c>
      <c r="I4609" t="s">
        <v>15</v>
      </c>
      <c r="J4609" t="s">
        <v>15</v>
      </c>
      <c r="K4609">
        <v>4.8600000000000003</v>
      </c>
      <c r="L4609">
        <v>0</v>
      </c>
    </row>
    <row r="4610" spans="1:12" x14ac:dyDescent="0.3">
      <c r="A4610" t="s">
        <v>4626</v>
      </c>
      <c r="B4610" t="s">
        <v>21</v>
      </c>
      <c r="C4610">
        <v>999</v>
      </c>
      <c r="D4610">
        <v>0</v>
      </c>
      <c r="E4610">
        <v>0</v>
      </c>
      <c r="F4610">
        <f>COUNTIFS(mdr_rate_cleaned!$A$2:$A$10,B4610,mdr_rate_cleaned!$B$2:$B$10,"&lt;"&amp;C4610,mdr_rate_cleaned!$F$2:$F$10,"&gt;="&amp;C4610)</f>
        <v>1</v>
      </c>
      <c r="G4610">
        <v>0</v>
      </c>
      <c r="H4610">
        <v>0</v>
      </c>
      <c r="I4610" t="s">
        <v>15</v>
      </c>
      <c r="J4610" t="s">
        <v>15</v>
      </c>
      <c r="K4610">
        <v>0</v>
      </c>
      <c r="L4610">
        <v>0</v>
      </c>
    </row>
    <row r="4611" spans="1:12" x14ac:dyDescent="0.3">
      <c r="A4611" t="s">
        <v>4627</v>
      </c>
      <c r="B4611" t="s">
        <v>17</v>
      </c>
      <c r="C4611">
        <v>9298</v>
      </c>
      <c r="D4611">
        <v>148.77000000000001</v>
      </c>
      <c r="E4611">
        <v>26.78</v>
      </c>
      <c r="F4611">
        <f>COUNTIFS(mdr_rate_cleaned!$A$2:$A$10,B4611,mdr_rate_cleaned!$B$2:$B$10,"&lt;"&amp;C4611,mdr_rate_cleaned!$F$2:$F$10,"&gt;="&amp;C4611)</f>
        <v>1</v>
      </c>
      <c r="G4611">
        <v>1.6E-2</v>
      </c>
      <c r="H4611">
        <v>148.77000000000001</v>
      </c>
      <c r="I4611" t="s">
        <v>15</v>
      </c>
      <c r="J4611" t="s">
        <v>15</v>
      </c>
      <c r="K4611">
        <v>26.78</v>
      </c>
      <c r="L4611">
        <v>0</v>
      </c>
    </row>
    <row r="4612" spans="1:12" x14ac:dyDescent="0.3">
      <c r="A4612" t="s">
        <v>4628</v>
      </c>
      <c r="B4612" t="s">
        <v>21</v>
      </c>
      <c r="C4612">
        <v>3499</v>
      </c>
      <c r="D4612">
        <v>10.5</v>
      </c>
      <c r="E4612">
        <v>1.89</v>
      </c>
      <c r="F4612">
        <f>COUNTIFS(mdr_rate_cleaned!$A$2:$A$10,B4612,mdr_rate_cleaned!$B$2:$B$10,"&lt;"&amp;C4612,mdr_rate_cleaned!$F$2:$F$10,"&gt;="&amp;C4612)</f>
        <v>1</v>
      </c>
      <c r="G4612">
        <v>3.0000000000000001E-3</v>
      </c>
      <c r="H4612">
        <v>10.5</v>
      </c>
      <c r="I4612" t="s">
        <v>15</v>
      </c>
      <c r="J4612" t="s">
        <v>15</v>
      </c>
      <c r="K4612">
        <v>1.89</v>
      </c>
      <c r="L4612">
        <v>0</v>
      </c>
    </row>
    <row r="4613" spans="1:12" x14ac:dyDescent="0.3">
      <c r="A4613" t="s">
        <v>4629</v>
      </c>
      <c r="B4613" t="s">
        <v>17</v>
      </c>
      <c r="C4613">
        <v>848</v>
      </c>
      <c r="D4613">
        <v>15.26</v>
      </c>
      <c r="E4613">
        <v>2.75</v>
      </c>
      <c r="F4613">
        <f>COUNTIFS(mdr_rate_cleaned!$A$2:$A$10,B4613,mdr_rate_cleaned!$B$2:$B$10,"&lt;"&amp;C4613,mdr_rate_cleaned!$F$2:$F$10,"&gt;="&amp;C4613)</f>
        <v>1</v>
      </c>
      <c r="G4613">
        <v>1.7999999999999999E-2</v>
      </c>
      <c r="H4613">
        <v>15.26</v>
      </c>
      <c r="I4613" t="s">
        <v>15</v>
      </c>
      <c r="J4613" t="s">
        <v>15</v>
      </c>
      <c r="K4613">
        <v>2.75</v>
      </c>
      <c r="L4613">
        <v>0</v>
      </c>
    </row>
    <row r="4614" spans="1:12" x14ac:dyDescent="0.3">
      <c r="A4614" t="s">
        <v>4630</v>
      </c>
      <c r="B4614" t="s">
        <v>21</v>
      </c>
      <c r="C4614">
        <v>2499</v>
      </c>
      <c r="D4614">
        <v>7.5</v>
      </c>
      <c r="E4614">
        <v>1.35</v>
      </c>
      <c r="F4614">
        <f>COUNTIFS(mdr_rate_cleaned!$A$2:$A$10,B4614,mdr_rate_cleaned!$B$2:$B$10,"&lt;"&amp;C4614,mdr_rate_cleaned!$F$2:$F$10,"&gt;="&amp;C4614)</f>
        <v>1</v>
      </c>
      <c r="G4614">
        <v>3.0000000000000001E-3</v>
      </c>
      <c r="H4614">
        <v>7.5</v>
      </c>
      <c r="I4614" t="s">
        <v>15</v>
      </c>
      <c r="J4614" t="s">
        <v>15</v>
      </c>
      <c r="K4614">
        <v>1.35</v>
      </c>
      <c r="L4614">
        <v>0</v>
      </c>
    </row>
    <row r="4615" spans="1:12" x14ac:dyDescent="0.3">
      <c r="A4615" t="s">
        <v>4631</v>
      </c>
      <c r="B4615" t="s">
        <v>21</v>
      </c>
      <c r="C4615">
        <v>2499</v>
      </c>
      <c r="D4615">
        <v>7.5</v>
      </c>
      <c r="E4615">
        <v>1.35</v>
      </c>
      <c r="F4615">
        <f>COUNTIFS(mdr_rate_cleaned!$A$2:$A$10,B4615,mdr_rate_cleaned!$B$2:$B$10,"&lt;"&amp;C4615,mdr_rate_cleaned!$F$2:$F$10,"&gt;="&amp;C4615)</f>
        <v>1</v>
      </c>
      <c r="G4615">
        <v>3.0000000000000001E-3</v>
      </c>
      <c r="H4615">
        <v>7.5</v>
      </c>
      <c r="I4615" t="s">
        <v>15</v>
      </c>
      <c r="J4615" t="s">
        <v>15</v>
      </c>
      <c r="K4615">
        <v>1.35</v>
      </c>
      <c r="L4615">
        <v>0</v>
      </c>
    </row>
    <row r="4616" spans="1:12" x14ac:dyDescent="0.3">
      <c r="A4616" t="s">
        <v>4632</v>
      </c>
      <c r="B4616" t="s">
        <v>17</v>
      </c>
      <c r="C4616">
        <v>599</v>
      </c>
      <c r="D4616">
        <v>10.78</v>
      </c>
      <c r="E4616">
        <v>1.94</v>
      </c>
      <c r="F4616">
        <f>COUNTIFS(mdr_rate_cleaned!$A$2:$A$10,B4616,mdr_rate_cleaned!$B$2:$B$10,"&lt;"&amp;C4616,mdr_rate_cleaned!$F$2:$F$10,"&gt;="&amp;C4616)</f>
        <v>1</v>
      </c>
      <c r="G4616">
        <v>1.7999999999999999E-2</v>
      </c>
      <c r="H4616">
        <v>10.78</v>
      </c>
      <c r="I4616" t="s">
        <v>15</v>
      </c>
      <c r="J4616" t="s">
        <v>15</v>
      </c>
      <c r="K4616">
        <v>1.94</v>
      </c>
      <c r="L4616">
        <v>0</v>
      </c>
    </row>
    <row r="4617" spans="1:12" x14ac:dyDescent="0.3">
      <c r="A4617" t="s">
        <v>4633</v>
      </c>
      <c r="B4617" t="s">
        <v>17</v>
      </c>
      <c r="C4617">
        <v>3998</v>
      </c>
      <c r="D4617">
        <v>63.97</v>
      </c>
      <c r="E4617">
        <v>11.51</v>
      </c>
      <c r="F4617">
        <f>COUNTIFS(mdr_rate_cleaned!$A$2:$A$10,B4617,mdr_rate_cleaned!$B$2:$B$10,"&lt;"&amp;C4617,mdr_rate_cleaned!$F$2:$F$10,"&gt;="&amp;C4617)</f>
        <v>1</v>
      </c>
      <c r="G4617">
        <v>1.6E-2</v>
      </c>
      <c r="H4617">
        <v>63.97</v>
      </c>
      <c r="I4617" t="s">
        <v>15</v>
      </c>
      <c r="J4617" t="s">
        <v>15</v>
      </c>
      <c r="K4617">
        <v>11.51</v>
      </c>
      <c r="L4617">
        <v>0</v>
      </c>
    </row>
    <row r="4618" spans="1:12" x14ac:dyDescent="0.3">
      <c r="A4618" t="s">
        <v>4634</v>
      </c>
      <c r="B4618" t="s">
        <v>39</v>
      </c>
      <c r="C4618">
        <v>299</v>
      </c>
      <c r="D4618">
        <v>4.49</v>
      </c>
      <c r="E4618">
        <v>0.81</v>
      </c>
      <c r="F4618">
        <f>COUNTIFS(mdr_rate_cleaned!$A$2:$A$10,B4618,mdr_rate_cleaned!$B$2:$B$10,"&lt;"&amp;C4618,mdr_rate_cleaned!$F$2:$F$10,"&gt;="&amp;C4618)</f>
        <v>1</v>
      </c>
      <c r="G4618">
        <v>1.4999999999999999E-2</v>
      </c>
      <c r="H4618">
        <v>4.49</v>
      </c>
      <c r="I4618" t="s">
        <v>15</v>
      </c>
      <c r="J4618" t="s">
        <v>15</v>
      </c>
      <c r="K4618">
        <v>0.81</v>
      </c>
      <c r="L4618">
        <v>0</v>
      </c>
    </row>
    <row r="4619" spans="1:12" x14ac:dyDescent="0.3">
      <c r="A4619" t="s">
        <v>4635</v>
      </c>
      <c r="B4619" t="s">
        <v>17</v>
      </c>
      <c r="C4619">
        <v>3848</v>
      </c>
      <c r="D4619">
        <v>61.57</v>
      </c>
      <c r="E4619">
        <v>11.08</v>
      </c>
      <c r="F4619">
        <f>COUNTIFS(mdr_rate_cleaned!$A$2:$A$10,B4619,mdr_rate_cleaned!$B$2:$B$10,"&lt;"&amp;C4619,mdr_rate_cleaned!$F$2:$F$10,"&gt;="&amp;C4619)</f>
        <v>1</v>
      </c>
      <c r="G4619">
        <v>1.6E-2</v>
      </c>
      <c r="H4619">
        <v>61.57</v>
      </c>
      <c r="I4619" t="s">
        <v>15</v>
      </c>
      <c r="J4619" t="s">
        <v>15</v>
      </c>
      <c r="K4619">
        <v>11.08</v>
      </c>
      <c r="L4619">
        <v>0</v>
      </c>
    </row>
    <row r="4620" spans="1:12" x14ac:dyDescent="0.3">
      <c r="A4620" t="s">
        <v>4636</v>
      </c>
      <c r="B4620" t="s">
        <v>17</v>
      </c>
      <c r="C4620">
        <v>1499</v>
      </c>
      <c r="D4620">
        <v>26.98</v>
      </c>
      <c r="E4620">
        <v>4.8600000000000003</v>
      </c>
      <c r="F4620">
        <f>COUNTIFS(mdr_rate_cleaned!$A$2:$A$10,B4620,mdr_rate_cleaned!$B$2:$B$10,"&lt;"&amp;C4620,mdr_rate_cleaned!$F$2:$F$10,"&gt;="&amp;C4620)</f>
        <v>1</v>
      </c>
      <c r="G4620">
        <v>1.7999999999999999E-2</v>
      </c>
      <c r="H4620">
        <v>26.98</v>
      </c>
      <c r="I4620" t="s">
        <v>15</v>
      </c>
      <c r="J4620" t="s">
        <v>15</v>
      </c>
      <c r="K4620">
        <v>4.8600000000000003</v>
      </c>
      <c r="L4620">
        <v>0</v>
      </c>
    </row>
    <row r="4621" spans="1:12" x14ac:dyDescent="0.3">
      <c r="A4621" t="s">
        <v>4637</v>
      </c>
      <c r="B4621" t="s">
        <v>17</v>
      </c>
      <c r="C4621">
        <v>1299</v>
      </c>
      <c r="D4621">
        <v>23.38</v>
      </c>
      <c r="E4621">
        <v>4.21</v>
      </c>
      <c r="F4621">
        <f>COUNTIFS(mdr_rate_cleaned!$A$2:$A$10,B4621,mdr_rate_cleaned!$B$2:$B$10,"&lt;"&amp;C4621,mdr_rate_cleaned!$F$2:$F$10,"&gt;="&amp;C4621)</f>
        <v>1</v>
      </c>
      <c r="G4621">
        <v>1.7999999999999999E-2</v>
      </c>
      <c r="H4621">
        <v>23.38</v>
      </c>
      <c r="I4621" t="s">
        <v>15</v>
      </c>
      <c r="J4621" t="s">
        <v>15</v>
      </c>
      <c r="K4621">
        <v>4.21</v>
      </c>
      <c r="L4621">
        <v>0</v>
      </c>
    </row>
    <row r="4622" spans="1:12" x14ac:dyDescent="0.3">
      <c r="A4622" t="s">
        <v>4638</v>
      </c>
      <c r="B4622" t="s">
        <v>21</v>
      </c>
      <c r="C4622">
        <v>999</v>
      </c>
      <c r="D4622">
        <v>0</v>
      </c>
      <c r="E4622">
        <v>0</v>
      </c>
      <c r="F4622">
        <f>COUNTIFS(mdr_rate_cleaned!$A$2:$A$10,B4622,mdr_rate_cleaned!$B$2:$B$10,"&lt;"&amp;C4622,mdr_rate_cleaned!$F$2:$F$10,"&gt;="&amp;C4622)</f>
        <v>1</v>
      </c>
      <c r="G4622">
        <v>0</v>
      </c>
      <c r="H4622">
        <v>0</v>
      </c>
      <c r="I4622" t="s">
        <v>15</v>
      </c>
      <c r="J4622" t="s">
        <v>15</v>
      </c>
      <c r="K4622">
        <v>0</v>
      </c>
      <c r="L4622">
        <v>0</v>
      </c>
    </row>
    <row r="4623" spans="1:12" x14ac:dyDescent="0.3">
      <c r="A4623" t="s">
        <v>4639</v>
      </c>
      <c r="B4623" t="s">
        <v>21</v>
      </c>
      <c r="C4623">
        <v>4397</v>
      </c>
      <c r="D4623">
        <v>13.19</v>
      </c>
      <c r="E4623">
        <v>2.37</v>
      </c>
      <c r="F4623">
        <f>COUNTIFS(mdr_rate_cleaned!$A$2:$A$10,B4623,mdr_rate_cleaned!$B$2:$B$10,"&lt;"&amp;C4623,mdr_rate_cleaned!$F$2:$F$10,"&gt;="&amp;C4623)</f>
        <v>1</v>
      </c>
      <c r="G4623">
        <v>3.0000000000000001E-3</v>
      </c>
      <c r="H4623">
        <v>13.19</v>
      </c>
      <c r="I4623" t="s">
        <v>15</v>
      </c>
      <c r="J4623" t="s">
        <v>15</v>
      </c>
      <c r="K4623">
        <v>2.37</v>
      </c>
      <c r="L4623">
        <v>0</v>
      </c>
    </row>
    <row r="4624" spans="1:12" x14ac:dyDescent="0.3">
      <c r="A4624" t="s">
        <v>4640</v>
      </c>
      <c r="B4624" t="s">
        <v>13</v>
      </c>
      <c r="C4624">
        <v>8998</v>
      </c>
      <c r="D4624">
        <v>152.97</v>
      </c>
      <c r="E4624">
        <v>27.53</v>
      </c>
      <c r="F4624">
        <f>COUNTIFS(mdr_rate_cleaned!$A$2:$A$10,B4624,mdr_rate_cleaned!$B$2:$B$10,"&lt;"&amp;C4624,mdr_rate_cleaned!$F$2:$F$10,"&gt;="&amp;C4624)</f>
        <v>1</v>
      </c>
      <c r="G4624">
        <v>1.7000000000000001E-2</v>
      </c>
      <c r="H4624">
        <v>152.97</v>
      </c>
      <c r="I4624" t="s">
        <v>15</v>
      </c>
      <c r="J4624" t="s">
        <v>15</v>
      </c>
      <c r="K4624">
        <v>27.53</v>
      </c>
      <c r="L4624">
        <v>0</v>
      </c>
    </row>
    <row r="4625" spans="1:12" x14ac:dyDescent="0.3">
      <c r="A4625" t="s">
        <v>4641</v>
      </c>
      <c r="B4625" t="s">
        <v>21</v>
      </c>
      <c r="C4625">
        <v>15998</v>
      </c>
      <c r="D4625">
        <v>47.99</v>
      </c>
      <c r="E4625">
        <v>8.64</v>
      </c>
      <c r="F4625">
        <f>COUNTIFS(mdr_rate_cleaned!$A$2:$A$10,B4625,mdr_rate_cleaned!$B$2:$B$10,"&lt;"&amp;C4625,mdr_rate_cleaned!$F$2:$F$10,"&gt;="&amp;C4625)</f>
        <v>1</v>
      </c>
      <c r="G4625">
        <v>3.0000000000000001E-3</v>
      </c>
      <c r="H4625">
        <v>47.99</v>
      </c>
      <c r="I4625" t="s">
        <v>15</v>
      </c>
      <c r="J4625" t="s">
        <v>15</v>
      </c>
      <c r="K4625">
        <v>8.64</v>
      </c>
      <c r="L4625">
        <v>0</v>
      </c>
    </row>
    <row r="4626" spans="1:12" x14ac:dyDescent="0.3">
      <c r="A4626" t="s">
        <v>4642</v>
      </c>
      <c r="B4626" t="s">
        <v>17</v>
      </c>
      <c r="C4626">
        <v>4298</v>
      </c>
      <c r="D4626">
        <v>68.77</v>
      </c>
      <c r="E4626">
        <v>12.38</v>
      </c>
      <c r="F4626">
        <f>COUNTIFS(mdr_rate_cleaned!$A$2:$A$10,B4626,mdr_rate_cleaned!$B$2:$B$10,"&lt;"&amp;C4626,mdr_rate_cleaned!$F$2:$F$10,"&gt;="&amp;C4626)</f>
        <v>1</v>
      </c>
      <c r="G4626">
        <v>1.6E-2</v>
      </c>
      <c r="H4626">
        <v>68.77</v>
      </c>
      <c r="I4626" t="s">
        <v>15</v>
      </c>
      <c r="J4626" t="s">
        <v>15</v>
      </c>
      <c r="K4626">
        <v>12.38</v>
      </c>
      <c r="L4626">
        <v>0</v>
      </c>
    </row>
    <row r="4627" spans="1:12" x14ac:dyDescent="0.3">
      <c r="A4627" t="s">
        <v>4643</v>
      </c>
      <c r="B4627" t="s">
        <v>21</v>
      </c>
      <c r="C4627">
        <v>1499</v>
      </c>
      <c r="D4627">
        <v>0</v>
      </c>
      <c r="E4627">
        <v>0</v>
      </c>
      <c r="F4627">
        <f>COUNTIFS(mdr_rate_cleaned!$A$2:$A$10,B4627,mdr_rate_cleaned!$B$2:$B$10,"&lt;"&amp;C4627,mdr_rate_cleaned!$F$2:$F$10,"&gt;="&amp;C4627)</f>
        <v>1</v>
      </c>
      <c r="G4627">
        <v>0</v>
      </c>
      <c r="H4627">
        <v>0</v>
      </c>
      <c r="I4627" t="s">
        <v>15</v>
      </c>
      <c r="J4627" t="s">
        <v>15</v>
      </c>
      <c r="K4627">
        <v>0</v>
      </c>
      <c r="L4627">
        <v>0</v>
      </c>
    </row>
    <row r="4628" spans="1:12" x14ac:dyDescent="0.3">
      <c r="A4628" t="s">
        <v>4644</v>
      </c>
      <c r="B4628" t="s">
        <v>17</v>
      </c>
      <c r="C4628">
        <v>7999</v>
      </c>
      <c r="D4628">
        <v>127.98</v>
      </c>
      <c r="E4628">
        <v>23.04</v>
      </c>
      <c r="F4628">
        <f>COUNTIFS(mdr_rate_cleaned!$A$2:$A$10,B4628,mdr_rate_cleaned!$B$2:$B$10,"&lt;"&amp;C4628,mdr_rate_cleaned!$F$2:$F$10,"&gt;="&amp;C4628)</f>
        <v>1</v>
      </c>
      <c r="G4628">
        <v>1.6E-2</v>
      </c>
      <c r="H4628">
        <v>127.98</v>
      </c>
      <c r="I4628" t="s">
        <v>15</v>
      </c>
      <c r="J4628" t="s">
        <v>15</v>
      </c>
      <c r="K4628">
        <v>23.04</v>
      </c>
      <c r="L4628">
        <v>0</v>
      </c>
    </row>
    <row r="4629" spans="1:12" x14ac:dyDescent="0.3">
      <c r="A4629" t="s">
        <v>4645</v>
      </c>
      <c r="B4629" t="s">
        <v>17</v>
      </c>
      <c r="C4629">
        <v>1299</v>
      </c>
      <c r="D4629">
        <v>23.38</v>
      </c>
      <c r="E4629">
        <v>4.21</v>
      </c>
      <c r="F4629">
        <f>COUNTIFS(mdr_rate_cleaned!$A$2:$A$10,B4629,mdr_rate_cleaned!$B$2:$B$10,"&lt;"&amp;C4629,mdr_rate_cleaned!$F$2:$F$10,"&gt;="&amp;C4629)</f>
        <v>1</v>
      </c>
      <c r="G4629">
        <v>1.7999999999999999E-2</v>
      </c>
      <c r="H4629">
        <v>23.38</v>
      </c>
      <c r="I4629" t="s">
        <v>15</v>
      </c>
      <c r="J4629" t="s">
        <v>15</v>
      </c>
      <c r="K4629">
        <v>4.21</v>
      </c>
      <c r="L4629">
        <v>0</v>
      </c>
    </row>
    <row r="4630" spans="1:12" x14ac:dyDescent="0.3">
      <c r="A4630" t="s">
        <v>4646</v>
      </c>
      <c r="B4630" t="s">
        <v>13</v>
      </c>
      <c r="C4630">
        <v>3499</v>
      </c>
      <c r="D4630">
        <v>59.48</v>
      </c>
      <c r="E4630">
        <v>10.71</v>
      </c>
      <c r="F4630">
        <f>COUNTIFS(mdr_rate_cleaned!$A$2:$A$10,B4630,mdr_rate_cleaned!$B$2:$B$10,"&lt;"&amp;C4630,mdr_rate_cleaned!$F$2:$F$10,"&gt;="&amp;C4630)</f>
        <v>1</v>
      </c>
      <c r="G4630">
        <v>1.7000000000000001E-2</v>
      </c>
      <c r="H4630">
        <v>59.48</v>
      </c>
      <c r="I4630" t="s">
        <v>15</v>
      </c>
      <c r="J4630" t="s">
        <v>15</v>
      </c>
      <c r="K4630">
        <v>10.71</v>
      </c>
      <c r="L4630">
        <v>0</v>
      </c>
    </row>
    <row r="4631" spans="1:12" x14ac:dyDescent="0.3">
      <c r="A4631" t="s">
        <v>4647</v>
      </c>
      <c r="B4631" t="s">
        <v>21</v>
      </c>
      <c r="C4631">
        <v>2499</v>
      </c>
      <c r="D4631">
        <v>7.5</v>
      </c>
      <c r="E4631">
        <v>1.35</v>
      </c>
      <c r="F4631">
        <f>COUNTIFS(mdr_rate_cleaned!$A$2:$A$10,B4631,mdr_rate_cleaned!$B$2:$B$10,"&lt;"&amp;C4631,mdr_rate_cleaned!$F$2:$F$10,"&gt;="&amp;C4631)</f>
        <v>1</v>
      </c>
      <c r="G4631">
        <v>3.0000000000000001E-3</v>
      </c>
      <c r="H4631">
        <v>7.5</v>
      </c>
      <c r="I4631" t="s">
        <v>15</v>
      </c>
      <c r="J4631" t="s">
        <v>15</v>
      </c>
      <c r="K4631">
        <v>1.35</v>
      </c>
      <c r="L4631">
        <v>0</v>
      </c>
    </row>
    <row r="4632" spans="1:12" x14ac:dyDescent="0.3">
      <c r="A4632" t="s">
        <v>4648</v>
      </c>
      <c r="B4632" t="s">
        <v>39</v>
      </c>
      <c r="C4632">
        <v>4798</v>
      </c>
      <c r="D4632">
        <v>57.58</v>
      </c>
      <c r="E4632">
        <v>10.36</v>
      </c>
      <c r="F4632">
        <f>COUNTIFS(mdr_rate_cleaned!$A$2:$A$10,B4632,mdr_rate_cleaned!$B$2:$B$10,"&lt;"&amp;C4632,mdr_rate_cleaned!$F$2:$F$10,"&gt;="&amp;C4632)</f>
        <v>1</v>
      </c>
      <c r="G4632">
        <v>1.2E-2</v>
      </c>
      <c r="H4632">
        <v>57.58</v>
      </c>
      <c r="I4632" t="s">
        <v>15</v>
      </c>
      <c r="J4632" t="s">
        <v>15</v>
      </c>
      <c r="K4632">
        <v>10.36</v>
      </c>
      <c r="L4632">
        <v>0</v>
      </c>
    </row>
    <row r="4633" spans="1:12" x14ac:dyDescent="0.3">
      <c r="A4633" t="s">
        <v>4649</v>
      </c>
      <c r="B4633" t="s">
        <v>21</v>
      </c>
      <c r="C4633">
        <v>3197</v>
      </c>
      <c r="D4633">
        <v>9.59</v>
      </c>
      <c r="E4633">
        <v>1.73</v>
      </c>
      <c r="F4633">
        <f>COUNTIFS(mdr_rate_cleaned!$A$2:$A$10,B4633,mdr_rate_cleaned!$B$2:$B$10,"&lt;"&amp;C4633,mdr_rate_cleaned!$F$2:$F$10,"&gt;="&amp;C4633)</f>
        <v>1</v>
      </c>
      <c r="G4633">
        <v>3.0000000000000001E-3</v>
      </c>
      <c r="H4633">
        <v>9.59</v>
      </c>
      <c r="I4633" t="s">
        <v>15</v>
      </c>
      <c r="J4633" t="s">
        <v>15</v>
      </c>
      <c r="K4633">
        <v>1.73</v>
      </c>
      <c r="L4633">
        <v>0</v>
      </c>
    </row>
    <row r="4634" spans="1:12" x14ac:dyDescent="0.3">
      <c r="A4634" t="s">
        <v>4650</v>
      </c>
      <c r="B4634" t="s">
        <v>17</v>
      </c>
      <c r="C4634">
        <v>3348</v>
      </c>
      <c r="D4634">
        <v>53.57</v>
      </c>
      <c r="E4634">
        <v>9.64</v>
      </c>
      <c r="F4634">
        <f>COUNTIFS(mdr_rate_cleaned!$A$2:$A$10,B4634,mdr_rate_cleaned!$B$2:$B$10,"&lt;"&amp;C4634,mdr_rate_cleaned!$F$2:$F$10,"&gt;="&amp;C4634)</f>
        <v>1</v>
      </c>
      <c r="G4634">
        <v>1.6E-2</v>
      </c>
      <c r="H4634">
        <v>53.57</v>
      </c>
      <c r="I4634" t="s">
        <v>15</v>
      </c>
      <c r="J4634" t="s">
        <v>15</v>
      </c>
      <c r="K4634">
        <v>9.64</v>
      </c>
      <c r="L4634">
        <v>0</v>
      </c>
    </row>
    <row r="4635" spans="1:12" x14ac:dyDescent="0.3">
      <c r="A4635" t="s">
        <v>4651</v>
      </c>
      <c r="B4635" t="s">
        <v>13</v>
      </c>
      <c r="C4635">
        <v>8947</v>
      </c>
      <c r="D4635">
        <v>152.1</v>
      </c>
      <c r="E4635">
        <v>27.38</v>
      </c>
      <c r="F4635">
        <f>COUNTIFS(mdr_rate_cleaned!$A$2:$A$10,B4635,mdr_rate_cleaned!$B$2:$B$10,"&lt;"&amp;C4635,mdr_rate_cleaned!$F$2:$F$10,"&gt;="&amp;C4635)</f>
        <v>1</v>
      </c>
      <c r="G4635">
        <v>1.7000000000000001E-2</v>
      </c>
      <c r="H4635">
        <v>152.1</v>
      </c>
      <c r="I4635" t="s">
        <v>15</v>
      </c>
      <c r="J4635" t="s">
        <v>15</v>
      </c>
      <c r="K4635">
        <v>27.38</v>
      </c>
      <c r="L4635">
        <v>0</v>
      </c>
    </row>
    <row r="4636" spans="1:12" x14ac:dyDescent="0.3">
      <c r="A4636" t="s">
        <v>4652</v>
      </c>
      <c r="B4636" t="s">
        <v>21</v>
      </c>
      <c r="C4636">
        <v>1499</v>
      </c>
      <c r="D4636">
        <v>0</v>
      </c>
      <c r="E4636">
        <v>0</v>
      </c>
      <c r="F4636">
        <f>COUNTIFS(mdr_rate_cleaned!$A$2:$A$10,B4636,mdr_rate_cleaned!$B$2:$B$10,"&lt;"&amp;C4636,mdr_rate_cleaned!$F$2:$F$10,"&gt;="&amp;C4636)</f>
        <v>1</v>
      </c>
      <c r="G4636">
        <v>0</v>
      </c>
      <c r="H4636">
        <v>0</v>
      </c>
      <c r="I4636" t="s">
        <v>15</v>
      </c>
      <c r="J4636" t="s">
        <v>15</v>
      </c>
      <c r="K4636">
        <v>0</v>
      </c>
      <c r="L4636">
        <v>0</v>
      </c>
    </row>
    <row r="4637" spans="1:12" x14ac:dyDescent="0.3">
      <c r="A4637" t="s">
        <v>4653</v>
      </c>
      <c r="B4637" t="s">
        <v>17</v>
      </c>
      <c r="C4637">
        <v>1299</v>
      </c>
      <c r="D4637">
        <v>23.38</v>
      </c>
      <c r="E4637">
        <v>4.21</v>
      </c>
      <c r="F4637">
        <f>COUNTIFS(mdr_rate_cleaned!$A$2:$A$10,B4637,mdr_rate_cleaned!$B$2:$B$10,"&lt;"&amp;C4637,mdr_rate_cleaned!$F$2:$F$10,"&gt;="&amp;C4637)</f>
        <v>1</v>
      </c>
      <c r="G4637">
        <v>1.7999999999999999E-2</v>
      </c>
      <c r="H4637">
        <v>23.38</v>
      </c>
      <c r="I4637" t="s">
        <v>15</v>
      </c>
      <c r="J4637" t="s">
        <v>15</v>
      </c>
      <c r="K4637">
        <v>4.21</v>
      </c>
      <c r="L4637">
        <v>0</v>
      </c>
    </row>
    <row r="4638" spans="1:12" x14ac:dyDescent="0.3">
      <c r="A4638" t="s">
        <v>4654</v>
      </c>
      <c r="B4638" t="s">
        <v>21</v>
      </c>
      <c r="C4638">
        <v>599</v>
      </c>
      <c r="D4638">
        <v>0</v>
      </c>
      <c r="E4638">
        <v>0</v>
      </c>
      <c r="F4638">
        <f>COUNTIFS(mdr_rate_cleaned!$A$2:$A$10,B4638,mdr_rate_cleaned!$B$2:$B$10,"&lt;"&amp;C4638,mdr_rate_cleaned!$F$2:$F$10,"&gt;="&amp;C4638)</f>
        <v>1</v>
      </c>
      <c r="G4638">
        <v>0</v>
      </c>
      <c r="H4638">
        <v>0</v>
      </c>
      <c r="I4638" t="s">
        <v>15</v>
      </c>
      <c r="J4638" t="s">
        <v>15</v>
      </c>
      <c r="K4638">
        <v>0</v>
      </c>
      <c r="L4638">
        <v>0</v>
      </c>
    </row>
    <row r="4639" spans="1:12" x14ac:dyDescent="0.3">
      <c r="A4639" t="s">
        <v>4655</v>
      </c>
      <c r="B4639" t="s">
        <v>17</v>
      </c>
      <c r="C4639">
        <v>4397</v>
      </c>
      <c r="D4639">
        <v>70.349999999999994</v>
      </c>
      <c r="E4639">
        <v>12.66</v>
      </c>
      <c r="F4639">
        <f>COUNTIFS(mdr_rate_cleaned!$A$2:$A$10,B4639,mdr_rate_cleaned!$B$2:$B$10,"&lt;"&amp;C4639,mdr_rate_cleaned!$F$2:$F$10,"&gt;="&amp;C4639)</f>
        <v>1</v>
      </c>
      <c r="G4639">
        <v>1.6E-2</v>
      </c>
      <c r="H4639">
        <v>70.349999999999994</v>
      </c>
      <c r="I4639" t="s">
        <v>15</v>
      </c>
      <c r="J4639" t="s">
        <v>15</v>
      </c>
      <c r="K4639">
        <v>12.66</v>
      </c>
      <c r="L4639">
        <v>0</v>
      </c>
    </row>
    <row r="4640" spans="1:12" x14ac:dyDescent="0.3">
      <c r="A4640" t="s">
        <v>4656</v>
      </c>
      <c r="B4640" t="s">
        <v>21</v>
      </c>
      <c r="C4640">
        <v>698</v>
      </c>
      <c r="D4640">
        <v>0</v>
      </c>
      <c r="E4640">
        <v>0</v>
      </c>
      <c r="F4640">
        <f>COUNTIFS(mdr_rate_cleaned!$A$2:$A$10,B4640,mdr_rate_cleaned!$B$2:$B$10,"&lt;"&amp;C4640,mdr_rate_cleaned!$F$2:$F$10,"&gt;="&amp;C4640)</f>
        <v>1</v>
      </c>
      <c r="G4640">
        <v>0</v>
      </c>
      <c r="H4640">
        <v>0</v>
      </c>
      <c r="I4640" t="s">
        <v>15</v>
      </c>
      <c r="J4640" t="s">
        <v>15</v>
      </c>
      <c r="K4640">
        <v>0</v>
      </c>
      <c r="L4640">
        <v>0</v>
      </c>
    </row>
    <row r="4641" spans="1:12" x14ac:dyDescent="0.3">
      <c r="A4641" t="s">
        <v>4657</v>
      </c>
      <c r="B4641" t="s">
        <v>21</v>
      </c>
      <c r="C4641">
        <v>5598</v>
      </c>
      <c r="D4641">
        <v>16.79</v>
      </c>
      <c r="E4641">
        <v>3.02</v>
      </c>
      <c r="F4641">
        <f>COUNTIFS(mdr_rate_cleaned!$A$2:$A$10,B4641,mdr_rate_cleaned!$B$2:$B$10,"&lt;"&amp;C4641,mdr_rate_cleaned!$F$2:$F$10,"&gt;="&amp;C4641)</f>
        <v>1</v>
      </c>
      <c r="G4641">
        <v>3.0000000000000001E-3</v>
      </c>
      <c r="H4641">
        <v>16.79</v>
      </c>
      <c r="I4641" t="s">
        <v>15</v>
      </c>
      <c r="J4641" t="s">
        <v>15</v>
      </c>
      <c r="K4641">
        <v>3.02</v>
      </c>
      <c r="L4641">
        <v>0</v>
      </c>
    </row>
    <row r="4642" spans="1:12" x14ac:dyDescent="0.3">
      <c r="A4642" t="s">
        <v>4658</v>
      </c>
      <c r="B4642" t="s">
        <v>21</v>
      </c>
      <c r="C4642">
        <v>2999</v>
      </c>
      <c r="D4642">
        <v>9</v>
      </c>
      <c r="E4642">
        <v>1.62</v>
      </c>
      <c r="F4642">
        <f>COUNTIFS(mdr_rate_cleaned!$A$2:$A$10,B4642,mdr_rate_cleaned!$B$2:$B$10,"&lt;"&amp;C4642,mdr_rate_cleaned!$F$2:$F$10,"&gt;="&amp;C4642)</f>
        <v>1</v>
      </c>
      <c r="G4642">
        <v>3.0000000000000001E-3</v>
      </c>
      <c r="H4642">
        <v>9</v>
      </c>
      <c r="I4642" t="s">
        <v>15</v>
      </c>
      <c r="J4642" t="s">
        <v>15</v>
      </c>
      <c r="K4642">
        <v>1.62</v>
      </c>
      <c r="L4642">
        <v>0</v>
      </c>
    </row>
    <row r="4643" spans="1:12" x14ac:dyDescent="0.3">
      <c r="A4643" t="s">
        <v>4659</v>
      </c>
      <c r="B4643" t="s">
        <v>17</v>
      </c>
      <c r="C4643">
        <v>3298</v>
      </c>
      <c r="D4643">
        <v>52.77</v>
      </c>
      <c r="E4643">
        <v>9.5</v>
      </c>
      <c r="F4643">
        <f>COUNTIFS(mdr_rate_cleaned!$A$2:$A$10,B4643,mdr_rate_cleaned!$B$2:$B$10,"&lt;"&amp;C4643,mdr_rate_cleaned!$F$2:$F$10,"&gt;="&amp;C4643)</f>
        <v>1</v>
      </c>
      <c r="G4643">
        <v>1.6E-2</v>
      </c>
      <c r="H4643">
        <v>52.77</v>
      </c>
      <c r="I4643" t="s">
        <v>15</v>
      </c>
      <c r="J4643" t="s">
        <v>15</v>
      </c>
      <c r="K4643">
        <v>9.5</v>
      </c>
      <c r="L4643">
        <v>0</v>
      </c>
    </row>
    <row r="4644" spans="1:12" x14ac:dyDescent="0.3">
      <c r="A4644" t="s">
        <v>4660</v>
      </c>
      <c r="B4644" t="s">
        <v>13</v>
      </c>
      <c r="C4644">
        <v>6998</v>
      </c>
      <c r="D4644">
        <v>118.97</v>
      </c>
      <c r="E4644">
        <v>21.41</v>
      </c>
      <c r="F4644">
        <f>COUNTIFS(mdr_rate_cleaned!$A$2:$A$10,B4644,mdr_rate_cleaned!$B$2:$B$10,"&lt;"&amp;C4644,mdr_rate_cleaned!$F$2:$F$10,"&gt;="&amp;C4644)</f>
        <v>1</v>
      </c>
      <c r="G4644">
        <v>1.7000000000000001E-2</v>
      </c>
      <c r="H4644">
        <v>118.97</v>
      </c>
      <c r="I4644" t="s">
        <v>15</v>
      </c>
      <c r="J4644" t="s">
        <v>15</v>
      </c>
      <c r="K4644">
        <v>21.41</v>
      </c>
      <c r="L4644">
        <v>0</v>
      </c>
    </row>
    <row r="4645" spans="1:12" x14ac:dyDescent="0.3">
      <c r="A4645" t="s">
        <v>4661</v>
      </c>
      <c r="B4645" t="s">
        <v>21</v>
      </c>
      <c r="C4645">
        <v>12297</v>
      </c>
      <c r="D4645">
        <v>36.89</v>
      </c>
      <c r="E4645">
        <v>6.64</v>
      </c>
      <c r="F4645">
        <f>COUNTIFS(mdr_rate_cleaned!$A$2:$A$10,B4645,mdr_rate_cleaned!$B$2:$B$10,"&lt;"&amp;C4645,mdr_rate_cleaned!$F$2:$F$10,"&gt;="&amp;C4645)</f>
        <v>1</v>
      </c>
      <c r="G4645">
        <v>3.0000000000000001E-3</v>
      </c>
      <c r="H4645">
        <v>36.89</v>
      </c>
      <c r="I4645" t="s">
        <v>15</v>
      </c>
      <c r="J4645" t="s">
        <v>15</v>
      </c>
      <c r="K4645">
        <v>6.64</v>
      </c>
      <c r="L4645">
        <v>0</v>
      </c>
    </row>
    <row r="4646" spans="1:12" x14ac:dyDescent="0.3">
      <c r="A4646" t="s">
        <v>4662</v>
      </c>
      <c r="B4646" t="s">
        <v>21</v>
      </c>
      <c r="C4646">
        <v>13597</v>
      </c>
      <c r="D4646">
        <v>40.79</v>
      </c>
      <c r="E4646">
        <v>7.34</v>
      </c>
      <c r="F4646">
        <f>COUNTIFS(mdr_rate_cleaned!$A$2:$A$10,B4646,mdr_rate_cleaned!$B$2:$B$10,"&lt;"&amp;C4646,mdr_rate_cleaned!$F$2:$F$10,"&gt;="&amp;C4646)</f>
        <v>1</v>
      </c>
      <c r="G4646">
        <v>3.0000000000000001E-3</v>
      </c>
      <c r="H4646">
        <v>40.79</v>
      </c>
      <c r="I4646" t="s">
        <v>15</v>
      </c>
      <c r="J4646" t="s">
        <v>15</v>
      </c>
      <c r="K4646">
        <v>7.34</v>
      </c>
      <c r="L4646">
        <v>0</v>
      </c>
    </row>
    <row r="4647" spans="1:12" x14ac:dyDescent="0.3">
      <c r="A4647" t="s">
        <v>4663</v>
      </c>
      <c r="B4647" t="s">
        <v>21</v>
      </c>
      <c r="C4647">
        <v>3498</v>
      </c>
      <c r="D4647">
        <v>10.49</v>
      </c>
      <c r="E4647">
        <v>1.89</v>
      </c>
      <c r="F4647">
        <f>COUNTIFS(mdr_rate_cleaned!$A$2:$A$10,B4647,mdr_rate_cleaned!$B$2:$B$10,"&lt;"&amp;C4647,mdr_rate_cleaned!$F$2:$F$10,"&gt;="&amp;C4647)</f>
        <v>1</v>
      </c>
      <c r="G4647">
        <v>3.0000000000000001E-3</v>
      </c>
      <c r="H4647">
        <v>10.49</v>
      </c>
      <c r="I4647" t="s">
        <v>15</v>
      </c>
      <c r="J4647" t="s">
        <v>15</v>
      </c>
      <c r="K4647">
        <v>1.89</v>
      </c>
      <c r="L4647">
        <v>0</v>
      </c>
    </row>
    <row r="4648" spans="1:12" x14ac:dyDescent="0.3">
      <c r="A4648" t="s">
        <v>4664</v>
      </c>
      <c r="B4648" t="s">
        <v>21</v>
      </c>
      <c r="C4648">
        <v>4999</v>
      </c>
      <c r="D4648">
        <v>15</v>
      </c>
      <c r="E4648">
        <v>2.7</v>
      </c>
      <c r="F4648">
        <f>COUNTIFS(mdr_rate_cleaned!$A$2:$A$10,B4648,mdr_rate_cleaned!$B$2:$B$10,"&lt;"&amp;C4648,mdr_rate_cleaned!$F$2:$F$10,"&gt;="&amp;C4648)</f>
        <v>1</v>
      </c>
      <c r="G4648">
        <v>3.0000000000000001E-3</v>
      </c>
      <c r="H4648">
        <v>15</v>
      </c>
      <c r="I4648" t="s">
        <v>15</v>
      </c>
      <c r="J4648" t="s">
        <v>15</v>
      </c>
      <c r="K4648">
        <v>2.7</v>
      </c>
      <c r="L4648">
        <v>0</v>
      </c>
    </row>
    <row r="4649" spans="1:12" x14ac:dyDescent="0.3">
      <c r="A4649" t="s">
        <v>4665</v>
      </c>
      <c r="B4649" t="s">
        <v>17</v>
      </c>
      <c r="C4649">
        <v>1299</v>
      </c>
      <c r="D4649">
        <v>23.38</v>
      </c>
      <c r="E4649">
        <v>4.21</v>
      </c>
      <c r="F4649">
        <f>COUNTIFS(mdr_rate_cleaned!$A$2:$A$10,B4649,mdr_rate_cleaned!$B$2:$B$10,"&lt;"&amp;C4649,mdr_rate_cleaned!$F$2:$F$10,"&gt;="&amp;C4649)</f>
        <v>1</v>
      </c>
      <c r="G4649">
        <v>1.7999999999999999E-2</v>
      </c>
      <c r="H4649">
        <v>23.38</v>
      </c>
      <c r="I4649" t="s">
        <v>15</v>
      </c>
      <c r="J4649" t="s">
        <v>15</v>
      </c>
      <c r="K4649">
        <v>4.21</v>
      </c>
      <c r="L4649">
        <v>0</v>
      </c>
    </row>
    <row r="4650" spans="1:12" x14ac:dyDescent="0.3">
      <c r="A4650" t="s">
        <v>4666</v>
      </c>
      <c r="B4650" t="s">
        <v>17</v>
      </c>
      <c r="C4650">
        <v>7999</v>
      </c>
      <c r="D4650">
        <v>127.98</v>
      </c>
      <c r="E4650">
        <v>23.04</v>
      </c>
      <c r="F4650">
        <f>COUNTIFS(mdr_rate_cleaned!$A$2:$A$10,B4650,mdr_rate_cleaned!$B$2:$B$10,"&lt;"&amp;C4650,mdr_rate_cleaned!$F$2:$F$10,"&gt;="&amp;C4650)</f>
        <v>1</v>
      </c>
      <c r="G4650">
        <v>1.6E-2</v>
      </c>
      <c r="H4650">
        <v>127.98</v>
      </c>
      <c r="I4650" t="s">
        <v>15</v>
      </c>
      <c r="J4650" t="s">
        <v>15</v>
      </c>
      <c r="K4650">
        <v>23.04</v>
      </c>
      <c r="L4650">
        <v>0</v>
      </c>
    </row>
    <row r="4651" spans="1:12" x14ac:dyDescent="0.3">
      <c r="A4651" t="s">
        <v>4667</v>
      </c>
      <c r="B4651" t="s">
        <v>17</v>
      </c>
      <c r="C4651">
        <v>3499</v>
      </c>
      <c r="D4651">
        <v>55.98</v>
      </c>
      <c r="E4651">
        <v>10.08</v>
      </c>
      <c r="F4651">
        <f>COUNTIFS(mdr_rate_cleaned!$A$2:$A$10,B4651,mdr_rate_cleaned!$B$2:$B$10,"&lt;"&amp;C4651,mdr_rate_cleaned!$F$2:$F$10,"&gt;="&amp;C4651)</f>
        <v>1</v>
      </c>
      <c r="G4651">
        <v>1.6E-2</v>
      </c>
      <c r="H4651">
        <v>55.98</v>
      </c>
      <c r="I4651" t="s">
        <v>15</v>
      </c>
      <c r="J4651" t="s">
        <v>15</v>
      </c>
      <c r="K4651">
        <v>10.08</v>
      </c>
      <c r="L4651">
        <v>0</v>
      </c>
    </row>
    <row r="4652" spans="1:12" x14ac:dyDescent="0.3">
      <c r="A4652" t="s">
        <v>4668</v>
      </c>
      <c r="B4652" t="s">
        <v>17</v>
      </c>
      <c r="C4652">
        <v>299</v>
      </c>
      <c r="D4652">
        <v>5.38</v>
      </c>
      <c r="E4652">
        <v>0.97</v>
      </c>
      <c r="F4652">
        <f>COUNTIFS(mdr_rate_cleaned!$A$2:$A$10,B4652,mdr_rate_cleaned!$B$2:$B$10,"&lt;"&amp;C4652,mdr_rate_cleaned!$F$2:$F$10,"&gt;="&amp;C4652)</f>
        <v>1</v>
      </c>
      <c r="G4652">
        <v>1.7999999999999999E-2</v>
      </c>
      <c r="H4652">
        <v>5.38</v>
      </c>
      <c r="I4652" t="s">
        <v>15</v>
      </c>
      <c r="J4652" t="s">
        <v>15</v>
      </c>
      <c r="K4652">
        <v>0.97</v>
      </c>
      <c r="L4652">
        <v>0</v>
      </c>
    </row>
    <row r="4653" spans="1:12" x14ac:dyDescent="0.3">
      <c r="A4653" t="s">
        <v>4669</v>
      </c>
      <c r="B4653" t="s">
        <v>17</v>
      </c>
      <c r="C4653">
        <v>2499</v>
      </c>
      <c r="D4653">
        <v>39.979999999999997</v>
      </c>
      <c r="E4653">
        <v>7.2</v>
      </c>
      <c r="F4653">
        <f>COUNTIFS(mdr_rate_cleaned!$A$2:$A$10,B4653,mdr_rate_cleaned!$B$2:$B$10,"&lt;"&amp;C4653,mdr_rate_cleaned!$F$2:$F$10,"&gt;="&amp;C4653)</f>
        <v>1</v>
      </c>
      <c r="G4653">
        <v>1.6E-2</v>
      </c>
      <c r="H4653">
        <v>39.979999999999997</v>
      </c>
      <c r="I4653" t="s">
        <v>15</v>
      </c>
      <c r="J4653" t="s">
        <v>15</v>
      </c>
      <c r="K4653">
        <v>7.2</v>
      </c>
      <c r="L4653">
        <v>0</v>
      </c>
    </row>
    <row r="4654" spans="1:12" x14ac:dyDescent="0.3">
      <c r="A4654" t="s">
        <v>4670</v>
      </c>
      <c r="B4654" t="s">
        <v>21</v>
      </c>
      <c r="C4654">
        <v>1648</v>
      </c>
      <c r="D4654">
        <v>0</v>
      </c>
      <c r="E4654">
        <v>0</v>
      </c>
      <c r="F4654">
        <f>COUNTIFS(mdr_rate_cleaned!$A$2:$A$10,B4654,mdr_rate_cleaned!$B$2:$B$10,"&lt;"&amp;C4654,mdr_rate_cleaned!$F$2:$F$10,"&gt;="&amp;C4654)</f>
        <v>1</v>
      </c>
      <c r="G4654">
        <v>0</v>
      </c>
      <c r="H4654">
        <v>0</v>
      </c>
      <c r="I4654" t="s">
        <v>15</v>
      </c>
      <c r="J4654" t="s">
        <v>15</v>
      </c>
      <c r="K4654">
        <v>0</v>
      </c>
      <c r="L4654">
        <v>0</v>
      </c>
    </row>
    <row r="4655" spans="1:12" x14ac:dyDescent="0.3">
      <c r="A4655" t="s">
        <v>4671</v>
      </c>
      <c r="B4655" t="s">
        <v>21</v>
      </c>
      <c r="C4655">
        <v>12297</v>
      </c>
      <c r="D4655">
        <v>36.89</v>
      </c>
      <c r="E4655">
        <v>6.64</v>
      </c>
      <c r="F4655">
        <f>COUNTIFS(mdr_rate_cleaned!$A$2:$A$10,B4655,mdr_rate_cleaned!$B$2:$B$10,"&lt;"&amp;C4655,mdr_rate_cleaned!$F$2:$F$10,"&gt;="&amp;C4655)</f>
        <v>1</v>
      </c>
      <c r="G4655">
        <v>3.0000000000000001E-3</v>
      </c>
      <c r="H4655">
        <v>36.89</v>
      </c>
      <c r="I4655" t="s">
        <v>15</v>
      </c>
      <c r="J4655" t="s">
        <v>15</v>
      </c>
      <c r="K4655">
        <v>6.64</v>
      </c>
      <c r="L4655">
        <v>0</v>
      </c>
    </row>
    <row r="4656" spans="1:12" x14ac:dyDescent="0.3">
      <c r="A4656" t="s">
        <v>4672</v>
      </c>
      <c r="B4656" t="s">
        <v>17</v>
      </c>
      <c r="C4656">
        <v>1298</v>
      </c>
      <c r="D4656">
        <v>23.36</v>
      </c>
      <c r="E4656">
        <v>4.2</v>
      </c>
      <c r="F4656">
        <f>COUNTIFS(mdr_rate_cleaned!$A$2:$A$10,B4656,mdr_rate_cleaned!$B$2:$B$10,"&lt;"&amp;C4656,mdr_rate_cleaned!$F$2:$F$10,"&gt;="&amp;C4656)</f>
        <v>1</v>
      </c>
      <c r="G4656">
        <v>1.7999999999999999E-2</v>
      </c>
      <c r="H4656">
        <v>23.36</v>
      </c>
      <c r="I4656" t="s">
        <v>15</v>
      </c>
      <c r="J4656" t="s">
        <v>15</v>
      </c>
      <c r="K4656">
        <v>4.2</v>
      </c>
      <c r="L4656">
        <v>0</v>
      </c>
    </row>
    <row r="4657" spans="1:12" x14ac:dyDescent="0.3">
      <c r="A4657" t="s">
        <v>4673</v>
      </c>
      <c r="B4657" t="s">
        <v>17</v>
      </c>
      <c r="C4657">
        <v>7999</v>
      </c>
      <c r="D4657">
        <v>127.98</v>
      </c>
      <c r="E4657">
        <v>23.04</v>
      </c>
      <c r="F4657">
        <f>COUNTIFS(mdr_rate_cleaned!$A$2:$A$10,B4657,mdr_rate_cleaned!$B$2:$B$10,"&lt;"&amp;C4657,mdr_rate_cleaned!$F$2:$F$10,"&gt;="&amp;C4657)</f>
        <v>1</v>
      </c>
      <c r="G4657">
        <v>1.6E-2</v>
      </c>
      <c r="H4657">
        <v>127.98</v>
      </c>
      <c r="I4657" t="s">
        <v>15</v>
      </c>
      <c r="J4657" t="s">
        <v>15</v>
      </c>
      <c r="K4657">
        <v>23.04</v>
      </c>
      <c r="L4657">
        <v>0</v>
      </c>
    </row>
    <row r="4658" spans="1:12" x14ac:dyDescent="0.3">
      <c r="A4658" t="s">
        <v>4674</v>
      </c>
      <c r="B4658" t="s">
        <v>21</v>
      </c>
      <c r="C4658">
        <v>1798</v>
      </c>
      <c r="D4658">
        <v>0</v>
      </c>
      <c r="E4658">
        <v>0</v>
      </c>
      <c r="F4658">
        <f>COUNTIFS(mdr_rate_cleaned!$A$2:$A$10,B4658,mdr_rate_cleaned!$B$2:$B$10,"&lt;"&amp;C4658,mdr_rate_cleaned!$F$2:$F$10,"&gt;="&amp;C4658)</f>
        <v>1</v>
      </c>
      <c r="G4658">
        <v>0</v>
      </c>
      <c r="H4658">
        <v>0</v>
      </c>
      <c r="I4658" t="s">
        <v>15</v>
      </c>
      <c r="J4658" t="s">
        <v>15</v>
      </c>
      <c r="K4658">
        <v>0</v>
      </c>
      <c r="L4658">
        <v>0</v>
      </c>
    </row>
    <row r="4659" spans="1:12" x14ac:dyDescent="0.3">
      <c r="A4659" t="s">
        <v>4675</v>
      </c>
      <c r="B4659" t="s">
        <v>21</v>
      </c>
      <c r="C4659">
        <v>4999</v>
      </c>
      <c r="D4659">
        <v>15</v>
      </c>
      <c r="E4659">
        <v>2.7</v>
      </c>
      <c r="F4659">
        <f>COUNTIFS(mdr_rate_cleaned!$A$2:$A$10,B4659,mdr_rate_cleaned!$B$2:$B$10,"&lt;"&amp;C4659,mdr_rate_cleaned!$F$2:$F$10,"&gt;="&amp;C4659)</f>
        <v>1</v>
      </c>
      <c r="G4659">
        <v>3.0000000000000001E-3</v>
      </c>
      <c r="H4659">
        <v>15</v>
      </c>
      <c r="I4659" t="s">
        <v>15</v>
      </c>
      <c r="J4659" t="s">
        <v>15</v>
      </c>
      <c r="K4659">
        <v>2.7</v>
      </c>
      <c r="L4659">
        <v>0</v>
      </c>
    </row>
    <row r="4660" spans="1:12" x14ac:dyDescent="0.3">
      <c r="A4660" t="s">
        <v>4676</v>
      </c>
      <c r="B4660" t="s">
        <v>21</v>
      </c>
      <c r="C4660">
        <v>1299</v>
      </c>
      <c r="D4660">
        <v>0</v>
      </c>
      <c r="E4660">
        <v>0</v>
      </c>
      <c r="F4660">
        <f>COUNTIFS(mdr_rate_cleaned!$A$2:$A$10,B4660,mdr_rate_cleaned!$B$2:$B$10,"&lt;"&amp;C4660,mdr_rate_cleaned!$F$2:$F$10,"&gt;="&amp;C4660)</f>
        <v>1</v>
      </c>
      <c r="G4660">
        <v>0</v>
      </c>
      <c r="H4660">
        <v>0</v>
      </c>
      <c r="I4660" t="s">
        <v>15</v>
      </c>
      <c r="J4660" t="s">
        <v>15</v>
      </c>
      <c r="K4660">
        <v>0</v>
      </c>
      <c r="L4660">
        <v>0</v>
      </c>
    </row>
    <row r="4661" spans="1:12" x14ac:dyDescent="0.3">
      <c r="A4661" t="s">
        <v>4677</v>
      </c>
      <c r="B4661" t="s">
        <v>21</v>
      </c>
      <c r="C4661">
        <v>799</v>
      </c>
      <c r="D4661">
        <v>0</v>
      </c>
      <c r="E4661">
        <v>0</v>
      </c>
      <c r="F4661">
        <f>COUNTIFS(mdr_rate_cleaned!$A$2:$A$10,B4661,mdr_rate_cleaned!$B$2:$B$10,"&lt;"&amp;C4661,mdr_rate_cleaned!$F$2:$F$10,"&gt;="&amp;C4661)</f>
        <v>1</v>
      </c>
      <c r="G4661">
        <v>0</v>
      </c>
      <c r="H4661">
        <v>0</v>
      </c>
      <c r="I4661" t="s">
        <v>15</v>
      </c>
      <c r="J4661" t="s">
        <v>15</v>
      </c>
      <c r="K4661">
        <v>0</v>
      </c>
      <c r="L4661">
        <v>0</v>
      </c>
    </row>
    <row r="4662" spans="1:12" x14ac:dyDescent="0.3">
      <c r="A4662" t="s">
        <v>4678</v>
      </c>
      <c r="B4662" t="s">
        <v>13</v>
      </c>
      <c r="C4662">
        <v>2499</v>
      </c>
      <c r="D4662">
        <v>42.48</v>
      </c>
      <c r="E4662">
        <v>7.65</v>
      </c>
      <c r="F4662">
        <f>COUNTIFS(mdr_rate_cleaned!$A$2:$A$10,B4662,mdr_rate_cleaned!$B$2:$B$10,"&lt;"&amp;C4662,mdr_rate_cleaned!$F$2:$F$10,"&gt;="&amp;C4662)</f>
        <v>1</v>
      </c>
      <c r="G4662">
        <v>1.7000000000000001E-2</v>
      </c>
      <c r="H4662">
        <v>42.48</v>
      </c>
      <c r="I4662" t="s">
        <v>15</v>
      </c>
      <c r="J4662" t="s">
        <v>15</v>
      </c>
      <c r="K4662">
        <v>7.65</v>
      </c>
      <c r="L4662">
        <v>0</v>
      </c>
    </row>
    <row r="4663" spans="1:12" x14ac:dyDescent="0.3">
      <c r="A4663" t="s">
        <v>4679</v>
      </c>
      <c r="B4663" t="s">
        <v>21</v>
      </c>
      <c r="C4663">
        <v>799</v>
      </c>
      <c r="D4663">
        <v>0</v>
      </c>
      <c r="E4663">
        <v>0</v>
      </c>
      <c r="F4663">
        <f>COUNTIFS(mdr_rate_cleaned!$A$2:$A$10,B4663,mdr_rate_cleaned!$B$2:$B$10,"&lt;"&amp;C4663,mdr_rate_cleaned!$F$2:$F$10,"&gt;="&amp;C4663)</f>
        <v>1</v>
      </c>
      <c r="G4663">
        <v>0</v>
      </c>
      <c r="H4663">
        <v>0</v>
      </c>
      <c r="I4663" t="s">
        <v>15</v>
      </c>
      <c r="J4663" t="s">
        <v>15</v>
      </c>
      <c r="K4663">
        <v>0</v>
      </c>
      <c r="L4663">
        <v>0</v>
      </c>
    </row>
    <row r="4664" spans="1:12" x14ac:dyDescent="0.3">
      <c r="A4664" t="s">
        <v>4680</v>
      </c>
      <c r="B4664" t="s">
        <v>13</v>
      </c>
      <c r="C4664">
        <v>1799</v>
      </c>
      <c r="D4664">
        <v>34.18</v>
      </c>
      <c r="E4664">
        <v>6.15</v>
      </c>
      <c r="F4664">
        <f>COUNTIFS(mdr_rate_cleaned!$A$2:$A$10,B4664,mdr_rate_cleaned!$B$2:$B$10,"&lt;"&amp;C4664,mdr_rate_cleaned!$F$2:$F$10,"&gt;="&amp;C4664)</f>
        <v>1</v>
      </c>
      <c r="G4664">
        <v>1.9E-2</v>
      </c>
      <c r="H4664">
        <v>34.18</v>
      </c>
      <c r="I4664" t="s">
        <v>15</v>
      </c>
      <c r="J4664" t="s">
        <v>15</v>
      </c>
      <c r="K4664">
        <v>6.15</v>
      </c>
      <c r="L4664">
        <v>0</v>
      </c>
    </row>
    <row r="4665" spans="1:12" x14ac:dyDescent="0.3">
      <c r="A4665" t="s">
        <v>4681</v>
      </c>
      <c r="B4665" t="s">
        <v>17</v>
      </c>
      <c r="C4665">
        <v>2148</v>
      </c>
      <c r="D4665">
        <v>34.369999999999997</v>
      </c>
      <c r="E4665">
        <v>6.19</v>
      </c>
      <c r="F4665">
        <f>COUNTIFS(mdr_rate_cleaned!$A$2:$A$10,B4665,mdr_rate_cleaned!$B$2:$B$10,"&lt;"&amp;C4665,mdr_rate_cleaned!$F$2:$F$10,"&gt;="&amp;C4665)</f>
        <v>1</v>
      </c>
      <c r="G4665">
        <v>1.6E-2</v>
      </c>
      <c r="H4665">
        <v>34.369999999999997</v>
      </c>
      <c r="I4665" t="s">
        <v>15</v>
      </c>
      <c r="J4665" t="s">
        <v>15</v>
      </c>
      <c r="K4665">
        <v>6.19</v>
      </c>
      <c r="L4665">
        <v>0</v>
      </c>
    </row>
    <row r="4666" spans="1:12" x14ac:dyDescent="0.3">
      <c r="A4666" t="s">
        <v>4682</v>
      </c>
      <c r="B4666" t="s">
        <v>21</v>
      </c>
      <c r="C4666">
        <v>499</v>
      </c>
      <c r="D4666">
        <v>0</v>
      </c>
      <c r="E4666">
        <v>0</v>
      </c>
      <c r="F4666">
        <f>COUNTIFS(mdr_rate_cleaned!$A$2:$A$10,B4666,mdr_rate_cleaned!$B$2:$B$10,"&lt;"&amp;C4666,mdr_rate_cleaned!$F$2:$F$10,"&gt;="&amp;C4666)</f>
        <v>1</v>
      </c>
      <c r="G4666">
        <v>0</v>
      </c>
      <c r="H4666">
        <v>0</v>
      </c>
      <c r="I4666" t="s">
        <v>15</v>
      </c>
      <c r="J4666" t="s">
        <v>15</v>
      </c>
      <c r="K4666">
        <v>0</v>
      </c>
      <c r="L4666">
        <v>0</v>
      </c>
    </row>
    <row r="4667" spans="1:12" x14ac:dyDescent="0.3">
      <c r="A4667" t="s">
        <v>4683</v>
      </c>
      <c r="B4667" t="s">
        <v>17</v>
      </c>
      <c r="C4667">
        <v>4497</v>
      </c>
      <c r="D4667">
        <v>71.95</v>
      </c>
      <c r="E4667">
        <v>12.95</v>
      </c>
      <c r="F4667">
        <f>COUNTIFS(mdr_rate_cleaned!$A$2:$A$10,B4667,mdr_rate_cleaned!$B$2:$B$10,"&lt;"&amp;C4667,mdr_rate_cleaned!$F$2:$F$10,"&gt;="&amp;C4667)</f>
        <v>1</v>
      </c>
      <c r="G4667">
        <v>1.6E-2</v>
      </c>
      <c r="H4667">
        <v>71.95</v>
      </c>
      <c r="I4667" t="s">
        <v>15</v>
      </c>
      <c r="J4667" t="s">
        <v>15</v>
      </c>
      <c r="K4667">
        <v>12.95</v>
      </c>
      <c r="L4667">
        <v>0</v>
      </c>
    </row>
    <row r="4668" spans="1:12" x14ac:dyDescent="0.3">
      <c r="A4668" t="s">
        <v>4684</v>
      </c>
      <c r="B4668" t="s">
        <v>39</v>
      </c>
      <c r="C4668">
        <v>3499</v>
      </c>
      <c r="D4668">
        <v>41.99</v>
      </c>
      <c r="E4668">
        <v>7.56</v>
      </c>
      <c r="F4668">
        <f>COUNTIFS(mdr_rate_cleaned!$A$2:$A$10,B4668,mdr_rate_cleaned!$B$2:$B$10,"&lt;"&amp;C4668,mdr_rate_cleaned!$F$2:$F$10,"&gt;="&amp;C4668)</f>
        <v>1</v>
      </c>
      <c r="G4668">
        <v>1.2E-2</v>
      </c>
      <c r="H4668">
        <v>41.99</v>
      </c>
      <c r="I4668" t="s">
        <v>15</v>
      </c>
      <c r="J4668" t="s">
        <v>15</v>
      </c>
      <c r="K4668">
        <v>7.56</v>
      </c>
      <c r="L4668">
        <v>0</v>
      </c>
    </row>
    <row r="4669" spans="1:12" x14ac:dyDescent="0.3">
      <c r="A4669" t="s">
        <v>4685</v>
      </c>
      <c r="B4669" t="s">
        <v>39</v>
      </c>
      <c r="C4669">
        <v>3499</v>
      </c>
      <c r="D4669">
        <v>41.99</v>
      </c>
      <c r="E4669">
        <v>7.56</v>
      </c>
      <c r="F4669">
        <f>COUNTIFS(mdr_rate_cleaned!$A$2:$A$10,B4669,mdr_rate_cleaned!$B$2:$B$10,"&lt;"&amp;C4669,mdr_rate_cleaned!$F$2:$F$10,"&gt;="&amp;C4669)</f>
        <v>1</v>
      </c>
      <c r="G4669">
        <v>1.2E-2</v>
      </c>
      <c r="H4669">
        <v>41.99</v>
      </c>
      <c r="I4669" t="s">
        <v>15</v>
      </c>
      <c r="J4669" t="s">
        <v>15</v>
      </c>
      <c r="K4669">
        <v>7.56</v>
      </c>
      <c r="L4669">
        <v>0</v>
      </c>
    </row>
    <row r="4670" spans="1:12" x14ac:dyDescent="0.3">
      <c r="A4670" t="s">
        <v>4686</v>
      </c>
      <c r="B4670" t="s">
        <v>17</v>
      </c>
      <c r="C4670">
        <v>799</v>
      </c>
      <c r="D4670">
        <v>14.38</v>
      </c>
      <c r="E4670">
        <v>2.59</v>
      </c>
      <c r="F4670">
        <f>COUNTIFS(mdr_rate_cleaned!$A$2:$A$10,B4670,mdr_rate_cleaned!$B$2:$B$10,"&lt;"&amp;C4670,mdr_rate_cleaned!$F$2:$F$10,"&gt;="&amp;C4670)</f>
        <v>1</v>
      </c>
      <c r="G4670">
        <v>1.7999999999999999E-2</v>
      </c>
      <c r="H4670">
        <v>14.38</v>
      </c>
      <c r="I4670" t="s">
        <v>15</v>
      </c>
      <c r="J4670" t="s">
        <v>15</v>
      </c>
      <c r="K4670">
        <v>2.59</v>
      </c>
      <c r="L4670">
        <v>0</v>
      </c>
    </row>
    <row r="4671" spans="1:12" x14ac:dyDescent="0.3">
      <c r="A4671" t="s">
        <v>4687</v>
      </c>
      <c r="B4671" t="s">
        <v>13</v>
      </c>
      <c r="C4671">
        <v>9498</v>
      </c>
      <c r="D4671">
        <v>161.47</v>
      </c>
      <c r="E4671">
        <v>29.06</v>
      </c>
      <c r="F4671">
        <f>COUNTIFS(mdr_rate_cleaned!$A$2:$A$10,B4671,mdr_rate_cleaned!$B$2:$B$10,"&lt;"&amp;C4671,mdr_rate_cleaned!$F$2:$F$10,"&gt;="&amp;C4671)</f>
        <v>1</v>
      </c>
      <c r="G4671">
        <v>1.7000000000000001E-2</v>
      </c>
      <c r="H4671">
        <v>161.47</v>
      </c>
      <c r="I4671" t="s">
        <v>15</v>
      </c>
      <c r="J4671" t="s">
        <v>15</v>
      </c>
      <c r="K4671">
        <v>29.06</v>
      </c>
      <c r="L4671">
        <v>0</v>
      </c>
    </row>
    <row r="4672" spans="1:12" x14ac:dyDescent="0.3">
      <c r="A4672" t="s">
        <v>4688</v>
      </c>
      <c r="B4672" t="s">
        <v>17</v>
      </c>
      <c r="C4672">
        <v>5498</v>
      </c>
      <c r="D4672">
        <v>87.97</v>
      </c>
      <c r="E4672">
        <v>15.83</v>
      </c>
      <c r="F4672">
        <f>COUNTIFS(mdr_rate_cleaned!$A$2:$A$10,B4672,mdr_rate_cleaned!$B$2:$B$10,"&lt;"&amp;C4672,mdr_rate_cleaned!$F$2:$F$10,"&gt;="&amp;C4672)</f>
        <v>1</v>
      </c>
      <c r="G4672">
        <v>1.6E-2</v>
      </c>
      <c r="H4672">
        <v>87.97</v>
      </c>
      <c r="I4672" t="s">
        <v>15</v>
      </c>
      <c r="J4672" t="s">
        <v>15</v>
      </c>
      <c r="K4672">
        <v>15.83</v>
      </c>
      <c r="L4672">
        <v>0</v>
      </c>
    </row>
    <row r="4673" spans="1:12" x14ac:dyDescent="0.3">
      <c r="A4673" t="s">
        <v>4689</v>
      </c>
      <c r="B4673" t="s">
        <v>39</v>
      </c>
      <c r="C4673">
        <v>7999</v>
      </c>
      <c r="D4673">
        <v>95.99</v>
      </c>
      <c r="E4673">
        <v>17.28</v>
      </c>
      <c r="F4673">
        <f>COUNTIFS(mdr_rate_cleaned!$A$2:$A$10,B4673,mdr_rate_cleaned!$B$2:$B$10,"&lt;"&amp;C4673,mdr_rate_cleaned!$F$2:$F$10,"&gt;="&amp;C4673)</f>
        <v>1</v>
      </c>
      <c r="G4673">
        <v>1.2E-2</v>
      </c>
      <c r="H4673">
        <v>95.99</v>
      </c>
      <c r="I4673" t="s">
        <v>15</v>
      </c>
      <c r="J4673" t="s">
        <v>15</v>
      </c>
      <c r="K4673">
        <v>17.28</v>
      </c>
      <c r="L4673">
        <v>0</v>
      </c>
    </row>
    <row r="4674" spans="1:12" x14ac:dyDescent="0.3">
      <c r="A4674" t="s">
        <v>4690</v>
      </c>
      <c r="B4674" t="s">
        <v>21</v>
      </c>
      <c r="C4674">
        <v>299</v>
      </c>
      <c r="D4674">
        <v>0</v>
      </c>
      <c r="E4674">
        <v>0</v>
      </c>
      <c r="F4674">
        <f>COUNTIFS(mdr_rate_cleaned!$A$2:$A$10,B4674,mdr_rate_cleaned!$B$2:$B$10,"&lt;"&amp;C4674,mdr_rate_cleaned!$F$2:$F$10,"&gt;="&amp;C4674)</f>
        <v>1</v>
      </c>
      <c r="G4674">
        <v>0</v>
      </c>
      <c r="H4674">
        <v>0</v>
      </c>
      <c r="I4674" t="s">
        <v>15</v>
      </c>
      <c r="J4674" t="s">
        <v>15</v>
      </c>
      <c r="K4674">
        <v>0</v>
      </c>
      <c r="L4674">
        <v>0</v>
      </c>
    </row>
    <row r="4675" spans="1:12" x14ac:dyDescent="0.3">
      <c r="A4675" t="s">
        <v>4691</v>
      </c>
      <c r="B4675" t="s">
        <v>21</v>
      </c>
      <c r="C4675">
        <v>1299</v>
      </c>
      <c r="D4675">
        <v>0</v>
      </c>
      <c r="E4675">
        <v>0</v>
      </c>
      <c r="F4675">
        <f>COUNTIFS(mdr_rate_cleaned!$A$2:$A$10,B4675,mdr_rate_cleaned!$B$2:$B$10,"&lt;"&amp;C4675,mdr_rate_cleaned!$F$2:$F$10,"&gt;="&amp;C4675)</f>
        <v>1</v>
      </c>
      <c r="G4675">
        <v>0</v>
      </c>
      <c r="H4675">
        <v>0</v>
      </c>
      <c r="I4675" t="s">
        <v>15</v>
      </c>
      <c r="J4675" t="s">
        <v>15</v>
      </c>
      <c r="K4675">
        <v>0</v>
      </c>
      <c r="L4675">
        <v>0</v>
      </c>
    </row>
    <row r="4676" spans="1:12" x14ac:dyDescent="0.3">
      <c r="A4676" t="s">
        <v>4692</v>
      </c>
      <c r="B4676" t="s">
        <v>17</v>
      </c>
      <c r="C4676">
        <v>7147</v>
      </c>
      <c r="D4676">
        <v>114.35</v>
      </c>
      <c r="E4676">
        <v>20.58</v>
      </c>
      <c r="F4676">
        <f>COUNTIFS(mdr_rate_cleaned!$A$2:$A$10,B4676,mdr_rate_cleaned!$B$2:$B$10,"&lt;"&amp;C4676,mdr_rate_cleaned!$F$2:$F$10,"&gt;="&amp;C4676)</f>
        <v>1</v>
      </c>
      <c r="G4676">
        <v>1.6E-2</v>
      </c>
      <c r="H4676">
        <v>114.35</v>
      </c>
      <c r="I4676" t="s">
        <v>15</v>
      </c>
      <c r="J4676" t="s">
        <v>15</v>
      </c>
      <c r="K4676">
        <v>20.58</v>
      </c>
      <c r="L4676">
        <v>0</v>
      </c>
    </row>
    <row r="4677" spans="1:12" x14ac:dyDescent="0.3">
      <c r="A4677" t="s">
        <v>4693</v>
      </c>
      <c r="B4677" t="s">
        <v>21</v>
      </c>
      <c r="C4677">
        <v>848</v>
      </c>
      <c r="D4677">
        <v>0</v>
      </c>
      <c r="E4677">
        <v>0</v>
      </c>
      <c r="F4677">
        <f>COUNTIFS(mdr_rate_cleaned!$A$2:$A$10,B4677,mdr_rate_cleaned!$B$2:$B$10,"&lt;"&amp;C4677,mdr_rate_cleaned!$F$2:$F$10,"&gt;="&amp;C4677)</f>
        <v>1</v>
      </c>
      <c r="G4677">
        <v>0</v>
      </c>
      <c r="H4677">
        <v>0</v>
      </c>
      <c r="I4677" t="s">
        <v>15</v>
      </c>
      <c r="J4677" t="s">
        <v>15</v>
      </c>
      <c r="K4677">
        <v>0</v>
      </c>
      <c r="L4677">
        <v>0</v>
      </c>
    </row>
    <row r="4678" spans="1:12" x14ac:dyDescent="0.3">
      <c r="A4678" t="s">
        <v>4694</v>
      </c>
      <c r="B4678" t="s">
        <v>39</v>
      </c>
      <c r="C4678">
        <v>11497</v>
      </c>
      <c r="D4678">
        <v>103.47</v>
      </c>
      <c r="E4678">
        <v>18.62</v>
      </c>
      <c r="F4678">
        <f>COUNTIFS(mdr_rate_cleaned!$A$2:$A$10,B4678,mdr_rate_cleaned!$B$2:$B$10,"&lt;"&amp;C4678,mdr_rate_cleaned!$F$2:$F$10,"&gt;="&amp;C4678)</f>
        <v>1</v>
      </c>
      <c r="G4678">
        <v>8.9999999999999993E-3</v>
      </c>
      <c r="H4678">
        <v>103.47</v>
      </c>
      <c r="I4678" t="s">
        <v>15</v>
      </c>
      <c r="J4678" t="s">
        <v>15</v>
      </c>
      <c r="K4678">
        <v>18.62</v>
      </c>
      <c r="L4678">
        <v>0</v>
      </c>
    </row>
    <row r="4679" spans="1:12" x14ac:dyDescent="0.3">
      <c r="A4679" t="s">
        <v>4695</v>
      </c>
      <c r="B4679" t="s">
        <v>21</v>
      </c>
      <c r="C4679">
        <v>999</v>
      </c>
      <c r="D4679">
        <v>0</v>
      </c>
      <c r="E4679">
        <v>0</v>
      </c>
      <c r="F4679">
        <f>COUNTIFS(mdr_rate_cleaned!$A$2:$A$10,B4679,mdr_rate_cleaned!$B$2:$B$10,"&lt;"&amp;C4679,mdr_rate_cleaned!$F$2:$F$10,"&gt;="&amp;C4679)</f>
        <v>1</v>
      </c>
      <c r="G4679">
        <v>0</v>
      </c>
      <c r="H4679">
        <v>0</v>
      </c>
      <c r="I4679" t="s">
        <v>15</v>
      </c>
      <c r="J4679" t="s">
        <v>15</v>
      </c>
      <c r="K4679">
        <v>0</v>
      </c>
      <c r="L4679">
        <v>0</v>
      </c>
    </row>
    <row r="4680" spans="1:12" x14ac:dyDescent="0.3">
      <c r="A4680" t="s">
        <v>4696</v>
      </c>
      <c r="B4680" t="s">
        <v>39</v>
      </c>
      <c r="C4680">
        <v>7999</v>
      </c>
      <c r="D4680">
        <v>95.99</v>
      </c>
      <c r="E4680">
        <v>17.28</v>
      </c>
      <c r="F4680">
        <f>COUNTIFS(mdr_rate_cleaned!$A$2:$A$10,B4680,mdr_rate_cleaned!$B$2:$B$10,"&lt;"&amp;C4680,mdr_rate_cleaned!$F$2:$F$10,"&gt;="&amp;C4680)</f>
        <v>1</v>
      </c>
      <c r="G4680">
        <v>1.2E-2</v>
      </c>
      <c r="H4680">
        <v>95.99</v>
      </c>
      <c r="I4680" t="s">
        <v>15</v>
      </c>
      <c r="J4680" t="s">
        <v>15</v>
      </c>
      <c r="K4680">
        <v>17.28</v>
      </c>
      <c r="L4680">
        <v>0</v>
      </c>
    </row>
    <row r="4681" spans="1:12" x14ac:dyDescent="0.3">
      <c r="A4681" t="s">
        <v>4697</v>
      </c>
      <c r="B4681" t="s">
        <v>17</v>
      </c>
      <c r="C4681">
        <v>3998</v>
      </c>
      <c r="D4681">
        <v>63.97</v>
      </c>
      <c r="E4681">
        <v>11.51</v>
      </c>
      <c r="F4681">
        <f>COUNTIFS(mdr_rate_cleaned!$A$2:$A$10,B4681,mdr_rate_cleaned!$B$2:$B$10,"&lt;"&amp;C4681,mdr_rate_cleaned!$F$2:$F$10,"&gt;="&amp;C4681)</f>
        <v>1</v>
      </c>
      <c r="G4681">
        <v>1.6E-2</v>
      </c>
      <c r="H4681">
        <v>63.97</v>
      </c>
      <c r="I4681" t="s">
        <v>15</v>
      </c>
      <c r="J4681" t="s">
        <v>15</v>
      </c>
      <c r="K4681">
        <v>11.51</v>
      </c>
      <c r="L4681">
        <v>0</v>
      </c>
    </row>
    <row r="4682" spans="1:12" x14ac:dyDescent="0.3">
      <c r="A4682" t="s">
        <v>4698</v>
      </c>
      <c r="B4682" t="s">
        <v>21</v>
      </c>
      <c r="C4682">
        <v>349</v>
      </c>
      <c r="D4682">
        <v>0</v>
      </c>
      <c r="E4682">
        <v>0</v>
      </c>
      <c r="F4682">
        <f>COUNTIFS(mdr_rate_cleaned!$A$2:$A$10,B4682,mdr_rate_cleaned!$B$2:$B$10,"&lt;"&amp;C4682,mdr_rate_cleaned!$F$2:$F$10,"&gt;="&amp;C4682)</f>
        <v>1</v>
      </c>
      <c r="G4682">
        <v>0</v>
      </c>
      <c r="H4682">
        <v>0</v>
      </c>
      <c r="I4682" t="s">
        <v>15</v>
      </c>
      <c r="J4682" t="s">
        <v>15</v>
      </c>
      <c r="K4682">
        <v>0</v>
      </c>
      <c r="L4682">
        <v>0</v>
      </c>
    </row>
    <row r="4683" spans="1:12" x14ac:dyDescent="0.3">
      <c r="A4683" t="s">
        <v>4699</v>
      </c>
      <c r="B4683" t="s">
        <v>17</v>
      </c>
      <c r="C4683">
        <v>1299</v>
      </c>
      <c r="D4683">
        <v>23.38</v>
      </c>
      <c r="E4683">
        <v>4.21</v>
      </c>
      <c r="F4683">
        <f>COUNTIFS(mdr_rate_cleaned!$A$2:$A$10,B4683,mdr_rate_cleaned!$B$2:$B$10,"&lt;"&amp;C4683,mdr_rate_cleaned!$F$2:$F$10,"&gt;="&amp;C4683)</f>
        <v>1</v>
      </c>
      <c r="G4683">
        <v>1.7999999999999999E-2</v>
      </c>
      <c r="H4683">
        <v>23.38</v>
      </c>
      <c r="I4683" t="s">
        <v>15</v>
      </c>
      <c r="J4683" t="s">
        <v>15</v>
      </c>
      <c r="K4683">
        <v>4.21</v>
      </c>
      <c r="L4683">
        <v>0</v>
      </c>
    </row>
    <row r="4684" spans="1:12" x14ac:dyDescent="0.3">
      <c r="A4684" t="s">
        <v>4700</v>
      </c>
      <c r="B4684" t="s">
        <v>21</v>
      </c>
      <c r="C4684">
        <v>2999</v>
      </c>
      <c r="D4684">
        <v>9</v>
      </c>
      <c r="E4684">
        <v>1.62</v>
      </c>
      <c r="F4684">
        <f>COUNTIFS(mdr_rate_cleaned!$A$2:$A$10,B4684,mdr_rate_cleaned!$B$2:$B$10,"&lt;"&amp;C4684,mdr_rate_cleaned!$F$2:$F$10,"&gt;="&amp;C4684)</f>
        <v>1</v>
      </c>
      <c r="G4684">
        <v>3.0000000000000001E-3</v>
      </c>
      <c r="H4684">
        <v>9</v>
      </c>
      <c r="I4684" t="s">
        <v>15</v>
      </c>
      <c r="J4684" t="s">
        <v>15</v>
      </c>
      <c r="K4684">
        <v>1.62</v>
      </c>
      <c r="L4684">
        <v>0</v>
      </c>
    </row>
    <row r="4685" spans="1:12" x14ac:dyDescent="0.3">
      <c r="A4685" t="s">
        <v>4701</v>
      </c>
      <c r="B4685" t="s">
        <v>21</v>
      </c>
      <c r="C4685">
        <v>8348</v>
      </c>
      <c r="D4685">
        <v>25.04</v>
      </c>
      <c r="E4685">
        <v>4.51</v>
      </c>
      <c r="F4685">
        <f>COUNTIFS(mdr_rate_cleaned!$A$2:$A$10,B4685,mdr_rate_cleaned!$B$2:$B$10,"&lt;"&amp;C4685,mdr_rate_cleaned!$F$2:$F$10,"&gt;="&amp;C4685)</f>
        <v>1</v>
      </c>
      <c r="G4685">
        <v>3.0000000000000001E-3</v>
      </c>
      <c r="H4685">
        <v>25.04</v>
      </c>
      <c r="I4685" t="s">
        <v>15</v>
      </c>
      <c r="J4685" t="s">
        <v>15</v>
      </c>
      <c r="K4685">
        <v>4.51</v>
      </c>
      <c r="L4685">
        <v>0</v>
      </c>
    </row>
    <row r="4686" spans="1:12" x14ac:dyDescent="0.3">
      <c r="A4686" t="s">
        <v>4702</v>
      </c>
      <c r="B4686" t="s">
        <v>39</v>
      </c>
      <c r="C4686">
        <v>1497</v>
      </c>
      <c r="D4686">
        <v>22.46</v>
      </c>
      <c r="E4686">
        <v>4.04</v>
      </c>
      <c r="F4686">
        <f>COUNTIFS(mdr_rate_cleaned!$A$2:$A$10,B4686,mdr_rate_cleaned!$B$2:$B$10,"&lt;"&amp;C4686,mdr_rate_cleaned!$F$2:$F$10,"&gt;="&amp;C4686)</f>
        <v>1</v>
      </c>
      <c r="G4686">
        <v>1.4999999999999999E-2</v>
      </c>
      <c r="H4686">
        <v>22.46</v>
      </c>
      <c r="I4686" t="s">
        <v>15</v>
      </c>
      <c r="J4686" t="s">
        <v>15</v>
      </c>
      <c r="K4686">
        <v>4.04</v>
      </c>
      <c r="L4686">
        <v>0</v>
      </c>
    </row>
    <row r="4687" spans="1:12" x14ac:dyDescent="0.3">
      <c r="A4687" t="s">
        <v>4703</v>
      </c>
      <c r="B4687" t="s">
        <v>13</v>
      </c>
      <c r="C4687">
        <v>1148</v>
      </c>
      <c r="D4687">
        <v>21.81</v>
      </c>
      <c r="E4687">
        <v>3.93</v>
      </c>
      <c r="F4687">
        <f>COUNTIFS(mdr_rate_cleaned!$A$2:$A$10,B4687,mdr_rate_cleaned!$B$2:$B$10,"&lt;"&amp;C4687,mdr_rate_cleaned!$F$2:$F$10,"&gt;="&amp;C4687)</f>
        <v>1</v>
      </c>
      <c r="G4687">
        <v>1.9E-2</v>
      </c>
      <c r="H4687">
        <v>21.81</v>
      </c>
      <c r="I4687" t="s">
        <v>15</v>
      </c>
      <c r="J4687" t="s">
        <v>15</v>
      </c>
      <c r="K4687">
        <v>3.93</v>
      </c>
      <c r="L4687">
        <v>0</v>
      </c>
    </row>
    <row r="4688" spans="1:12" x14ac:dyDescent="0.3">
      <c r="A4688" t="s">
        <v>4704</v>
      </c>
      <c r="B4688" t="s">
        <v>17</v>
      </c>
      <c r="C4688">
        <v>599</v>
      </c>
      <c r="D4688">
        <v>10.78</v>
      </c>
      <c r="E4688">
        <v>1.94</v>
      </c>
      <c r="F4688">
        <f>COUNTIFS(mdr_rate_cleaned!$A$2:$A$10,B4688,mdr_rate_cleaned!$B$2:$B$10,"&lt;"&amp;C4688,mdr_rate_cleaned!$F$2:$F$10,"&gt;="&amp;C4688)</f>
        <v>1</v>
      </c>
      <c r="G4688">
        <v>1.7999999999999999E-2</v>
      </c>
      <c r="H4688">
        <v>10.78</v>
      </c>
      <c r="I4688" t="s">
        <v>15</v>
      </c>
      <c r="J4688" t="s">
        <v>15</v>
      </c>
      <c r="K4688">
        <v>1.94</v>
      </c>
      <c r="L4688">
        <v>0</v>
      </c>
    </row>
    <row r="4689" spans="1:12" x14ac:dyDescent="0.3">
      <c r="A4689" t="s">
        <v>4705</v>
      </c>
      <c r="B4689" t="s">
        <v>17</v>
      </c>
      <c r="C4689">
        <v>1648</v>
      </c>
      <c r="D4689">
        <v>29.66</v>
      </c>
      <c r="E4689">
        <v>5.34</v>
      </c>
      <c r="F4689">
        <f>COUNTIFS(mdr_rate_cleaned!$A$2:$A$10,B4689,mdr_rate_cleaned!$B$2:$B$10,"&lt;"&amp;C4689,mdr_rate_cleaned!$F$2:$F$10,"&gt;="&amp;C4689)</f>
        <v>1</v>
      </c>
      <c r="G4689">
        <v>1.7999999999999999E-2</v>
      </c>
      <c r="H4689">
        <v>29.66</v>
      </c>
      <c r="I4689" t="s">
        <v>15</v>
      </c>
      <c r="J4689" t="s">
        <v>15</v>
      </c>
      <c r="K4689">
        <v>5.34</v>
      </c>
      <c r="L4689">
        <v>0</v>
      </c>
    </row>
    <row r="4690" spans="1:12" x14ac:dyDescent="0.3">
      <c r="A4690" t="s">
        <v>4706</v>
      </c>
      <c r="B4690" t="s">
        <v>21</v>
      </c>
      <c r="C4690">
        <v>2499</v>
      </c>
      <c r="D4690">
        <v>7.5</v>
      </c>
      <c r="E4690">
        <v>1.35</v>
      </c>
      <c r="F4690">
        <f>COUNTIFS(mdr_rate_cleaned!$A$2:$A$10,B4690,mdr_rate_cleaned!$B$2:$B$10,"&lt;"&amp;C4690,mdr_rate_cleaned!$F$2:$F$10,"&gt;="&amp;C4690)</f>
        <v>1</v>
      </c>
      <c r="G4690">
        <v>3.0000000000000001E-3</v>
      </c>
      <c r="H4690">
        <v>7.5</v>
      </c>
      <c r="I4690" t="s">
        <v>15</v>
      </c>
      <c r="J4690" t="s">
        <v>15</v>
      </c>
      <c r="K4690">
        <v>1.35</v>
      </c>
      <c r="L4690">
        <v>0</v>
      </c>
    </row>
    <row r="4691" spans="1:12" x14ac:dyDescent="0.3">
      <c r="A4691" t="s">
        <v>4707</v>
      </c>
      <c r="B4691" t="s">
        <v>21</v>
      </c>
      <c r="C4691">
        <v>3598</v>
      </c>
      <c r="D4691">
        <v>10.79</v>
      </c>
      <c r="E4691">
        <v>1.94</v>
      </c>
      <c r="F4691">
        <f>COUNTIFS(mdr_rate_cleaned!$A$2:$A$10,B4691,mdr_rate_cleaned!$B$2:$B$10,"&lt;"&amp;C4691,mdr_rate_cleaned!$F$2:$F$10,"&gt;="&amp;C4691)</f>
        <v>1</v>
      </c>
      <c r="G4691">
        <v>3.0000000000000001E-3</v>
      </c>
      <c r="H4691">
        <v>10.79</v>
      </c>
      <c r="I4691" t="s">
        <v>15</v>
      </c>
      <c r="J4691" t="s">
        <v>15</v>
      </c>
      <c r="K4691">
        <v>1.94</v>
      </c>
      <c r="L4691">
        <v>0</v>
      </c>
    </row>
    <row r="4692" spans="1:12" x14ac:dyDescent="0.3">
      <c r="A4692" t="s">
        <v>4708</v>
      </c>
      <c r="B4692" t="s">
        <v>21</v>
      </c>
      <c r="C4692">
        <v>999</v>
      </c>
      <c r="D4692">
        <v>0</v>
      </c>
      <c r="E4692">
        <v>0</v>
      </c>
      <c r="F4692">
        <f>COUNTIFS(mdr_rate_cleaned!$A$2:$A$10,B4692,mdr_rate_cleaned!$B$2:$B$10,"&lt;"&amp;C4692,mdr_rate_cleaned!$F$2:$F$10,"&gt;="&amp;C4692)</f>
        <v>1</v>
      </c>
      <c r="G4692">
        <v>0</v>
      </c>
      <c r="H4692">
        <v>0</v>
      </c>
      <c r="I4692" t="s">
        <v>15</v>
      </c>
      <c r="J4692" t="s">
        <v>15</v>
      </c>
      <c r="K4692">
        <v>0</v>
      </c>
      <c r="L4692">
        <v>0</v>
      </c>
    </row>
    <row r="4693" spans="1:12" x14ac:dyDescent="0.3">
      <c r="A4693" t="s">
        <v>4709</v>
      </c>
      <c r="B4693" t="s">
        <v>21</v>
      </c>
      <c r="C4693">
        <v>10998</v>
      </c>
      <c r="D4693">
        <v>32.99</v>
      </c>
      <c r="E4693">
        <v>5.94</v>
      </c>
      <c r="F4693">
        <f>COUNTIFS(mdr_rate_cleaned!$A$2:$A$10,B4693,mdr_rate_cleaned!$B$2:$B$10,"&lt;"&amp;C4693,mdr_rate_cleaned!$F$2:$F$10,"&gt;="&amp;C4693)</f>
        <v>1</v>
      </c>
      <c r="G4693">
        <v>3.0000000000000001E-3</v>
      </c>
      <c r="H4693">
        <v>32.99</v>
      </c>
      <c r="I4693" t="s">
        <v>15</v>
      </c>
      <c r="J4693" t="s">
        <v>15</v>
      </c>
      <c r="K4693">
        <v>5.94</v>
      </c>
      <c r="L4693">
        <v>0</v>
      </c>
    </row>
    <row r="4694" spans="1:12" x14ac:dyDescent="0.3">
      <c r="A4694" t="s">
        <v>4710</v>
      </c>
      <c r="B4694" t="s">
        <v>21</v>
      </c>
      <c r="C4694">
        <v>2247</v>
      </c>
      <c r="D4694">
        <v>6.74</v>
      </c>
      <c r="E4694">
        <v>1.21</v>
      </c>
      <c r="F4694">
        <f>COUNTIFS(mdr_rate_cleaned!$A$2:$A$10,B4694,mdr_rate_cleaned!$B$2:$B$10,"&lt;"&amp;C4694,mdr_rate_cleaned!$F$2:$F$10,"&gt;="&amp;C4694)</f>
        <v>1</v>
      </c>
      <c r="G4694">
        <v>3.0000000000000001E-3</v>
      </c>
      <c r="H4694">
        <v>6.74</v>
      </c>
      <c r="I4694" t="s">
        <v>15</v>
      </c>
      <c r="J4694" t="s">
        <v>15</v>
      </c>
      <c r="K4694">
        <v>1.21</v>
      </c>
      <c r="L4694">
        <v>0</v>
      </c>
    </row>
    <row r="4695" spans="1:12" x14ac:dyDescent="0.3">
      <c r="A4695" t="s">
        <v>4711</v>
      </c>
      <c r="B4695" t="s">
        <v>21</v>
      </c>
      <c r="C4695">
        <v>349</v>
      </c>
      <c r="D4695">
        <v>0</v>
      </c>
      <c r="E4695">
        <v>0</v>
      </c>
      <c r="F4695">
        <f>COUNTIFS(mdr_rate_cleaned!$A$2:$A$10,B4695,mdr_rate_cleaned!$B$2:$B$10,"&lt;"&amp;C4695,mdr_rate_cleaned!$F$2:$F$10,"&gt;="&amp;C4695)</f>
        <v>1</v>
      </c>
      <c r="G4695">
        <v>0</v>
      </c>
      <c r="H4695">
        <v>0</v>
      </c>
      <c r="I4695" t="s">
        <v>15</v>
      </c>
      <c r="J4695" t="s">
        <v>15</v>
      </c>
      <c r="K4695">
        <v>0</v>
      </c>
      <c r="L4695">
        <v>0</v>
      </c>
    </row>
    <row r="4696" spans="1:12" x14ac:dyDescent="0.3">
      <c r="A4696" t="s">
        <v>4712</v>
      </c>
      <c r="B4696" t="s">
        <v>39</v>
      </c>
      <c r="C4696">
        <v>2499</v>
      </c>
      <c r="D4696">
        <v>29.99</v>
      </c>
      <c r="E4696">
        <v>5.4</v>
      </c>
      <c r="F4696">
        <f>COUNTIFS(mdr_rate_cleaned!$A$2:$A$10,B4696,mdr_rate_cleaned!$B$2:$B$10,"&lt;"&amp;C4696,mdr_rate_cleaned!$F$2:$F$10,"&gt;="&amp;C4696)</f>
        <v>1</v>
      </c>
      <c r="G4696">
        <v>1.2E-2</v>
      </c>
      <c r="H4696">
        <v>29.99</v>
      </c>
      <c r="I4696" t="s">
        <v>15</v>
      </c>
      <c r="J4696" t="s">
        <v>15</v>
      </c>
      <c r="K4696">
        <v>5.4</v>
      </c>
      <c r="L4696">
        <v>0</v>
      </c>
    </row>
    <row r="4697" spans="1:12" x14ac:dyDescent="0.3">
      <c r="A4697" t="s">
        <v>4713</v>
      </c>
      <c r="B4697" t="s">
        <v>17</v>
      </c>
      <c r="C4697">
        <v>1648</v>
      </c>
      <c r="D4697">
        <v>29.66</v>
      </c>
      <c r="E4697">
        <v>5.34</v>
      </c>
      <c r="F4697">
        <f>COUNTIFS(mdr_rate_cleaned!$A$2:$A$10,B4697,mdr_rate_cleaned!$B$2:$B$10,"&lt;"&amp;C4697,mdr_rate_cleaned!$F$2:$F$10,"&gt;="&amp;C4697)</f>
        <v>1</v>
      </c>
      <c r="G4697">
        <v>1.7999999999999999E-2</v>
      </c>
      <c r="H4697">
        <v>29.66</v>
      </c>
      <c r="I4697" t="s">
        <v>15</v>
      </c>
      <c r="J4697" t="s">
        <v>15</v>
      </c>
      <c r="K4697">
        <v>5.34</v>
      </c>
      <c r="L4697">
        <v>0</v>
      </c>
    </row>
    <row r="4698" spans="1:12" x14ac:dyDescent="0.3">
      <c r="A4698" t="s">
        <v>4714</v>
      </c>
      <c r="B4698" t="s">
        <v>17</v>
      </c>
      <c r="C4698">
        <v>1799</v>
      </c>
      <c r="D4698">
        <v>32.380000000000003</v>
      </c>
      <c r="E4698">
        <v>5.83</v>
      </c>
      <c r="F4698">
        <f>COUNTIFS(mdr_rate_cleaned!$A$2:$A$10,B4698,mdr_rate_cleaned!$B$2:$B$10,"&lt;"&amp;C4698,mdr_rate_cleaned!$F$2:$F$10,"&gt;="&amp;C4698)</f>
        <v>1</v>
      </c>
      <c r="G4698">
        <v>1.7999999999999999E-2</v>
      </c>
      <c r="H4698">
        <v>32.380000000000003</v>
      </c>
      <c r="I4698" t="s">
        <v>15</v>
      </c>
      <c r="J4698" t="s">
        <v>15</v>
      </c>
      <c r="K4698">
        <v>5.83</v>
      </c>
      <c r="L4698">
        <v>0</v>
      </c>
    </row>
    <row r="4699" spans="1:12" x14ac:dyDescent="0.3">
      <c r="A4699" t="s">
        <v>4715</v>
      </c>
      <c r="B4699" t="s">
        <v>21</v>
      </c>
      <c r="C4699">
        <v>599</v>
      </c>
      <c r="D4699">
        <v>0</v>
      </c>
      <c r="E4699">
        <v>0</v>
      </c>
      <c r="F4699">
        <f>COUNTIFS(mdr_rate_cleaned!$A$2:$A$10,B4699,mdr_rate_cleaned!$B$2:$B$10,"&lt;"&amp;C4699,mdr_rate_cleaned!$F$2:$F$10,"&gt;="&amp;C4699)</f>
        <v>1</v>
      </c>
      <c r="G4699">
        <v>0</v>
      </c>
      <c r="H4699">
        <v>0</v>
      </c>
      <c r="I4699" t="s">
        <v>15</v>
      </c>
      <c r="J4699" t="s">
        <v>15</v>
      </c>
      <c r="K4699">
        <v>0</v>
      </c>
      <c r="L4699">
        <v>0</v>
      </c>
    </row>
    <row r="4700" spans="1:12" x14ac:dyDescent="0.3">
      <c r="A4700" t="s">
        <v>4716</v>
      </c>
      <c r="B4700" t="s">
        <v>17</v>
      </c>
      <c r="C4700">
        <v>349</v>
      </c>
      <c r="D4700">
        <v>6.28</v>
      </c>
      <c r="E4700">
        <v>1.1299999999999999</v>
      </c>
      <c r="F4700">
        <f>COUNTIFS(mdr_rate_cleaned!$A$2:$A$10,B4700,mdr_rate_cleaned!$B$2:$B$10,"&lt;"&amp;C4700,mdr_rate_cleaned!$F$2:$F$10,"&gt;="&amp;C4700)</f>
        <v>1</v>
      </c>
      <c r="G4700">
        <v>1.7999999999999999E-2</v>
      </c>
      <c r="H4700">
        <v>6.28</v>
      </c>
      <c r="I4700" t="s">
        <v>15</v>
      </c>
      <c r="J4700" t="s">
        <v>15</v>
      </c>
      <c r="K4700">
        <v>1.1299999999999999</v>
      </c>
      <c r="L4700">
        <v>0</v>
      </c>
    </row>
    <row r="4701" spans="1:12" x14ac:dyDescent="0.3">
      <c r="A4701" t="s">
        <v>4717</v>
      </c>
      <c r="B4701" t="s">
        <v>17</v>
      </c>
      <c r="C4701">
        <v>698</v>
      </c>
      <c r="D4701">
        <v>12.56</v>
      </c>
      <c r="E4701">
        <v>2.2599999999999998</v>
      </c>
      <c r="F4701">
        <f>COUNTIFS(mdr_rate_cleaned!$A$2:$A$10,B4701,mdr_rate_cleaned!$B$2:$B$10,"&lt;"&amp;C4701,mdr_rate_cleaned!$F$2:$F$10,"&gt;="&amp;C4701)</f>
        <v>1</v>
      </c>
      <c r="G4701">
        <v>1.7999999999999999E-2</v>
      </c>
      <c r="H4701">
        <v>12.56</v>
      </c>
      <c r="I4701" t="s">
        <v>15</v>
      </c>
      <c r="J4701" t="s">
        <v>15</v>
      </c>
      <c r="K4701">
        <v>2.2599999999999998</v>
      </c>
      <c r="L4701">
        <v>0</v>
      </c>
    </row>
    <row r="4702" spans="1:12" x14ac:dyDescent="0.3">
      <c r="A4702" t="s">
        <v>4718</v>
      </c>
      <c r="B4702" t="s">
        <v>17</v>
      </c>
      <c r="C4702">
        <v>7999</v>
      </c>
      <c r="D4702">
        <v>127.98</v>
      </c>
      <c r="E4702">
        <v>23.04</v>
      </c>
      <c r="F4702">
        <f>COUNTIFS(mdr_rate_cleaned!$A$2:$A$10,B4702,mdr_rate_cleaned!$B$2:$B$10,"&lt;"&amp;C4702,mdr_rate_cleaned!$F$2:$F$10,"&gt;="&amp;C4702)</f>
        <v>1</v>
      </c>
      <c r="G4702">
        <v>1.6E-2</v>
      </c>
      <c r="H4702">
        <v>127.98</v>
      </c>
      <c r="I4702" t="s">
        <v>15</v>
      </c>
      <c r="J4702" t="s">
        <v>15</v>
      </c>
      <c r="K4702">
        <v>23.04</v>
      </c>
      <c r="L4702">
        <v>0</v>
      </c>
    </row>
    <row r="4703" spans="1:12" x14ac:dyDescent="0.3">
      <c r="A4703" t="s">
        <v>4719</v>
      </c>
      <c r="B4703" t="s">
        <v>17</v>
      </c>
      <c r="C4703">
        <v>1499</v>
      </c>
      <c r="D4703">
        <v>26.98</v>
      </c>
      <c r="E4703">
        <v>4.8600000000000003</v>
      </c>
      <c r="F4703">
        <f>COUNTIFS(mdr_rate_cleaned!$A$2:$A$10,B4703,mdr_rate_cleaned!$B$2:$B$10,"&lt;"&amp;C4703,mdr_rate_cleaned!$F$2:$F$10,"&gt;="&amp;C4703)</f>
        <v>1</v>
      </c>
      <c r="G4703">
        <v>1.7999999999999999E-2</v>
      </c>
      <c r="H4703">
        <v>26.98</v>
      </c>
      <c r="I4703" t="s">
        <v>15</v>
      </c>
      <c r="J4703" t="s">
        <v>15</v>
      </c>
      <c r="K4703">
        <v>4.8600000000000003</v>
      </c>
      <c r="L4703">
        <v>0</v>
      </c>
    </row>
    <row r="4704" spans="1:12" x14ac:dyDescent="0.3">
      <c r="A4704" t="s">
        <v>4720</v>
      </c>
      <c r="B4704" t="s">
        <v>13</v>
      </c>
      <c r="C4704">
        <v>599</v>
      </c>
      <c r="D4704">
        <v>11.38</v>
      </c>
      <c r="E4704">
        <v>2.0499999999999998</v>
      </c>
      <c r="F4704">
        <f>COUNTIFS(mdr_rate_cleaned!$A$2:$A$10,B4704,mdr_rate_cleaned!$B$2:$B$10,"&lt;"&amp;C4704,mdr_rate_cleaned!$F$2:$F$10,"&gt;="&amp;C4704)</f>
        <v>1</v>
      </c>
      <c r="G4704">
        <v>1.9E-2</v>
      </c>
      <c r="H4704">
        <v>11.38</v>
      </c>
      <c r="I4704" t="s">
        <v>15</v>
      </c>
      <c r="J4704" t="s">
        <v>15</v>
      </c>
      <c r="K4704">
        <v>2.0499999999999998</v>
      </c>
      <c r="L4704">
        <v>0</v>
      </c>
    </row>
    <row r="4705" spans="1:12" x14ac:dyDescent="0.3">
      <c r="A4705" t="s">
        <v>4721</v>
      </c>
      <c r="B4705" t="s">
        <v>21</v>
      </c>
      <c r="C4705">
        <v>349</v>
      </c>
      <c r="D4705">
        <v>0</v>
      </c>
      <c r="E4705">
        <v>0</v>
      </c>
      <c r="F4705">
        <f>COUNTIFS(mdr_rate_cleaned!$A$2:$A$10,B4705,mdr_rate_cleaned!$B$2:$B$10,"&lt;"&amp;C4705,mdr_rate_cleaned!$F$2:$F$10,"&gt;="&amp;C4705)</f>
        <v>1</v>
      </c>
      <c r="G4705">
        <v>0</v>
      </c>
      <c r="H4705">
        <v>0</v>
      </c>
      <c r="I4705" t="s">
        <v>15</v>
      </c>
      <c r="J4705" t="s">
        <v>15</v>
      </c>
      <c r="K4705">
        <v>0</v>
      </c>
      <c r="L4705">
        <v>0</v>
      </c>
    </row>
    <row r="4706" spans="1:12" x14ac:dyDescent="0.3">
      <c r="A4706" t="s">
        <v>4722</v>
      </c>
      <c r="B4706" t="s">
        <v>21</v>
      </c>
      <c r="C4706">
        <v>3798</v>
      </c>
      <c r="D4706">
        <v>11.39</v>
      </c>
      <c r="E4706">
        <v>2.0499999999999998</v>
      </c>
      <c r="F4706">
        <f>COUNTIFS(mdr_rate_cleaned!$A$2:$A$10,B4706,mdr_rate_cleaned!$B$2:$B$10,"&lt;"&amp;C4706,mdr_rate_cleaned!$F$2:$F$10,"&gt;="&amp;C4706)</f>
        <v>1</v>
      </c>
      <c r="G4706">
        <v>3.0000000000000001E-3</v>
      </c>
      <c r="H4706">
        <v>11.39</v>
      </c>
      <c r="I4706" t="s">
        <v>15</v>
      </c>
      <c r="J4706" t="s">
        <v>15</v>
      </c>
      <c r="K4706">
        <v>2.0499999999999998</v>
      </c>
      <c r="L4706">
        <v>0</v>
      </c>
    </row>
    <row r="4707" spans="1:12" x14ac:dyDescent="0.3">
      <c r="A4707" t="s">
        <v>4723</v>
      </c>
      <c r="B4707" t="s">
        <v>21</v>
      </c>
      <c r="C4707">
        <v>14797</v>
      </c>
      <c r="D4707">
        <v>44.39</v>
      </c>
      <c r="E4707">
        <v>7.99</v>
      </c>
      <c r="F4707">
        <f>COUNTIFS(mdr_rate_cleaned!$A$2:$A$10,B4707,mdr_rate_cleaned!$B$2:$B$10,"&lt;"&amp;C4707,mdr_rate_cleaned!$F$2:$F$10,"&gt;="&amp;C4707)</f>
        <v>1</v>
      </c>
      <c r="G4707">
        <v>3.0000000000000001E-3</v>
      </c>
      <c r="H4707">
        <v>44.39</v>
      </c>
      <c r="I4707" t="s">
        <v>15</v>
      </c>
      <c r="J4707" t="s">
        <v>15</v>
      </c>
      <c r="K4707">
        <v>7.99</v>
      </c>
      <c r="L4707">
        <v>0</v>
      </c>
    </row>
    <row r="4708" spans="1:12" x14ac:dyDescent="0.3">
      <c r="A4708" t="s">
        <v>4724</v>
      </c>
      <c r="B4708" t="s">
        <v>17</v>
      </c>
      <c r="C4708">
        <v>349</v>
      </c>
      <c r="D4708">
        <v>6.28</v>
      </c>
      <c r="E4708">
        <v>1.1299999999999999</v>
      </c>
      <c r="F4708">
        <f>COUNTIFS(mdr_rate_cleaned!$A$2:$A$10,B4708,mdr_rate_cleaned!$B$2:$B$10,"&lt;"&amp;C4708,mdr_rate_cleaned!$F$2:$F$10,"&gt;="&amp;C4708)</f>
        <v>1</v>
      </c>
      <c r="G4708">
        <v>1.7999999999999999E-2</v>
      </c>
      <c r="H4708">
        <v>6.28</v>
      </c>
      <c r="I4708" t="s">
        <v>15</v>
      </c>
      <c r="J4708" t="s">
        <v>15</v>
      </c>
      <c r="K4708">
        <v>1.1299999999999999</v>
      </c>
      <c r="L4708">
        <v>0</v>
      </c>
    </row>
    <row r="4709" spans="1:12" x14ac:dyDescent="0.3">
      <c r="A4709" t="s">
        <v>4725</v>
      </c>
      <c r="B4709" t="s">
        <v>21</v>
      </c>
      <c r="C4709">
        <v>8498</v>
      </c>
      <c r="D4709">
        <v>25.49</v>
      </c>
      <c r="E4709">
        <v>4.59</v>
      </c>
      <c r="F4709">
        <f>COUNTIFS(mdr_rate_cleaned!$A$2:$A$10,B4709,mdr_rate_cleaned!$B$2:$B$10,"&lt;"&amp;C4709,mdr_rate_cleaned!$F$2:$F$10,"&gt;="&amp;C4709)</f>
        <v>1</v>
      </c>
      <c r="G4709">
        <v>3.0000000000000001E-3</v>
      </c>
      <c r="H4709">
        <v>25.49</v>
      </c>
      <c r="I4709" t="s">
        <v>15</v>
      </c>
      <c r="J4709" t="s">
        <v>15</v>
      </c>
      <c r="K4709">
        <v>4.59</v>
      </c>
      <c r="L4709">
        <v>0</v>
      </c>
    </row>
    <row r="4710" spans="1:12" x14ac:dyDescent="0.3">
      <c r="A4710" t="s">
        <v>4726</v>
      </c>
      <c r="B4710" t="s">
        <v>21</v>
      </c>
      <c r="C4710">
        <v>799</v>
      </c>
      <c r="D4710">
        <v>0</v>
      </c>
      <c r="E4710">
        <v>0</v>
      </c>
      <c r="F4710">
        <f>COUNTIFS(mdr_rate_cleaned!$A$2:$A$10,B4710,mdr_rate_cleaned!$B$2:$B$10,"&lt;"&amp;C4710,mdr_rate_cleaned!$F$2:$F$10,"&gt;="&amp;C4710)</f>
        <v>1</v>
      </c>
      <c r="G4710">
        <v>0</v>
      </c>
      <c r="H4710">
        <v>0</v>
      </c>
      <c r="I4710" t="s">
        <v>15</v>
      </c>
      <c r="J4710" t="s">
        <v>15</v>
      </c>
      <c r="K4710">
        <v>0</v>
      </c>
      <c r="L4710">
        <v>0</v>
      </c>
    </row>
    <row r="4711" spans="1:12" x14ac:dyDescent="0.3">
      <c r="A4711" t="s">
        <v>4727</v>
      </c>
      <c r="B4711" t="s">
        <v>21</v>
      </c>
      <c r="C4711">
        <v>1299</v>
      </c>
      <c r="D4711">
        <v>0</v>
      </c>
      <c r="E4711">
        <v>0</v>
      </c>
      <c r="F4711">
        <f>COUNTIFS(mdr_rate_cleaned!$A$2:$A$10,B4711,mdr_rate_cleaned!$B$2:$B$10,"&lt;"&amp;C4711,mdr_rate_cleaned!$F$2:$F$10,"&gt;="&amp;C4711)</f>
        <v>1</v>
      </c>
      <c r="G4711">
        <v>0</v>
      </c>
      <c r="H4711">
        <v>0</v>
      </c>
      <c r="I4711" t="s">
        <v>15</v>
      </c>
      <c r="J4711" t="s">
        <v>15</v>
      </c>
      <c r="K4711">
        <v>0</v>
      </c>
      <c r="L4711">
        <v>0</v>
      </c>
    </row>
    <row r="4712" spans="1:12" x14ac:dyDescent="0.3">
      <c r="A4712" t="s">
        <v>4728</v>
      </c>
      <c r="B4712" t="s">
        <v>21</v>
      </c>
      <c r="C4712">
        <v>2097</v>
      </c>
      <c r="D4712">
        <v>6.29</v>
      </c>
      <c r="E4712">
        <v>1.1299999999999999</v>
      </c>
      <c r="F4712">
        <f>COUNTIFS(mdr_rate_cleaned!$A$2:$A$10,B4712,mdr_rate_cleaned!$B$2:$B$10,"&lt;"&amp;C4712,mdr_rate_cleaned!$F$2:$F$10,"&gt;="&amp;C4712)</f>
        <v>1</v>
      </c>
      <c r="G4712">
        <v>3.0000000000000001E-3</v>
      </c>
      <c r="H4712">
        <v>6.29</v>
      </c>
      <c r="I4712" t="s">
        <v>15</v>
      </c>
      <c r="J4712" t="s">
        <v>15</v>
      </c>
      <c r="K4712">
        <v>1.1299999999999999</v>
      </c>
      <c r="L4712">
        <v>0</v>
      </c>
    </row>
    <row r="4713" spans="1:12" x14ac:dyDescent="0.3">
      <c r="A4713" t="s">
        <v>4729</v>
      </c>
      <c r="B4713" t="s">
        <v>17</v>
      </c>
      <c r="C4713">
        <v>2298</v>
      </c>
      <c r="D4713">
        <v>36.770000000000003</v>
      </c>
      <c r="E4713">
        <v>6.62</v>
      </c>
      <c r="F4713">
        <f>COUNTIFS(mdr_rate_cleaned!$A$2:$A$10,B4713,mdr_rate_cleaned!$B$2:$B$10,"&lt;"&amp;C4713,mdr_rate_cleaned!$F$2:$F$10,"&gt;="&amp;C4713)</f>
        <v>1</v>
      </c>
      <c r="G4713">
        <v>1.6E-2</v>
      </c>
      <c r="H4713">
        <v>36.770000000000003</v>
      </c>
      <c r="I4713" t="s">
        <v>15</v>
      </c>
      <c r="J4713" t="s">
        <v>15</v>
      </c>
      <c r="K4713">
        <v>6.62</v>
      </c>
      <c r="L4713">
        <v>0</v>
      </c>
    </row>
    <row r="4714" spans="1:12" x14ac:dyDescent="0.3">
      <c r="A4714" t="s">
        <v>4730</v>
      </c>
      <c r="B4714" t="s">
        <v>21</v>
      </c>
      <c r="C4714">
        <v>1299</v>
      </c>
      <c r="D4714">
        <v>0</v>
      </c>
      <c r="E4714">
        <v>0</v>
      </c>
      <c r="F4714">
        <f>COUNTIFS(mdr_rate_cleaned!$A$2:$A$10,B4714,mdr_rate_cleaned!$B$2:$B$10,"&lt;"&amp;C4714,mdr_rate_cleaned!$F$2:$F$10,"&gt;="&amp;C4714)</f>
        <v>1</v>
      </c>
      <c r="G4714">
        <v>0</v>
      </c>
      <c r="H4714">
        <v>0</v>
      </c>
      <c r="I4714" t="s">
        <v>15</v>
      </c>
      <c r="J4714" t="s">
        <v>15</v>
      </c>
      <c r="K4714">
        <v>0</v>
      </c>
      <c r="L4714">
        <v>0</v>
      </c>
    </row>
    <row r="4715" spans="1:12" x14ac:dyDescent="0.3">
      <c r="A4715" t="s">
        <v>4731</v>
      </c>
      <c r="B4715" t="s">
        <v>21</v>
      </c>
      <c r="C4715">
        <v>3298</v>
      </c>
      <c r="D4715">
        <v>9.89</v>
      </c>
      <c r="E4715">
        <v>1.78</v>
      </c>
      <c r="F4715">
        <f>COUNTIFS(mdr_rate_cleaned!$A$2:$A$10,B4715,mdr_rate_cleaned!$B$2:$B$10,"&lt;"&amp;C4715,mdr_rate_cleaned!$F$2:$F$10,"&gt;="&amp;C4715)</f>
        <v>1</v>
      </c>
      <c r="G4715">
        <v>3.0000000000000001E-3</v>
      </c>
      <c r="H4715">
        <v>9.89</v>
      </c>
      <c r="I4715" t="s">
        <v>15</v>
      </c>
      <c r="J4715" t="s">
        <v>15</v>
      </c>
      <c r="K4715">
        <v>1.78</v>
      </c>
      <c r="L4715">
        <v>0</v>
      </c>
    </row>
    <row r="4716" spans="1:12" x14ac:dyDescent="0.3">
      <c r="A4716" t="s">
        <v>4732</v>
      </c>
      <c r="B4716" t="s">
        <v>21</v>
      </c>
      <c r="C4716">
        <v>499</v>
      </c>
      <c r="D4716">
        <v>0</v>
      </c>
      <c r="E4716">
        <v>0</v>
      </c>
      <c r="F4716">
        <f>COUNTIFS(mdr_rate_cleaned!$A$2:$A$10,B4716,mdr_rate_cleaned!$B$2:$B$10,"&lt;"&amp;C4716,mdr_rate_cleaned!$F$2:$F$10,"&gt;="&amp;C4716)</f>
        <v>1</v>
      </c>
      <c r="G4716">
        <v>0</v>
      </c>
      <c r="H4716">
        <v>0</v>
      </c>
      <c r="I4716" t="s">
        <v>15</v>
      </c>
      <c r="J4716" t="s">
        <v>15</v>
      </c>
      <c r="K4716">
        <v>0</v>
      </c>
      <c r="L4716">
        <v>0</v>
      </c>
    </row>
    <row r="4717" spans="1:12" x14ac:dyDescent="0.3">
      <c r="A4717" t="s">
        <v>4733</v>
      </c>
      <c r="B4717" t="s">
        <v>13</v>
      </c>
      <c r="C4717">
        <v>11097</v>
      </c>
      <c r="D4717">
        <v>188.65</v>
      </c>
      <c r="E4717">
        <v>33.96</v>
      </c>
      <c r="F4717">
        <f>COUNTIFS(mdr_rate_cleaned!$A$2:$A$10,B4717,mdr_rate_cleaned!$B$2:$B$10,"&lt;"&amp;C4717,mdr_rate_cleaned!$F$2:$F$10,"&gt;="&amp;C4717)</f>
        <v>1</v>
      </c>
      <c r="G4717">
        <v>1.7000000000000001E-2</v>
      </c>
      <c r="H4717">
        <v>188.65</v>
      </c>
      <c r="I4717" t="s">
        <v>15</v>
      </c>
      <c r="J4717" t="s">
        <v>15</v>
      </c>
      <c r="K4717">
        <v>33.96</v>
      </c>
      <c r="L4717">
        <v>0</v>
      </c>
    </row>
    <row r="4718" spans="1:12" x14ac:dyDescent="0.3">
      <c r="A4718" t="s">
        <v>4734</v>
      </c>
      <c r="B4718" t="s">
        <v>17</v>
      </c>
      <c r="C4718">
        <v>3147</v>
      </c>
      <c r="D4718">
        <v>50.35</v>
      </c>
      <c r="E4718">
        <v>9.06</v>
      </c>
      <c r="F4718">
        <f>COUNTIFS(mdr_rate_cleaned!$A$2:$A$10,B4718,mdr_rate_cleaned!$B$2:$B$10,"&lt;"&amp;C4718,mdr_rate_cleaned!$F$2:$F$10,"&gt;="&amp;C4718)</f>
        <v>1</v>
      </c>
      <c r="G4718">
        <v>1.6E-2</v>
      </c>
      <c r="H4718">
        <v>50.35</v>
      </c>
      <c r="I4718" t="s">
        <v>15</v>
      </c>
      <c r="J4718" t="s">
        <v>15</v>
      </c>
      <c r="K4718">
        <v>9.06</v>
      </c>
      <c r="L4718">
        <v>0</v>
      </c>
    </row>
    <row r="4719" spans="1:12" x14ac:dyDescent="0.3">
      <c r="A4719" t="s">
        <v>4735</v>
      </c>
      <c r="B4719" t="s">
        <v>13</v>
      </c>
      <c r="C4719">
        <v>5298</v>
      </c>
      <c r="D4719">
        <v>90.07</v>
      </c>
      <c r="E4719">
        <v>16.21</v>
      </c>
      <c r="F4719">
        <f>COUNTIFS(mdr_rate_cleaned!$A$2:$A$10,B4719,mdr_rate_cleaned!$B$2:$B$10,"&lt;"&amp;C4719,mdr_rate_cleaned!$F$2:$F$10,"&gt;="&amp;C4719)</f>
        <v>1</v>
      </c>
      <c r="G4719">
        <v>1.7000000000000001E-2</v>
      </c>
      <c r="H4719">
        <v>90.07</v>
      </c>
      <c r="I4719" t="s">
        <v>15</v>
      </c>
      <c r="J4719" t="s">
        <v>15</v>
      </c>
      <c r="K4719">
        <v>16.21</v>
      </c>
      <c r="L4719">
        <v>0</v>
      </c>
    </row>
    <row r="4720" spans="1:12" x14ac:dyDescent="0.3">
      <c r="A4720" t="s">
        <v>4736</v>
      </c>
      <c r="B4720" t="s">
        <v>17</v>
      </c>
      <c r="C4720">
        <v>599</v>
      </c>
      <c r="D4720">
        <v>10.78</v>
      </c>
      <c r="E4720">
        <v>1.94</v>
      </c>
      <c r="F4720">
        <f>COUNTIFS(mdr_rate_cleaned!$A$2:$A$10,B4720,mdr_rate_cleaned!$B$2:$B$10,"&lt;"&amp;C4720,mdr_rate_cleaned!$F$2:$F$10,"&gt;="&amp;C4720)</f>
        <v>1</v>
      </c>
      <c r="G4720">
        <v>1.7999999999999999E-2</v>
      </c>
      <c r="H4720">
        <v>10.78</v>
      </c>
      <c r="I4720" t="s">
        <v>15</v>
      </c>
      <c r="J4720" t="s">
        <v>15</v>
      </c>
      <c r="K4720">
        <v>1.94</v>
      </c>
      <c r="L4720">
        <v>0</v>
      </c>
    </row>
    <row r="4721" spans="1:12" x14ac:dyDescent="0.3">
      <c r="A4721" t="s">
        <v>4737</v>
      </c>
      <c r="B4721" t="s">
        <v>21</v>
      </c>
      <c r="C4721">
        <v>7498</v>
      </c>
      <c r="D4721">
        <v>22.49</v>
      </c>
      <c r="E4721">
        <v>4.05</v>
      </c>
      <c r="F4721">
        <f>COUNTIFS(mdr_rate_cleaned!$A$2:$A$10,B4721,mdr_rate_cleaned!$B$2:$B$10,"&lt;"&amp;C4721,mdr_rate_cleaned!$F$2:$F$10,"&gt;="&amp;C4721)</f>
        <v>1</v>
      </c>
      <c r="G4721">
        <v>3.0000000000000001E-3</v>
      </c>
      <c r="H4721">
        <v>22.49</v>
      </c>
      <c r="I4721" t="s">
        <v>15</v>
      </c>
      <c r="J4721" t="s">
        <v>15</v>
      </c>
      <c r="K4721">
        <v>4.05</v>
      </c>
      <c r="L4721">
        <v>0</v>
      </c>
    </row>
    <row r="4722" spans="1:12" x14ac:dyDescent="0.3">
      <c r="A4722" t="s">
        <v>4738</v>
      </c>
      <c r="B4722" t="s">
        <v>21</v>
      </c>
      <c r="C4722">
        <v>8697</v>
      </c>
      <c r="D4722">
        <v>26.09</v>
      </c>
      <c r="E4722">
        <v>4.7</v>
      </c>
      <c r="F4722">
        <f>COUNTIFS(mdr_rate_cleaned!$A$2:$A$10,B4722,mdr_rate_cleaned!$B$2:$B$10,"&lt;"&amp;C4722,mdr_rate_cleaned!$F$2:$F$10,"&gt;="&amp;C4722)</f>
        <v>1</v>
      </c>
      <c r="G4722">
        <v>3.0000000000000001E-3</v>
      </c>
      <c r="H4722">
        <v>26.09</v>
      </c>
      <c r="I4722" t="s">
        <v>15</v>
      </c>
      <c r="J4722" t="s">
        <v>15</v>
      </c>
      <c r="K4722">
        <v>4.7</v>
      </c>
      <c r="L4722">
        <v>0</v>
      </c>
    </row>
    <row r="4723" spans="1:12" x14ac:dyDescent="0.3">
      <c r="A4723" t="s">
        <v>4739</v>
      </c>
      <c r="B4723" t="s">
        <v>17</v>
      </c>
      <c r="C4723">
        <v>3499</v>
      </c>
      <c r="D4723">
        <v>55.98</v>
      </c>
      <c r="E4723">
        <v>10.08</v>
      </c>
      <c r="F4723">
        <f>COUNTIFS(mdr_rate_cleaned!$A$2:$A$10,B4723,mdr_rate_cleaned!$B$2:$B$10,"&lt;"&amp;C4723,mdr_rate_cleaned!$F$2:$F$10,"&gt;="&amp;C4723)</f>
        <v>1</v>
      </c>
      <c r="G4723">
        <v>1.6E-2</v>
      </c>
      <c r="H4723">
        <v>55.98</v>
      </c>
      <c r="I4723" t="s">
        <v>15</v>
      </c>
      <c r="J4723" t="s">
        <v>15</v>
      </c>
      <c r="K4723">
        <v>10.08</v>
      </c>
      <c r="L4723">
        <v>0</v>
      </c>
    </row>
    <row r="4724" spans="1:12" x14ac:dyDescent="0.3">
      <c r="A4724" t="s">
        <v>4740</v>
      </c>
      <c r="B4724" t="s">
        <v>21</v>
      </c>
      <c r="C4724">
        <v>3348</v>
      </c>
      <c r="D4724">
        <v>10.039999999999999</v>
      </c>
      <c r="E4724">
        <v>1.81</v>
      </c>
      <c r="F4724">
        <f>COUNTIFS(mdr_rate_cleaned!$A$2:$A$10,B4724,mdr_rate_cleaned!$B$2:$B$10,"&lt;"&amp;C4724,mdr_rate_cleaned!$F$2:$F$10,"&gt;="&amp;C4724)</f>
        <v>1</v>
      </c>
      <c r="G4724">
        <v>3.0000000000000001E-3</v>
      </c>
      <c r="H4724">
        <v>10.039999999999999</v>
      </c>
      <c r="I4724" t="s">
        <v>15</v>
      </c>
      <c r="J4724" t="s">
        <v>15</v>
      </c>
      <c r="K4724">
        <v>1.81</v>
      </c>
      <c r="L4724">
        <v>0</v>
      </c>
    </row>
    <row r="4725" spans="1:12" x14ac:dyDescent="0.3">
      <c r="A4725" t="s">
        <v>4741</v>
      </c>
      <c r="B4725" t="s">
        <v>21</v>
      </c>
      <c r="C4725">
        <v>4798</v>
      </c>
      <c r="D4725">
        <v>14.39</v>
      </c>
      <c r="E4725">
        <v>2.59</v>
      </c>
      <c r="F4725">
        <f>COUNTIFS(mdr_rate_cleaned!$A$2:$A$10,B4725,mdr_rate_cleaned!$B$2:$B$10,"&lt;"&amp;C4725,mdr_rate_cleaned!$F$2:$F$10,"&gt;="&amp;C4725)</f>
        <v>1</v>
      </c>
      <c r="G4725">
        <v>3.0000000000000001E-3</v>
      </c>
      <c r="H4725">
        <v>14.39</v>
      </c>
      <c r="I4725" t="s">
        <v>15</v>
      </c>
      <c r="J4725" t="s">
        <v>15</v>
      </c>
      <c r="K4725">
        <v>2.59</v>
      </c>
      <c r="L4725">
        <v>0</v>
      </c>
    </row>
    <row r="4726" spans="1:12" x14ac:dyDescent="0.3">
      <c r="A4726" t="s">
        <v>4742</v>
      </c>
      <c r="B4726" t="s">
        <v>21</v>
      </c>
      <c r="C4726">
        <v>3499</v>
      </c>
      <c r="D4726">
        <v>10.5</v>
      </c>
      <c r="E4726">
        <v>1.89</v>
      </c>
      <c r="F4726">
        <f>COUNTIFS(mdr_rate_cleaned!$A$2:$A$10,B4726,mdr_rate_cleaned!$B$2:$B$10,"&lt;"&amp;C4726,mdr_rate_cleaned!$F$2:$F$10,"&gt;="&amp;C4726)</f>
        <v>1</v>
      </c>
      <c r="G4726">
        <v>3.0000000000000001E-3</v>
      </c>
      <c r="H4726">
        <v>10.5</v>
      </c>
      <c r="I4726" t="s">
        <v>15</v>
      </c>
      <c r="J4726" t="s">
        <v>15</v>
      </c>
      <c r="K4726">
        <v>1.89</v>
      </c>
      <c r="L4726">
        <v>0</v>
      </c>
    </row>
    <row r="4727" spans="1:12" x14ac:dyDescent="0.3">
      <c r="A4727" t="s">
        <v>4743</v>
      </c>
      <c r="B4727" t="s">
        <v>21</v>
      </c>
      <c r="C4727">
        <v>599</v>
      </c>
      <c r="D4727">
        <v>0</v>
      </c>
      <c r="E4727">
        <v>0</v>
      </c>
      <c r="F4727">
        <f>COUNTIFS(mdr_rate_cleaned!$A$2:$A$10,B4727,mdr_rate_cleaned!$B$2:$B$10,"&lt;"&amp;C4727,mdr_rate_cleaned!$F$2:$F$10,"&gt;="&amp;C4727)</f>
        <v>1</v>
      </c>
      <c r="G4727">
        <v>0</v>
      </c>
      <c r="H4727">
        <v>0</v>
      </c>
      <c r="I4727" t="s">
        <v>15</v>
      </c>
      <c r="J4727" t="s">
        <v>15</v>
      </c>
      <c r="K4727">
        <v>0</v>
      </c>
      <c r="L4727">
        <v>0</v>
      </c>
    </row>
    <row r="4728" spans="1:12" x14ac:dyDescent="0.3">
      <c r="A4728" t="s">
        <v>4744</v>
      </c>
      <c r="B4728" t="s">
        <v>21</v>
      </c>
      <c r="C4728">
        <v>1299</v>
      </c>
      <c r="D4728">
        <v>0</v>
      </c>
      <c r="E4728">
        <v>0</v>
      </c>
      <c r="F4728">
        <f>COUNTIFS(mdr_rate_cleaned!$A$2:$A$10,B4728,mdr_rate_cleaned!$B$2:$B$10,"&lt;"&amp;C4728,mdr_rate_cleaned!$F$2:$F$10,"&gt;="&amp;C4728)</f>
        <v>1</v>
      </c>
      <c r="G4728">
        <v>0</v>
      </c>
      <c r="H4728">
        <v>0</v>
      </c>
      <c r="I4728" t="s">
        <v>15</v>
      </c>
      <c r="J4728" t="s">
        <v>15</v>
      </c>
      <c r="K4728">
        <v>0</v>
      </c>
      <c r="L4728">
        <v>0</v>
      </c>
    </row>
    <row r="4729" spans="1:12" x14ac:dyDescent="0.3">
      <c r="A4729" t="s">
        <v>4745</v>
      </c>
      <c r="B4729" t="s">
        <v>17</v>
      </c>
      <c r="C4729">
        <v>3499</v>
      </c>
      <c r="D4729">
        <v>55.98</v>
      </c>
      <c r="E4729">
        <v>10.08</v>
      </c>
      <c r="F4729">
        <f>COUNTIFS(mdr_rate_cleaned!$A$2:$A$10,B4729,mdr_rate_cleaned!$B$2:$B$10,"&lt;"&amp;C4729,mdr_rate_cleaned!$F$2:$F$10,"&gt;="&amp;C4729)</f>
        <v>1</v>
      </c>
      <c r="G4729">
        <v>1.6E-2</v>
      </c>
      <c r="H4729">
        <v>55.98</v>
      </c>
      <c r="I4729" t="s">
        <v>15</v>
      </c>
      <c r="J4729" t="s">
        <v>15</v>
      </c>
      <c r="K4729">
        <v>10.08</v>
      </c>
      <c r="L4729">
        <v>0</v>
      </c>
    </row>
    <row r="4730" spans="1:12" x14ac:dyDescent="0.3">
      <c r="A4730" t="s">
        <v>4746</v>
      </c>
      <c r="B4730" t="s">
        <v>17</v>
      </c>
      <c r="C4730">
        <v>5397</v>
      </c>
      <c r="D4730">
        <v>86.35</v>
      </c>
      <c r="E4730">
        <v>15.54</v>
      </c>
      <c r="F4730">
        <f>COUNTIFS(mdr_rate_cleaned!$A$2:$A$10,B4730,mdr_rate_cleaned!$B$2:$B$10,"&lt;"&amp;C4730,mdr_rate_cleaned!$F$2:$F$10,"&gt;="&amp;C4730)</f>
        <v>1</v>
      </c>
      <c r="G4730">
        <v>1.6E-2</v>
      </c>
      <c r="H4730">
        <v>86.35</v>
      </c>
      <c r="I4730" t="s">
        <v>15</v>
      </c>
      <c r="J4730" t="s">
        <v>15</v>
      </c>
      <c r="K4730">
        <v>15.54</v>
      </c>
      <c r="L4730">
        <v>0</v>
      </c>
    </row>
    <row r="4731" spans="1:12" x14ac:dyDescent="0.3">
      <c r="A4731" t="s">
        <v>4747</v>
      </c>
      <c r="B4731" t="s">
        <v>13</v>
      </c>
      <c r="C4731">
        <v>2597</v>
      </c>
      <c r="D4731">
        <v>44.15</v>
      </c>
      <c r="E4731">
        <v>7.95</v>
      </c>
      <c r="F4731">
        <f>COUNTIFS(mdr_rate_cleaned!$A$2:$A$10,B4731,mdr_rate_cleaned!$B$2:$B$10,"&lt;"&amp;C4731,mdr_rate_cleaned!$F$2:$F$10,"&gt;="&amp;C4731)</f>
        <v>1</v>
      </c>
      <c r="G4731">
        <v>1.7000000000000001E-2</v>
      </c>
      <c r="H4731">
        <v>44.15</v>
      </c>
      <c r="I4731" t="s">
        <v>15</v>
      </c>
      <c r="J4731" t="s">
        <v>15</v>
      </c>
      <c r="K4731">
        <v>7.95</v>
      </c>
      <c r="L4731">
        <v>0</v>
      </c>
    </row>
    <row r="4732" spans="1:12" x14ac:dyDescent="0.3">
      <c r="A4732" t="s">
        <v>4748</v>
      </c>
      <c r="B4732" t="s">
        <v>21</v>
      </c>
      <c r="C4732">
        <v>8798</v>
      </c>
      <c r="D4732">
        <v>26.39</v>
      </c>
      <c r="E4732">
        <v>4.75</v>
      </c>
      <c r="F4732">
        <f>COUNTIFS(mdr_rate_cleaned!$A$2:$A$10,B4732,mdr_rate_cleaned!$B$2:$B$10,"&lt;"&amp;C4732,mdr_rate_cleaned!$F$2:$F$10,"&gt;="&amp;C4732)</f>
        <v>1</v>
      </c>
      <c r="G4732">
        <v>3.0000000000000001E-3</v>
      </c>
      <c r="H4732">
        <v>26.39</v>
      </c>
      <c r="I4732" t="s">
        <v>15</v>
      </c>
      <c r="J4732" t="s">
        <v>15</v>
      </c>
      <c r="K4732">
        <v>4.75</v>
      </c>
      <c r="L4732">
        <v>0</v>
      </c>
    </row>
    <row r="4733" spans="1:12" x14ac:dyDescent="0.3">
      <c r="A4733" t="s">
        <v>4749</v>
      </c>
      <c r="B4733" t="s">
        <v>21</v>
      </c>
      <c r="C4733">
        <v>2798</v>
      </c>
      <c r="D4733">
        <v>8.39</v>
      </c>
      <c r="E4733">
        <v>1.51</v>
      </c>
      <c r="F4733">
        <f>COUNTIFS(mdr_rate_cleaned!$A$2:$A$10,B4733,mdr_rate_cleaned!$B$2:$B$10,"&lt;"&amp;C4733,mdr_rate_cleaned!$F$2:$F$10,"&gt;="&amp;C4733)</f>
        <v>1</v>
      </c>
      <c r="G4733">
        <v>3.0000000000000001E-3</v>
      </c>
      <c r="H4733">
        <v>8.39</v>
      </c>
      <c r="I4733" t="s">
        <v>15</v>
      </c>
      <c r="J4733" t="s">
        <v>15</v>
      </c>
      <c r="K4733">
        <v>1.51</v>
      </c>
      <c r="L4733">
        <v>0</v>
      </c>
    </row>
    <row r="4734" spans="1:12" x14ac:dyDescent="0.3">
      <c r="A4734" t="s">
        <v>4750</v>
      </c>
      <c r="B4734" t="s">
        <v>39</v>
      </c>
      <c r="C4734">
        <v>999</v>
      </c>
      <c r="D4734">
        <v>14.99</v>
      </c>
      <c r="E4734">
        <v>2.7</v>
      </c>
      <c r="F4734">
        <f>COUNTIFS(mdr_rate_cleaned!$A$2:$A$10,B4734,mdr_rate_cleaned!$B$2:$B$10,"&lt;"&amp;C4734,mdr_rate_cleaned!$F$2:$F$10,"&gt;="&amp;C4734)</f>
        <v>1</v>
      </c>
      <c r="G4734">
        <v>1.4999999999999999E-2</v>
      </c>
      <c r="H4734">
        <v>14.99</v>
      </c>
      <c r="I4734" t="s">
        <v>15</v>
      </c>
      <c r="J4734" t="s">
        <v>15</v>
      </c>
      <c r="K4734">
        <v>2.7</v>
      </c>
      <c r="L4734">
        <v>0</v>
      </c>
    </row>
    <row r="4735" spans="1:12" x14ac:dyDescent="0.3">
      <c r="A4735" t="s">
        <v>4751</v>
      </c>
      <c r="B4735" t="s">
        <v>21</v>
      </c>
      <c r="C4735">
        <v>3499</v>
      </c>
      <c r="D4735">
        <v>10.5</v>
      </c>
      <c r="E4735">
        <v>1.89</v>
      </c>
      <c r="F4735">
        <f>COUNTIFS(mdr_rate_cleaned!$A$2:$A$10,B4735,mdr_rate_cleaned!$B$2:$B$10,"&lt;"&amp;C4735,mdr_rate_cleaned!$F$2:$F$10,"&gt;="&amp;C4735)</f>
        <v>1</v>
      </c>
      <c r="G4735">
        <v>3.0000000000000001E-3</v>
      </c>
      <c r="H4735">
        <v>10.5</v>
      </c>
      <c r="I4735" t="s">
        <v>15</v>
      </c>
      <c r="J4735" t="s">
        <v>15</v>
      </c>
      <c r="K4735">
        <v>1.89</v>
      </c>
      <c r="L4735">
        <v>0</v>
      </c>
    </row>
    <row r="4736" spans="1:12" x14ac:dyDescent="0.3">
      <c r="A4736" t="s">
        <v>4752</v>
      </c>
      <c r="B4736" t="s">
        <v>13</v>
      </c>
      <c r="C4736">
        <v>7999</v>
      </c>
      <c r="D4736">
        <v>135.97999999999999</v>
      </c>
      <c r="E4736">
        <v>24.48</v>
      </c>
      <c r="F4736">
        <f>COUNTIFS(mdr_rate_cleaned!$A$2:$A$10,B4736,mdr_rate_cleaned!$B$2:$B$10,"&lt;"&amp;C4736,mdr_rate_cleaned!$F$2:$F$10,"&gt;="&amp;C4736)</f>
        <v>1</v>
      </c>
      <c r="G4736">
        <v>1.7000000000000001E-2</v>
      </c>
      <c r="H4736">
        <v>135.97999999999999</v>
      </c>
      <c r="I4736" t="s">
        <v>15</v>
      </c>
      <c r="J4736" t="s">
        <v>15</v>
      </c>
      <c r="K4736">
        <v>24.48</v>
      </c>
      <c r="L4736">
        <v>0</v>
      </c>
    </row>
    <row r="4737" spans="1:12" x14ac:dyDescent="0.3">
      <c r="A4737" t="s">
        <v>4753</v>
      </c>
      <c r="B4737" t="s">
        <v>21</v>
      </c>
      <c r="C4737">
        <v>6298</v>
      </c>
      <c r="D4737">
        <v>18.89</v>
      </c>
      <c r="E4737">
        <v>3.4</v>
      </c>
      <c r="F4737">
        <f>COUNTIFS(mdr_rate_cleaned!$A$2:$A$10,B4737,mdr_rate_cleaned!$B$2:$B$10,"&lt;"&amp;C4737,mdr_rate_cleaned!$F$2:$F$10,"&gt;="&amp;C4737)</f>
        <v>1</v>
      </c>
      <c r="G4737">
        <v>3.0000000000000001E-3</v>
      </c>
      <c r="H4737">
        <v>18.89</v>
      </c>
      <c r="I4737" t="s">
        <v>15</v>
      </c>
      <c r="J4737" t="s">
        <v>15</v>
      </c>
      <c r="K4737">
        <v>3.4</v>
      </c>
      <c r="L4737">
        <v>0</v>
      </c>
    </row>
    <row r="4738" spans="1:12" x14ac:dyDescent="0.3">
      <c r="A4738" t="s">
        <v>4754</v>
      </c>
      <c r="B4738" t="s">
        <v>21</v>
      </c>
      <c r="C4738">
        <v>648</v>
      </c>
      <c r="D4738">
        <v>0</v>
      </c>
      <c r="E4738">
        <v>0</v>
      </c>
      <c r="F4738">
        <f>COUNTIFS(mdr_rate_cleaned!$A$2:$A$10,B4738,mdr_rate_cleaned!$B$2:$B$10,"&lt;"&amp;C4738,mdr_rate_cleaned!$F$2:$F$10,"&gt;="&amp;C4738)</f>
        <v>1</v>
      </c>
      <c r="G4738">
        <v>0</v>
      </c>
      <c r="H4738">
        <v>0</v>
      </c>
      <c r="I4738" t="s">
        <v>15</v>
      </c>
      <c r="J4738" t="s">
        <v>15</v>
      </c>
      <c r="K4738">
        <v>0</v>
      </c>
      <c r="L4738">
        <v>0</v>
      </c>
    </row>
    <row r="4739" spans="1:12" x14ac:dyDescent="0.3">
      <c r="A4739" t="s">
        <v>4755</v>
      </c>
      <c r="B4739" t="s">
        <v>13</v>
      </c>
      <c r="C4739">
        <v>4298</v>
      </c>
      <c r="D4739">
        <v>73.069999999999993</v>
      </c>
      <c r="E4739">
        <v>13.15</v>
      </c>
      <c r="F4739">
        <f>COUNTIFS(mdr_rate_cleaned!$A$2:$A$10,B4739,mdr_rate_cleaned!$B$2:$B$10,"&lt;"&amp;C4739,mdr_rate_cleaned!$F$2:$F$10,"&gt;="&amp;C4739)</f>
        <v>1</v>
      </c>
      <c r="G4739">
        <v>1.7000000000000001E-2</v>
      </c>
      <c r="H4739">
        <v>73.069999999999993</v>
      </c>
      <c r="I4739" t="s">
        <v>15</v>
      </c>
      <c r="J4739" t="s">
        <v>15</v>
      </c>
      <c r="K4739">
        <v>13.15</v>
      </c>
      <c r="L4739">
        <v>0</v>
      </c>
    </row>
    <row r="4740" spans="1:12" x14ac:dyDescent="0.3">
      <c r="A4740" t="s">
        <v>4756</v>
      </c>
      <c r="B4740" t="s">
        <v>21</v>
      </c>
      <c r="C4740">
        <v>1998</v>
      </c>
      <c r="D4740">
        <v>0</v>
      </c>
      <c r="E4740">
        <v>0</v>
      </c>
      <c r="F4740">
        <f>COUNTIFS(mdr_rate_cleaned!$A$2:$A$10,B4740,mdr_rate_cleaned!$B$2:$B$10,"&lt;"&amp;C4740,mdr_rate_cleaned!$F$2:$F$10,"&gt;="&amp;C4740)</f>
        <v>1</v>
      </c>
      <c r="G4740">
        <v>0</v>
      </c>
      <c r="H4740">
        <v>0</v>
      </c>
      <c r="I4740" t="s">
        <v>15</v>
      </c>
      <c r="J4740" t="s">
        <v>15</v>
      </c>
      <c r="K4740">
        <v>0</v>
      </c>
      <c r="L4740">
        <v>0</v>
      </c>
    </row>
    <row r="4741" spans="1:12" x14ac:dyDescent="0.3">
      <c r="A4741" t="s">
        <v>4757</v>
      </c>
      <c r="B4741" t="s">
        <v>17</v>
      </c>
      <c r="C4741">
        <v>10797</v>
      </c>
      <c r="D4741">
        <v>172.75</v>
      </c>
      <c r="E4741">
        <v>31.1</v>
      </c>
      <c r="F4741">
        <f>COUNTIFS(mdr_rate_cleaned!$A$2:$A$10,B4741,mdr_rate_cleaned!$B$2:$B$10,"&lt;"&amp;C4741,mdr_rate_cleaned!$F$2:$F$10,"&gt;="&amp;C4741)</f>
        <v>1</v>
      </c>
      <c r="G4741">
        <v>1.6E-2</v>
      </c>
      <c r="H4741">
        <v>172.75</v>
      </c>
      <c r="I4741" t="s">
        <v>15</v>
      </c>
      <c r="J4741" t="s">
        <v>15</v>
      </c>
      <c r="K4741">
        <v>31.1</v>
      </c>
      <c r="L4741">
        <v>0</v>
      </c>
    </row>
    <row r="4742" spans="1:12" x14ac:dyDescent="0.3">
      <c r="A4742" t="s">
        <v>4758</v>
      </c>
      <c r="B4742" t="s">
        <v>13</v>
      </c>
      <c r="C4742">
        <v>2998</v>
      </c>
      <c r="D4742">
        <v>50.97</v>
      </c>
      <c r="E4742">
        <v>9.17</v>
      </c>
      <c r="F4742">
        <f>COUNTIFS(mdr_rate_cleaned!$A$2:$A$10,B4742,mdr_rate_cleaned!$B$2:$B$10,"&lt;"&amp;C4742,mdr_rate_cleaned!$F$2:$F$10,"&gt;="&amp;C4742)</f>
        <v>1</v>
      </c>
      <c r="G4742">
        <v>1.7000000000000001E-2</v>
      </c>
      <c r="H4742">
        <v>50.97</v>
      </c>
      <c r="I4742" t="s">
        <v>15</v>
      </c>
      <c r="J4742" t="s">
        <v>15</v>
      </c>
      <c r="K4742">
        <v>9.17</v>
      </c>
      <c r="L4742">
        <v>0</v>
      </c>
    </row>
    <row r="4743" spans="1:12" x14ac:dyDescent="0.3">
      <c r="A4743" t="s">
        <v>4759</v>
      </c>
      <c r="B4743" t="s">
        <v>21</v>
      </c>
      <c r="C4743">
        <v>2999</v>
      </c>
      <c r="D4743">
        <v>9</v>
      </c>
      <c r="E4743">
        <v>1.62</v>
      </c>
      <c r="F4743">
        <f>COUNTIFS(mdr_rate_cleaned!$A$2:$A$10,B4743,mdr_rate_cleaned!$B$2:$B$10,"&lt;"&amp;C4743,mdr_rate_cleaned!$F$2:$F$10,"&gt;="&amp;C4743)</f>
        <v>1</v>
      </c>
      <c r="G4743">
        <v>3.0000000000000001E-3</v>
      </c>
      <c r="H4743">
        <v>9</v>
      </c>
      <c r="I4743" t="s">
        <v>15</v>
      </c>
      <c r="J4743" t="s">
        <v>15</v>
      </c>
      <c r="K4743">
        <v>1.62</v>
      </c>
      <c r="L4743">
        <v>0</v>
      </c>
    </row>
    <row r="4744" spans="1:12" x14ac:dyDescent="0.3">
      <c r="A4744" t="s">
        <v>4760</v>
      </c>
      <c r="B4744" t="s">
        <v>21</v>
      </c>
      <c r="C4744">
        <v>2098</v>
      </c>
      <c r="D4744">
        <v>6.29</v>
      </c>
      <c r="E4744">
        <v>1.1299999999999999</v>
      </c>
      <c r="F4744">
        <f>COUNTIFS(mdr_rate_cleaned!$A$2:$A$10,B4744,mdr_rate_cleaned!$B$2:$B$10,"&lt;"&amp;C4744,mdr_rate_cleaned!$F$2:$F$10,"&gt;="&amp;C4744)</f>
        <v>1</v>
      </c>
      <c r="G4744">
        <v>3.0000000000000001E-3</v>
      </c>
      <c r="H4744">
        <v>6.29</v>
      </c>
      <c r="I4744" t="s">
        <v>15</v>
      </c>
      <c r="J4744" t="s">
        <v>15</v>
      </c>
      <c r="K4744">
        <v>1.1299999999999999</v>
      </c>
      <c r="L4744">
        <v>0</v>
      </c>
    </row>
    <row r="4745" spans="1:12" x14ac:dyDescent="0.3">
      <c r="A4745" t="s">
        <v>4761</v>
      </c>
      <c r="B4745" t="s">
        <v>17</v>
      </c>
      <c r="C4745">
        <v>2397</v>
      </c>
      <c r="D4745">
        <v>38.35</v>
      </c>
      <c r="E4745">
        <v>6.9</v>
      </c>
      <c r="F4745">
        <f>COUNTIFS(mdr_rate_cleaned!$A$2:$A$10,B4745,mdr_rate_cleaned!$B$2:$B$10,"&lt;"&amp;C4745,mdr_rate_cleaned!$F$2:$F$10,"&gt;="&amp;C4745)</f>
        <v>1</v>
      </c>
      <c r="G4745">
        <v>1.6E-2</v>
      </c>
      <c r="H4745">
        <v>38.35</v>
      </c>
      <c r="I4745" t="s">
        <v>15</v>
      </c>
      <c r="J4745" t="s">
        <v>15</v>
      </c>
      <c r="K4745">
        <v>6.9</v>
      </c>
      <c r="L4745">
        <v>0</v>
      </c>
    </row>
    <row r="4746" spans="1:12" x14ac:dyDescent="0.3">
      <c r="A4746" t="s">
        <v>4762</v>
      </c>
      <c r="B4746" t="s">
        <v>21</v>
      </c>
      <c r="C4746">
        <v>6797</v>
      </c>
      <c r="D4746">
        <v>20.39</v>
      </c>
      <c r="E4746">
        <v>3.67</v>
      </c>
      <c r="F4746">
        <f>COUNTIFS(mdr_rate_cleaned!$A$2:$A$10,B4746,mdr_rate_cleaned!$B$2:$B$10,"&lt;"&amp;C4746,mdr_rate_cleaned!$F$2:$F$10,"&gt;="&amp;C4746)</f>
        <v>1</v>
      </c>
      <c r="G4746">
        <v>3.0000000000000001E-3</v>
      </c>
      <c r="H4746">
        <v>20.39</v>
      </c>
      <c r="I4746" t="s">
        <v>15</v>
      </c>
      <c r="J4746" t="s">
        <v>15</v>
      </c>
      <c r="K4746">
        <v>3.67</v>
      </c>
      <c r="L4746">
        <v>0</v>
      </c>
    </row>
    <row r="4747" spans="1:12" x14ac:dyDescent="0.3">
      <c r="A4747" t="s">
        <v>4763</v>
      </c>
      <c r="B4747" t="s">
        <v>13</v>
      </c>
      <c r="C4747">
        <v>948</v>
      </c>
      <c r="D4747">
        <v>18.010000000000002</v>
      </c>
      <c r="E4747">
        <v>3.24</v>
      </c>
      <c r="F4747">
        <f>COUNTIFS(mdr_rate_cleaned!$A$2:$A$10,B4747,mdr_rate_cleaned!$B$2:$B$10,"&lt;"&amp;C4747,mdr_rate_cleaned!$F$2:$F$10,"&gt;="&amp;C4747)</f>
        <v>1</v>
      </c>
      <c r="G4747">
        <v>1.9E-2</v>
      </c>
      <c r="H4747">
        <v>18.010000000000002</v>
      </c>
      <c r="I4747" t="s">
        <v>15</v>
      </c>
      <c r="J4747" t="s">
        <v>15</v>
      </c>
      <c r="K4747">
        <v>3.24</v>
      </c>
      <c r="L4747">
        <v>0</v>
      </c>
    </row>
    <row r="4748" spans="1:12" x14ac:dyDescent="0.3">
      <c r="A4748" t="s">
        <v>4764</v>
      </c>
      <c r="B4748" t="s">
        <v>21</v>
      </c>
      <c r="C4748">
        <v>4298</v>
      </c>
      <c r="D4748">
        <v>12.89</v>
      </c>
      <c r="E4748">
        <v>2.3199999999999998</v>
      </c>
      <c r="F4748">
        <f>COUNTIFS(mdr_rate_cleaned!$A$2:$A$10,B4748,mdr_rate_cleaned!$B$2:$B$10,"&lt;"&amp;C4748,mdr_rate_cleaned!$F$2:$F$10,"&gt;="&amp;C4748)</f>
        <v>1</v>
      </c>
      <c r="G4748">
        <v>3.0000000000000001E-3</v>
      </c>
      <c r="H4748">
        <v>12.89</v>
      </c>
      <c r="I4748" t="s">
        <v>15</v>
      </c>
      <c r="J4748" t="s">
        <v>15</v>
      </c>
      <c r="K4748">
        <v>2.3199999999999998</v>
      </c>
      <c r="L4748">
        <v>0</v>
      </c>
    </row>
    <row r="4749" spans="1:12" x14ac:dyDescent="0.3">
      <c r="A4749" t="s">
        <v>4765</v>
      </c>
      <c r="B4749" t="s">
        <v>13</v>
      </c>
      <c r="C4749">
        <v>13497</v>
      </c>
      <c r="D4749">
        <v>229.45</v>
      </c>
      <c r="E4749">
        <v>41.3</v>
      </c>
      <c r="F4749">
        <f>COUNTIFS(mdr_rate_cleaned!$A$2:$A$10,B4749,mdr_rate_cleaned!$B$2:$B$10,"&lt;"&amp;C4749,mdr_rate_cleaned!$F$2:$F$10,"&gt;="&amp;C4749)</f>
        <v>1</v>
      </c>
      <c r="G4749">
        <v>1.7000000000000001E-2</v>
      </c>
      <c r="H4749">
        <v>229.45</v>
      </c>
      <c r="I4749" t="s">
        <v>15</v>
      </c>
      <c r="J4749" t="s">
        <v>15</v>
      </c>
      <c r="K4749">
        <v>41.3</v>
      </c>
      <c r="L4749">
        <v>0</v>
      </c>
    </row>
    <row r="4750" spans="1:12" x14ac:dyDescent="0.3">
      <c r="A4750" t="s">
        <v>4766</v>
      </c>
      <c r="B4750" t="s">
        <v>13</v>
      </c>
      <c r="C4750">
        <v>349</v>
      </c>
      <c r="D4750">
        <v>6.63</v>
      </c>
      <c r="E4750">
        <v>1.19</v>
      </c>
      <c r="F4750">
        <f>COUNTIFS(mdr_rate_cleaned!$A$2:$A$10,B4750,mdr_rate_cleaned!$B$2:$B$10,"&lt;"&amp;C4750,mdr_rate_cleaned!$F$2:$F$10,"&gt;="&amp;C4750)</f>
        <v>1</v>
      </c>
      <c r="G4750">
        <v>1.9E-2</v>
      </c>
      <c r="H4750">
        <v>6.63</v>
      </c>
      <c r="I4750" t="s">
        <v>15</v>
      </c>
      <c r="J4750" t="s">
        <v>15</v>
      </c>
      <c r="K4750">
        <v>1.19</v>
      </c>
      <c r="L4750">
        <v>0</v>
      </c>
    </row>
    <row r="4751" spans="1:12" x14ac:dyDescent="0.3">
      <c r="A4751" t="s">
        <v>4767</v>
      </c>
      <c r="B4751" t="s">
        <v>21</v>
      </c>
      <c r="C4751">
        <v>1298</v>
      </c>
      <c r="D4751">
        <v>0</v>
      </c>
      <c r="E4751">
        <v>0</v>
      </c>
      <c r="F4751">
        <f>COUNTIFS(mdr_rate_cleaned!$A$2:$A$10,B4751,mdr_rate_cleaned!$B$2:$B$10,"&lt;"&amp;C4751,mdr_rate_cleaned!$F$2:$F$10,"&gt;="&amp;C4751)</f>
        <v>1</v>
      </c>
      <c r="G4751">
        <v>0</v>
      </c>
      <c r="H4751">
        <v>0</v>
      </c>
      <c r="I4751" t="s">
        <v>15</v>
      </c>
      <c r="J4751" t="s">
        <v>15</v>
      </c>
      <c r="K4751">
        <v>0</v>
      </c>
      <c r="L4751">
        <v>0</v>
      </c>
    </row>
    <row r="4752" spans="1:12" x14ac:dyDescent="0.3">
      <c r="A4752" t="s">
        <v>4768</v>
      </c>
      <c r="B4752" t="s">
        <v>21</v>
      </c>
      <c r="C4752">
        <v>999</v>
      </c>
      <c r="D4752">
        <v>0</v>
      </c>
      <c r="E4752">
        <v>0</v>
      </c>
      <c r="F4752">
        <f>COUNTIFS(mdr_rate_cleaned!$A$2:$A$10,B4752,mdr_rate_cleaned!$B$2:$B$10,"&lt;"&amp;C4752,mdr_rate_cleaned!$F$2:$F$10,"&gt;="&amp;C4752)</f>
        <v>1</v>
      </c>
      <c r="G4752">
        <v>0</v>
      </c>
      <c r="H4752">
        <v>0</v>
      </c>
      <c r="I4752" t="s">
        <v>15</v>
      </c>
      <c r="J4752" t="s">
        <v>15</v>
      </c>
      <c r="K4752">
        <v>0</v>
      </c>
      <c r="L4752">
        <v>0</v>
      </c>
    </row>
    <row r="4753" spans="1:12" x14ac:dyDescent="0.3">
      <c r="A4753" t="s">
        <v>4769</v>
      </c>
      <c r="B4753" t="s">
        <v>21</v>
      </c>
      <c r="C4753">
        <v>6298</v>
      </c>
      <c r="D4753">
        <v>18.89</v>
      </c>
      <c r="E4753">
        <v>3.4</v>
      </c>
      <c r="F4753">
        <f>COUNTIFS(mdr_rate_cleaned!$A$2:$A$10,B4753,mdr_rate_cleaned!$B$2:$B$10,"&lt;"&amp;C4753,mdr_rate_cleaned!$F$2:$F$10,"&gt;="&amp;C4753)</f>
        <v>1</v>
      </c>
      <c r="G4753">
        <v>3.0000000000000001E-3</v>
      </c>
      <c r="H4753">
        <v>18.89</v>
      </c>
      <c r="I4753" t="s">
        <v>15</v>
      </c>
      <c r="J4753" t="s">
        <v>15</v>
      </c>
      <c r="K4753">
        <v>3.4</v>
      </c>
      <c r="L4753">
        <v>0</v>
      </c>
    </row>
    <row r="4754" spans="1:12" x14ac:dyDescent="0.3">
      <c r="A4754" t="s">
        <v>4770</v>
      </c>
      <c r="B4754" t="s">
        <v>21</v>
      </c>
      <c r="C4754">
        <v>1499</v>
      </c>
      <c r="D4754">
        <v>0</v>
      </c>
      <c r="E4754">
        <v>0</v>
      </c>
      <c r="F4754">
        <f>COUNTIFS(mdr_rate_cleaned!$A$2:$A$10,B4754,mdr_rate_cleaned!$B$2:$B$10,"&lt;"&amp;C4754,mdr_rate_cleaned!$F$2:$F$10,"&gt;="&amp;C4754)</f>
        <v>1</v>
      </c>
      <c r="G4754">
        <v>0</v>
      </c>
      <c r="H4754">
        <v>0</v>
      </c>
      <c r="I4754" t="s">
        <v>15</v>
      </c>
      <c r="J4754" t="s">
        <v>15</v>
      </c>
      <c r="K4754">
        <v>0</v>
      </c>
      <c r="L4754">
        <v>0</v>
      </c>
    </row>
    <row r="4755" spans="1:12" x14ac:dyDescent="0.3">
      <c r="A4755" t="s">
        <v>4771</v>
      </c>
      <c r="B4755" t="s">
        <v>21</v>
      </c>
      <c r="C4755">
        <v>1598</v>
      </c>
      <c r="D4755">
        <v>0</v>
      </c>
      <c r="E4755">
        <v>0</v>
      </c>
      <c r="F4755">
        <f>COUNTIFS(mdr_rate_cleaned!$A$2:$A$10,B4755,mdr_rate_cleaned!$B$2:$B$10,"&lt;"&amp;C4755,mdr_rate_cleaned!$F$2:$F$10,"&gt;="&amp;C4755)</f>
        <v>1</v>
      </c>
      <c r="G4755">
        <v>0</v>
      </c>
      <c r="H4755">
        <v>0</v>
      </c>
      <c r="I4755" t="s">
        <v>15</v>
      </c>
      <c r="J4755" t="s">
        <v>15</v>
      </c>
      <c r="K4755">
        <v>0</v>
      </c>
      <c r="L4755">
        <v>0</v>
      </c>
    </row>
    <row r="4756" spans="1:12" x14ac:dyDescent="0.3">
      <c r="A4756" t="s">
        <v>4772</v>
      </c>
      <c r="B4756" t="s">
        <v>21</v>
      </c>
      <c r="C4756">
        <v>4297</v>
      </c>
      <c r="D4756">
        <v>12.89</v>
      </c>
      <c r="E4756">
        <v>2.3199999999999998</v>
      </c>
      <c r="F4756">
        <f>COUNTIFS(mdr_rate_cleaned!$A$2:$A$10,B4756,mdr_rate_cleaned!$B$2:$B$10,"&lt;"&amp;C4756,mdr_rate_cleaned!$F$2:$F$10,"&gt;="&amp;C4756)</f>
        <v>1</v>
      </c>
      <c r="G4756">
        <v>3.0000000000000001E-3</v>
      </c>
      <c r="H4756">
        <v>12.89</v>
      </c>
      <c r="I4756" t="s">
        <v>15</v>
      </c>
      <c r="J4756" t="s">
        <v>15</v>
      </c>
      <c r="K4756">
        <v>2.3199999999999998</v>
      </c>
      <c r="L4756">
        <v>0</v>
      </c>
    </row>
    <row r="4757" spans="1:12" x14ac:dyDescent="0.3">
      <c r="A4757" t="s">
        <v>4773</v>
      </c>
      <c r="B4757" t="s">
        <v>17</v>
      </c>
      <c r="C4757">
        <v>6298</v>
      </c>
      <c r="D4757">
        <v>100.77</v>
      </c>
      <c r="E4757">
        <v>18.14</v>
      </c>
      <c r="F4757">
        <f>COUNTIFS(mdr_rate_cleaned!$A$2:$A$10,B4757,mdr_rate_cleaned!$B$2:$B$10,"&lt;"&amp;C4757,mdr_rate_cleaned!$F$2:$F$10,"&gt;="&amp;C4757)</f>
        <v>1</v>
      </c>
      <c r="G4757">
        <v>1.6E-2</v>
      </c>
      <c r="H4757">
        <v>100.77</v>
      </c>
      <c r="I4757" t="s">
        <v>15</v>
      </c>
      <c r="J4757" t="s">
        <v>15</v>
      </c>
      <c r="K4757">
        <v>18.14</v>
      </c>
      <c r="L4757">
        <v>0</v>
      </c>
    </row>
    <row r="4758" spans="1:12" x14ac:dyDescent="0.3">
      <c r="A4758" t="s">
        <v>4774</v>
      </c>
      <c r="B4758" t="s">
        <v>21</v>
      </c>
      <c r="C4758">
        <v>3798</v>
      </c>
      <c r="D4758">
        <v>11.39</v>
      </c>
      <c r="E4758">
        <v>2.0499999999999998</v>
      </c>
      <c r="F4758">
        <f>COUNTIFS(mdr_rate_cleaned!$A$2:$A$10,B4758,mdr_rate_cleaned!$B$2:$B$10,"&lt;"&amp;C4758,mdr_rate_cleaned!$F$2:$F$10,"&gt;="&amp;C4758)</f>
        <v>1</v>
      </c>
      <c r="G4758">
        <v>3.0000000000000001E-3</v>
      </c>
      <c r="H4758">
        <v>11.39</v>
      </c>
      <c r="I4758" t="s">
        <v>15</v>
      </c>
      <c r="J4758" t="s">
        <v>15</v>
      </c>
      <c r="K4758">
        <v>2.0499999999999998</v>
      </c>
      <c r="L4758">
        <v>0</v>
      </c>
    </row>
    <row r="4759" spans="1:12" x14ac:dyDescent="0.3">
      <c r="A4759" t="s">
        <v>4775</v>
      </c>
      <c r="B4759" t="s">
        <v>21</v>
      </c>
      <c r="C4759">
        <v>999</v>
      </c>
      <c r="D4759">
        <v>0</v>
      </c>
      <c r="E4759">
        <v>0</v>
      </c>
      <c r="F4759">
        <f>COUNTIFS(mdr_rate_cleaned!$A$2:$A$10,B4759,mdr_rate_cleaned!$B$2:$B$10,"&lt;"&amp;C4759,mdr_rate_cleaned!$F$2:$F$10,"&gt;="&amp;C4759)</f>
        <v>1</v>
      </c>
      <c r="G4759">
        <v>0</v>
      </c>
      <c r="H4759">
        <v>0</v>
      </c>
      <c r="I4759" t="s">
        <v>15</v>
      </c>
      <c r="J4759" t="s">
        <v>15</v>
      </c>
      <c r="K4759">
        <v>0</v>
      </c>
      <c r="L4759">
        <v>0</v>
      </c>
    </row>
    <row r="4760" spans="1:12" x14ac:dyDescent="0.3">
      <c r="A4760" t="s">
        <v>4776</v>
      </c>
      <c r="B4760" t="s">
        <v>21</v>
      </c>
      <c r="C4760">
        <v>499</v>
      </c>
      <c r="D4760">
        <v>0</v>
      </c>
      <c r="E4760">
        <v>0</v>
      </c>
      <c r="F4760">
        <f>COUNTIFS(mdr_rate_cleaned!$A$2:$A$10,B4760,mdr_rate_cleaned!$B$2:$B$10,"&lt;"&amp;C4760,mdr_rate_cleaned!$F$2:$F$10,"&gt;="&amp;C4760)</f>
        <v>1</v>
      </c>
      <c r="G4760">
        <v>0</v>
      </c>
      <c r="H4760">
        <v>0</v>
      </c>
      <c r="I4760" t="s">
        <v>15</v>
      </c>
      <c r="J4760" t="s">
        <v>15</v>
      </c>
      <c r="K4760">
        <v>0</v>
      </c>
      <c r="L4760">
        <v>0</v>
      </c>
    </row>
    <row r="4761" spans="1:12" x14ac:dyDescent="0.3">
      <c r="A4761" t="s">
        <v>4777</v>
      </c>
      <c r="B4761" t="s">
        <v>21</v>
      </c>
      <c r="C4761">
        <v>7999</v>
      </c>
      <c r="D4761">
        <v>24</v>
      </c>
      <c r="E4761">
        <v>4.32</v>
      </c>
      <c r="F4761">
        <f>COUNTIFS(mdr_rate_cleaned!$A$2:$A$10,B4761,mdr_rate_cleaned!$B$2:$B$10,"&lt;"&amp;C4761,mdr_rate_cleaned!$F$2:$F$10,"&gt;="&amp;C4761)</f>
        <v>1</v>
      </c>
      <c r="G4761">
        <v>3.0000000000000001E-3</v>
      </c>
      <c r="H4761">
        <v>24</v>
      </c>
      <c r="I4761" t="s">
        <v>15</v>
      </c>
      <c r="J4761" t="s">
        <v>15</v>
      </c>
      <c r="K4761">
        <v>4.32</v>
      </c>
      <c r="L4761">
        <v>0</v>
      </c>
    </row>
    <row r="4762" spans="1:12" x14ac:dyDescent="0.3">
      <c r="A4762" t="s">
        <v>4778</v>
      </c>
      <c r="B4762" t="s">
        <v>21</v>
      </c>
      <c r="C4762">
        <v>2499</v>
      </c>
      <c r="D4762">
        <v>7.5</v>
      </c>
      <c r="E4762">
        <v>1.35</v>
      </c>
      <c r="F4762">
        <f>COUNTIFS(mdr_rate_cleaned!$A$2:$A$10,B4762,mdr_rate_cleaned!$B$2:$B$10,"&lt;"&amp;C4762,mdr_rate_cleaned!$F$2:$F$10,"&gt;="&amp;C4762)</f>
        <v>1</v>
      </c>
      <c r="G4762">
        <v>3.0000000000000001E-3</v>
      </c>
      <c r="H4762">
        <v>7.5</v>
      </c>
      <c r="I4762" t="s">
        <v>15</v>
      </c>
      <c r="J4762" t="s">
        <v>15</v>
      </c>
      <c r="K4762">
        <v>1.35</v>
      </c>
      <c r="L4762">
        <v>0</v>
      </c>
    </row>
    <row r="4763" spans="1:12" x14ac:dyDescent="0.3">
      <c r="A4763" t="s">
        <v>4779</v>
      </c>
      <c r="B4763" t="s">
        <v>17</v>
      </c>
      <c r="C4763">
        <v>1398</v>
      </c>
      <c r="D4763">
        <v>25.16</v>
      </c>
      <c r="E4763">
        <v>4.53</v>
      </c>
      <c r="F4763">
        <f>COUNTIFS(mdr_rate_cleaned!$A$2:$A$10,B4763,mdr_rate_cleaned!$B$2:$B$10,"&lt;"&amp;C4763,mdr_rate_cleaned!$F$2:$F$10,"&gt;="&amp;C4763)</f>
        <v>1</v>
      </c>
      <c r="G4763">
        <v>1.7999999999999999E-2</v>
      </c>
      <c r="H4763">
        <v>25.16</v>
      </c>
      <c r="I4763" t="s">
        <v>15</v>
      </c>
      <c r="J4763" t="s">
        <v>15</v>
      </c>
      <c r="K4763">
        <v>4.53</v>
      </c>
      <c r="L4763">
        <v>0</v>
      </c>
    </row>
    <row r="4764" spans="1:12" x14ac:dyDescent="0.3">
      <c r="A4764" t="s">
        <v>4780</v>
      </c>
      <c r="B4764" t="s">
        <v>17</v>
      </c>
      <c r="C4764">
        <v>2398</v>
      </c>
      <c r="D4764">
        <v>38.369999999999997</v>
      </c>
      <c r="E4764">
        <v>6.91</v>
      </c>
      <c r="F4764">
        <f>COUNTIFS(mdr_rate_cleaned!$A$2:$A$10,B4764,mdr_rate_cleaned!$B$2:$B$10,"&lt;"&amp;C4764,mdr_rate_cleaned!$F$2:$F$10,"&gt;="&amp;C4764)</f>
        <v>1</v>
      </c>
      <c r="G4764">
        <v>1.6E-2</v>
      </c>
      <c r="H4764">
        <v>38.369999999999997</v>
      </c>
      <c r="I4764" t="s">
        <v>15</v>
      </c>
      <c r="J4764" t="s">
        <v>15</v>
      </c>
      <c r="K4764">
        <v>6.91</v>
      </c>
      <c r="L4764">
        <v>0</v>
      </c>
    </row>
    <row r="4765" spans="1:12" x14ac:dyDescent="0.3">
      <c r="A4765" t="s">
        <v>4781</v>
      </c>
      <c r="B4765" t="s">
        <v>21</v>
      </c>
      <c r="C4765">
        <v>2598</v>
      </c>
      <c r="D4765">
        <v>7.79</v>
      </c>
      <c r="E4765">
        <v>1.4</v>
      </c>
      <c r="F4765">
        <f>COUNTIFS(mdr_rate_cleaned!$A$2:$A$10,B4765,mdr_rate_cleaned!$B$2:$B$10,"&lt;"&amp;C4765,mdr_rate_cleaned!$F$2:$F$10,"&gt;="&amp;C4765)</f>
        <v>1</v>
      </c>
      <c r="G4765">
        <v>3.0000000000000001E-3</v>
      </c>
      <c r="H4765">
        <v>7.79</v>
      </c>
      <c r="I4765" t="s">
        <v>15</v>
      </c>
      <c r="J4765" t="s">
        <v>15</v>
      </c>
      <c r="K4765">
        <v>1.4</v>
      </c>
      <c r="L4765">
        <v>0</v>
      </c>
    </row>
    <row r="4766" spans="1:12" x14ac:dyDescent="0.3">
      <c r="A4766" t="s">
        <v>4782</v>
      </c>
      <c r="B4766" t="s">
        <v>21</v>
      </c>
      <c r="C4766">
        <v>599</v>
      </c>
      <c r="D4766">
        <v>0</v>
      </c>
      <c r="E4766">
        <v>0</v>
      </c>
      <c r="F4766">
        <f>COUNTIFS(mdr_rate_cleaned!$A$2:$A$10,B4766,mdr_rate_cleaned!$B$2:$B$10,"&lt;"&amp;C4766,mdr_rate_cleaned!$F$2:$F$10,"&gt;="&amp;C4766)</f>
        <v>1</v>
      </c>
      <c r="G4766">
        <v>0</v>
      </c>
      <c r="H4766">
        <v>0</v>
      </c>
      <c r="I4766" t="s">
        <v>15</v>
      </c>
      <c r="J4766" t="s">
        <v>15</v>
      </c>
      <c r="K4766">
        <v>0</v>
      </c>
      <c r="L4766">
        <v>0</v>
      </c>
    </row>
    <row r="4767" spans="1:12" x14ac:dyDescent="0.3">
      <c r="A4767" t="s">
        <v>4783</v>
      </c>
      <c r="B4767" t="s">
        <v>17</v>
      </c>
      <c r="C4767">
        <v>4999</v>
      </c>
      <c r="D4767">
        <v>79.98</v>
      </c>
      <c r="E4767">
        <v>14.4</v>
      </c>
      <c r="F4767">
        <f>COUNTIFS(mdr_rate_cleaned!$A$2:$A$10,B4767,mdr_rate_cleaned!$B$2:$B$10,"&lt;"&amp;C4767,mdr_rate_cleaned!$F$2:$F$10,"&gt;="&amp;C4767)</f>
        <v>1</v>
      </c>
      <c r="G4767">
        <v>1.6E-2</v>
      </c>
      <c r="H4767">
        <v>79.98</v>
      </c>
      <c r="I4767" t="s">
        <v>15</v>
      </c>
      <c r="J4767" t="s">
        <v>15</v>
      </c>
      <c r="K4767">
        <v>14.4</v>
      </c>
      <c r="L4767">
        <v>0</v>
      </c>
    </row>
    <row r="4768" spans="1:12" x14ac:dyDescent="0.3">
      <c r="A4768" t="s">
        <v>4784</v>
      </c>
      <c r="B4768" t="s">
        <v>21</v>
      </c>
      <c r="C4768">
        <v>2598</v>
      </c>
      <c r="D4768">
        <v>7.79</v>
      </c>
      <c r="E4768">
        <v>1.4</v>
      </c>
      <c r="F4768">
        <f>COUNTIFS(mdr_rate_cleaned!$A$2:$A$10,B4768,mdr_rate_cleaned!$B$2:$B$10,"&lt;"&amp;C4768,mdr_rate_cleaned!$F$2:$F$10,"&gt;="&amp;C4768)</f>
        <v>1</v>
      </c>
      <c r="G4768">
        <v>3.0000000000000001E-3</v>
      </c>
      <c r="H4768">
        <v>7.79</v>
      </c>
      <c r="I4768" t="s">
        <v>15</v>
      </c>
      <c r="J4768" t="s">
        <v>15</v>
      </c>
      <c r="K4768">
        <v>1.4</v>
      </c>
      <c r="L4768">
        <v>0</v>
      </c>
    </row>
    <row r="4769" spans="1:12" x14ac:dyDescent="0.3">
      <c r="A4769" t="s">
        <v>4785</v>
      </c>
      <c r="B4769" t="s">
        <v>21</v>
      </c>
      <c r="C4769">
        <v>4998</v>
      </c>
      <c r="D4769">
        <v>14.99</v>
      </c>
      <c r="E4769">
        <v>2.7</v>
      </c>
      <c r="F4769">
        <f>COUNTIFS(mdr_rate_cleaned!$A$2:$A$10,B4769,mdr_rate_cleaned!$B$2:$B$10,"&lt;"&amp;C4769,mdr_rate_cleaned!$F$2:$F$10,"&gt;="&amp;C4769)</f>
        <v>1</v>
      </c>
      <c r="G4769">
        <v>3.0000000000000001E-3</v>
      </c>
      <c r="H4769">
        <v>14.99</v>
      </c>
      <c r="I4769" t="s">
        <v>15</v>
      </c>
      <c r="J4769" t="s">
        <v>15</v>
      </c>
      <c r="K4769">
        <v>2.7</v>
      </c>
      <c r="L4769">
        <v>0</v>
      </c>
    </row>
    <row r="4770" spans="1:12" x14ac:dyDescent="0.3">
      <c r="A4770" t="s">
        <v>4786</v>
      </c>
      <c r="B4770" t="s">
        <v>17</v>
      </c>
      <c r="C4770">
        <v>999</v>
      </c>
      <c r="D4770">
        <v>17.98</v>
      </c>
      <c r="E4770">
        <v>3.24</v>
      </c>
      <c r="F4770">
        <f>COUNTIFS(mdr_rate_cleaned!$A$2:$A$10,B4770,mdr_rate_cleaned!$B$2:$B$10,"&lt;"&amp;C4770,mdr_rate_cleaned!$F$2:$F$10,"&gt;="&amp;C4770)</f>
        <v>1</v>
      </c>
      <c r="G4770">
        <v>1.7999999999999999E-2</v>
      </c>
      <c r="H4770">
        <v>17.98</v>
      </c>
      <c r="I4770" t="s">
        <v>15</v>
      </c>
      <c r="J4770" t="s">
        <v>15</v>
      </c>
      <c r="K4770">
        <v>3.24</v>
      </c>
      <c r="L4770">
        <v>0</v>
      </c>
    </row>
    <row r="4771" spans="1:12" x14ac:dyDescent="0.3">
      <c r="A4771" t="s">
        <v>4787</v>
      </c>
      <c r="B4771" t="s">
        <v>21</v>
      </c>
      <c r="C4771">
        <v>3848</v>
      </c>
      <c r="D4771">
        <v>11.54</v>
      </c>
      <c r="E4771">
        <v>2.08</v>
      </c>
      <c r="F4771">
        <f>COUNTIFS(mdr_rate_cleaned!$A$2:$A$10,B4771,mdr_rate_cleaned!$B$2:$B$10,"&lt;"&amp;C4771,mdr_rate_cleaned!$F$2:$F$10,"&gt;="&amp;C4771)</f>
        <v>1</v>
      </c>
      <c r="G4771">
        <v>3.0000000000000001E-3</v>
      </c>
      <c r="H4771">
        <v>11.54</v>
      </c>
      <c r="I4771" t="s">
        <v>15</v>
      </c>
      <c r="J4771" t="s">
        <v>15</v>
      </c>
      <c r="K4771">
        <v>2.08</v>
      </c>
      <c r="L4771">
        <v>0</v>
      </c>
    </row>
    <row r="4772" spans="1:12" x14ac:dyDescent="0.3">
      <c r="A4772" t="s">
        <v>4788</v>
      </c>
      <c r="B4772" t="s">
        <v>17</v>
      </c>
      <c r="C4772">
        <v>1499</v>
      </c>
      <c r="D4772">
        <v>26.98</v>
      </c>
      <c r="E4772">
        <v>4.8600000000000003</v>
      </c>
      <c r="F4772">
        <f>COUNTIFS(mdr_rate_cleaned!$A$2:$A$10,B4772,mdr_rate_cleaned!$B$2:$B$10,"&lt;"&amp;C4772,mdr_rate_cleaned!$F$2:$F$10,"&gt;="&amp;C4772)</f>
        <v>1</v>
      </c>
      <c r="G4772">
        <v>1.7999999999999999E-2</v>
      </c>
      <c r="H4772">
        <v>26.98</v>
      </c>
      <c r="I4772" t="s">
        <v>15</v>
      </c>
      <c r="J4772" t="s">
        <v>15</v>
      </c>
      <c r="K4772">
        <v>4.8600000000000003</v>
      </c>
      <c r="L4772">
        <v>0</v>
      </c>
    </row>
    <row r="4773" spans="1:12" x14ac:dyDescent="0.3">
      <c r="A4773" t="s">
        <v>4789</v>
      </c>
      <c r="B4773" t="s">
        <v>21</v>
      </c>
      <c r="C4773">
        <v>14797</v>
      </c>
      <c r="D4773">
        <v>44.39</v>
      </c>
      <c r="E4773">
        <v>7.99</v>
      </c>
      <c r="F4773">
        <f>COUNTIFS(mdr_rate_cleaned!$A$2:$A$10,B4773,mdr_rate_cleaned!$B$2:$B$10,"&lt;"&amp;C4773,mdr_rate_cleaned!$F$2:$F$10,"&gt;="&amp;C4773)</f>
        <v>1</v>
      </c>
      <c r="G4773">
        <v>3.0000000000000001E-3</v>
      </c>
      <c r="H4773">
        <v>44.39</v>
      </c>
      <c r="I4773" t="s">
        <v>15</v>
      </c>
      <c r="J4773" t="s">
        <v>15</v>
      </c>
      <c r="K4773">
        <v>7.99</v>
      </c>
      <c r="L4773">
        <v>0</v>
      </c>
    </row>
    <row r="4774" spans="1:12" x14ac:dyDescent="0.3">
      <c r="A4774" t="s">
        <v>4790</v>
      </c>
      <c r="B4774" t="s">
        <v>17</v>
      </c>
      <c r="C4774">
        <v>1298</v>
      </c>
      <c r="D4774">
        <v>23.36</v>
      </c>
      <c r="E4774">
        <v>4.2</v>
      </c>
      <c r="F4774">
        <f>COUNTIFS(mdr_rate_cleaned!$A$2:$A$10,B4774,mdr_rate_cleaned!$B$2:$B$10,"&lt;"&amp;C4774,mdr_rate_cleaned!$F$2:$F$10,"&gt;="&amp;C4774)</f>
        <v>1</v>
      </c>
      <c r="G4774">
        <v>1.7999999999999999E-2</v>
      </c>
      <c r="H4774">
        <v>23.36</v>
      </c>
      <c r="I4774" t="s">
        <v>15</v>
      </c>
      <c r="J4774" t="s">
        <v>15</v>
      </c>
      <c r="K4774">
        <v>4.2</v>
      </c>
      <c r="L4774">
        <v>0</v>
      </c>
    </row>
    <row r="4775" spans="1:12" x14ac:dyDescent="0.3">
      <c r="A4775" t="s">
        <v>4791</v>
      </c>
      <c r="B4775" t="s">
        <v>21</v>
      </c>
      <c r="C4775">
        <v>12998</v>
      </c>
      <c r="D4775">
        <v>38.99</v>
      </c>
      <c r="E4775">
        <v>7.02</v>
      </c>
      <c r="F4775">
        <f>COUNTIFS(mdr_rate_cleaned!$A$2:$A$10,B4775,mdr_rate_cleaned!$B$2:$B$10,"&lt;"&amp;C4775,mdr_rate_cleaned!$F$2:$F$10,"&gt;="&amp;C4775)</f>
        <v>1</v>
      </c>
      <c r="G4775">
        <v>3.0000000000000001E-3</v>
      </c>
      <c r="H4775">
        <v>38.99</v>
      </c>
      <c r="I4775" t="s">
        <v>15</v>
      </c>
      <c r="J4775" t="s">
        <v>15</v>
      </c>
      <c r="K4775">
        <v>7.02</v>
      </c>
      <c r="L4775">
        <v>0</v>
      </c>
    </row>
    <row r="4776" spans="1:12" x14ac:dyDescent="0.3">
      <c r="A4776" t="s">
        <v>4792</v>
      </c>
      <c r="B4776" t="s">
        <v>17</v>
      </c>
      <c r="C4776">
        <v>349</v>
      </c>
      <c r="D4776">
        <v>6.28</v>
      </c>
      <c r="E4776">
        <v>1.1299999999999999</v>
      </c>
      <c r="F4776">
        <f>COUNTIFS(mdr_rate_cleaned!$A$2:$A$10,B4776,mdr_rate_cleaned!$B$2:$B$10,"&lt;"&amp;C4776,mdr_rate_cleaned!$F$2:$F$10,"&gt;="&amp;C4776)</f>
        <v>1</v>
      </c>
      <c r="G4776">
        <v>1.7999999999999999E-2</v>
      </c>
      <c r="H4776">
        <v>6.28</v>
      </c>
      <c r="I4776" t="s">
        <v>15</v>
      </c>
      <c r="J4776" t="s">
        <v>15</v>
      </c>
      <c r="K4776">
        <v>1.1299999999999999</v>
      </c>
      <c r="L4776">
        <v>0</v>
      </c>
    </row>
    <row r="4777" spans="1:12" x14ac:dyDescent="0.3">
      <c r="A4777" t="s">
        <v>4793</v>
      </c>
      <c r="B4777" t="s">
        <v>17</v>
      </c>
      <c r="C4777">
        <v>1499</v>
      </c>
      <c r="D4777">
        <v>26.98</v>
      </c>
      <c r="E4777">
        <v>4.8600000000000003</v>
      </c>
      <c r="F4777">
        <f>COUNTIFS(mdr_rate_cleaned!$A$2:$A$10,B4777,mdr_rate_cleaned!$B$2:$B$10,"&lt;"&amp;C4777,mdr_rate_cleaned!$F$2:$F$10,"&gt;="&amp;C4777)</f>
        <v>1</v>
      </c>
      <c r="G4777">
        <v>1.7999999999999999E-2</v>
      </c>
      <c r="H4777">
        <v>26.98</v>
      </c>
      <c r="I4777" t="s">
        <v>15</v>
      </c>
      <c r="J4777" t="s">
        <v>15</v>
      </c>
      <c r="K4777">
        <v>4.8600000000000003</v>
      </c>
      <c r="L4777">
        <v>0</v>
      </c>
    </row>
    <row r="4778" spans="1:12" x14ac:dyDescent="0.3">
      <c r="A4778" t="s">
        <v>4794</v>
      </c>
      <c r="B4778" t="s">
        <v>17</v>
      </c>
      <c r="C4778">
        <v>7297</v>
      </c>
      <c r="D4778">
        <v>116.75</v>
      </c>
      <c r="E4778">
        <v>21.02</v>
      </c>
      <c r="F4778">
        <f>COUNTIFS(mdr_rate_cleaned!$A$2:$A$10,B4778,mdr_rate_cleaned!$B$2:$B$10,"&lt;"&amp;C4778,mdr_rate_cleaned!$F$2:$F$10,"&gt;="&amp;C4778)</f>
        <v>1</v>
      </c>
      <c r="G4778">
        <v>1.6E-2</v>
      </c>
      <c r="H4778">
        <v>116.75</v>
      </c>
      <c r="I4778" t="s">
        <v>15</v>
      </c>
      <c r="J4778" t="s">
        <v>15</v>
      </c>
      <c r="K4778">
        <v>21.02</v>
      </c>
      <c r="L4778">
        <v>0</v>
      </c>
    </row>
    <row r="4779" spans="1:12" x14ac:dyDescent="0.3">
      <c r="A4779" t="s">
        <v>4795</v>
      </c>
      <c r="B4779" t="s">
        <v>13</v>
      </c>
      <c r="C4779">
        <v>9797</v>
      </c>
      <c r="D4779">
        <v>166.55</v>
      </c>
      <c r="E4779">
        <v>29.98</v>
      </c>
      <c r="F4779">
        <f>COUNTIFS(mdr_rate_cleaned!$A$2:$A$10,B4779,mdr_rate_cleaned!$B$2:$B$10,"&lt;"&amp;C4779,mdr_rate_cleaned!$F$2:$F$10,"&gt;="&amp;C4779)</f>
        <v>1</v>
      </c>
      <c r="G4779">
        <v>1.7000000000000001E-2</v>
      </c>
      <c r="H4779">
        <v>166.55</v>
      </c>
      <c r="I4779" t="s">
        <v>15</v>
      </c>
      <c r="J4779" t="s">
        <v>15</v>
      </c>
      <c r="K4779">
        <v>29.98</v>
      </c>
      <c r="L4779">
        <v>0</v>
      </c>
    </row>
    <row r="4780" spans="1:12" x14ac:dyDescent="0.3">
      <c r="A4780" t="s">
        <v>4796</v>
      </c>
      <c r="B4780" t="s">
        <v>21</v>
      </c>
      <c r="C4780">
        <v>12998</v>
      </c>
      <c r="D4780">
        <v>38.99</v>
      </c>
      <c r="E4780">
        <v>7.02</v>
      </c>
      <c r="F4780">
        <f>COUNTIFS(mdr_rate_cleaned!$A$2:$A$10,B4780,mdr_rate_cleaned!$B$2:$B$10,"&lt;"&amp;C4780,mdr_rate_cleaned!$F$2:$F$10,"&gt;="&amp;C4780)</f>
        <v>1</v>
      </c>
      <c r="G4780">
        <v>3.0000000000000001E-3</v>
      </c>
      <c r="H4780">
        <v>38.99</v>
      </c>
      <c r="I4780" t="s">
        <v>15</v>
      </c>
      <c r="J4780" t="s">
        <v>15</v>
      </c>
      <c r="K4780">
        <v>7.02</v>
      </c>
      <c r="L4780">
        <v>0</v>
      </c>
    </row>
    <row r="4781" spans="1:12" x14ac:dyDescent="0.3">
      <c r="A4781" t="s">
        <v>4797</v>
      </c>
      <c r="B4781" t="s">
        <v>17</v>
      </c>
      <c r="C4781">
        <v>9298</v>
      </c>
      <c r="D4781">
        <v>148.77000000000001</v>
      </c>
      <c r="E4781">
        <v>26.78</v>
      </c>
      <c r="F4781">
        <f>COUNTIFS(mdr_rate_cleaned!$A$2:$A$10,B4781,mdr_rate_cleaned!$B$2:$B$10,"&lt;"&amp;C4781,mdr_rate_cleaned!$F$2:$F$10,"&gt;="&amp;C4781)</f>
        <v>1</v>
      </c>
      <c r="G4781">
        <v>1.6E-2</v>
      </c>
      <c r="H4781">
        <v>148.77000000000001</v>
      </c>
      <c r="I4781" t="s">
        <v>15</v>
      </c>
      <c r="J4781" t="s">
        <v>15</v>
      </c>
      <c r="K4781">
        <v>26.78</v>
      </c>
      <c r="L4781">
        <v>0</v>
      </c>
    </row>
    <row r="4782" spans="1:12" x14ac:dyDescent="0.3">
      <c r="A4782" t="s">
        <v>4798</v>
      </c>
      <c r="B4782" t="s">
        <v>21</v>
      </c>
      <c r="C4782">
        <v>1498</v>
      </c>
      <c r="D4782">
        <v>0</v>
      </c>
      <c r="E4782">
        <v>0</v>
      </c>
      <c r="F4782">
        <f>COUNTIFS(mdr_rate_cleaned!$A$2:$A$10,B4782,mdr_rate_cleaned!$B$2:$B$10,"&lt;"&amp;C4782,mdr_rate_cleaned!$F$2:$F$10,"&gt;="&amp;C4782)</f>
        <v>1</v>
      </c>
      <c r="G4782">
        <v>0</v>
      </c>
      <c r="H4782">
        <v>0</v>
      </c>
      <c r="I4782" t="s">
        <v>15</v>
      </c>
      <c r="J4782" t="s">
        <v>15</v>
      </c>
      <c r="K4782">
        <v>0</v>
      </c>
      <c r="L4782">
        <v>0</v>
      </c>
    </row>
    <row r="4783" spans="1:12" x14ac:dyDescent="0.3">
      <c r="A4783" t="s">
        <v>4799</v>
      </c>
      <c r="B4783" t="s">
        <v>13</v>
      </c>
      <c r="C4783">
        <v>499</v>
      </c>
      <c r="D4783">
        <v>9.48</v>
      </c>
      <c r="E4783">
        <v>1.71</v>
      </c>
      <c r="F4783">
        <f>COUNTIFS(mdr_rate_cleaned!$A$2:$A$10,B4783,mdr_rate_cleaned!$B$2:$B$10,"&lt;"&amp;C4783,mdr_rate_cleaned!$F$2:$F$10,"&gt;="&amp;C4783)</f>
        <v>1</v>
      </c>
      <c r="G4783">
        <v>1.9E-2</v>
      </c>
      <c r="H4783">
        <v>9.48</v>
      </c>
      <c r="I4783" t="s">
        <v>15</v>
      </c>
      <c r="J4783" t="s">
        <v>15</v>
      </c>
      <c r="K4783">
        <v>1.71</v>
      </c>
      <c r="L4783">
        <v>0</v>
      </c>
    </row>
    <row r="4784" spans="1:12" x14ac:dyDescent="0.3">
      <c r="A4784" t="s">
        <v>4800</v>
      </c>
      <c r="B4784" t="s">
        <v>17</v>
      </c>
      <c r="C4784">
        <v>4298</v>
      </c>
      <c r="D4784">
        <v>68.77</v>
      </c>
      <c r="E4784">
        <v>12.38</v>
      </c>
      <c r="F4784">
        <f>COUNTIFS(mdr_rate_cleaned!$A$2:$A$10,B4784,mdr_rate_cleaned!$B$2:$B$10,"&lt;"&amp;C4784,mdr_rate_cleaned!$F$2:$F$10,"&gt;="&amp;C4784)</f>
        <v>1</v>
      </c>
      <c r="G4784">
        <v>1.6E-2</v>
      </c>
      <c r="H4784">
        <v>68.77</v>
      </c>
      <c r="I4784" t="s">
        <v>15</v>
      </c>
      <c r="J4784" t="s">
        <v>15</v>
      </c>
      <c r="K4784">
        <v>12.38</v>
      </c>
      <c r="L4784">
        <v>0</v>
      </c>
    </row>
    <row r="4785" spans="1:12" x14ac:dyDescent="0.3">
      <c r="A4785" t="s">
        <v>4801</v>
      </c>
      <c r="B4785" t="s">
        <v>17</v>
      </c>
      <c r="C4785">
        <v>1799</v>
      </c>
      <c r="D4785">
        <v>32.380000000000003</v>
      </c>
      <c r="E4785">
        <v>5.83</v>
      </c>
      <c r="F4785">
        <f>COUNTIFS(mdr_rate_cleaned!$A$2:$A$10,B4785,mdr_rate_cleaned!$B$2:$B$10,"&lt;"&amp;C4785,mdr_rate_cleaned!$F$2:$F$10,"&gt;="&amp;C4785)</f>
        <v>1</v>
      </c>
      <c r="G4785">
        <v>1.7999999999999999E-2</v>
      </c>
      <c r="H4785">
        <v>32.380000000000003</v>
      </c>
      <c r="I4785" t="s">
        <v>15</v>
      </c>
      <c r="J4785" t="s">
        <v>15</v>
      </c>
      <c r="K4785">
        <v>5.83</v>
      </c>
      <c r="L4785">
        <v>0</v>
      </c>
    </row>
    <row r="4786" spans="1:12" x14ac:dyDescent="0.3">
      <c r="A4786" t="s">
        <v>4802</v>
      </c>
      <c r="B4786" t="s">
        <v>13</v>
      </c>
      <c r="C4786">
        <v>5597</v>
      </c>
      <c r="D4786">
        <v>95.15</v>
      </c>
      <c r="E4786">
        <v>17.13</v>
      </c>
      <c r="F4786">
        <f>COUNTIFS(mdr_rate_cleaned!$A$2:$A$10,B4786,mdr_rate_cleaned!$B$2:$B$10,"&lt;"&amp;C4786,mdr_rate_cleaned!$F$2:$F$10,"&gt;="&amp;C4786)</f>
        <v>1</v>
      </c>
      <c r="G4786">
        <v>1.7000000000000001E-2</v>
      </c>
      <c r="H4786">
        <v>95.15</v>
      </c>
      <c r="I4786" t="s">
        <v>15</v>
      </c>
      <c r="J4786" t="s">
        <v>15</v>
      </c>
      <c r="K4786">
        <v>17.13</v>
      </c>
      <c r="L4786">
        <v>0</v>
      </c>
    </row>
    <row r="4787" spans="1:12" x14ac:dyDescent="0.3">
      <c r="A4787" t="s">
        <v>4803</v>
      </c>
      <c r="B4787" t="s">
        <v>13</v>
      </c>
      <c r="C4787">
        <v>2798</v>
      </c>
      <c r="D4787">
        <v>47.57</v>
      </c>
      <c r="E4787">
        <v>8.56</v>
      </c>
      <c r="F4787">
        <f>COUNTIFS(mdr_rate_cleaned!$A$2:$A$10,B4787,mdr_rate_cleaned!$B$2:$B$10,"&lt;"&amp;C4787,mdr_rate_cleaned!$F$2:$F$10,"&gt;="&amp;C4787)</f>
        <v>1</v>
      </c>
      <c r="G4787">
        <v>1.7000000000000001E-2</v>
      </c>
      <c r="H4787">
        <v>47.57</v>
      </c>
      <c r="I4787" t="s">
        <v>15</v>
      </c>
      <c r="J4787" t="s">
        <v>15</v>
      </c>
      <c r="K4787">
        <v>8.56</v>
      </c>
      <c r="L4787">
        <v>0</v>
      </c>
    </row>
    <row r="4788" spans="1:12" x14ac:dyDescent="0.3">
      <c r="A4788" t="s">
        <v>4804</v>
      </c>
      <c r="B4788" t="s">
        <v>17</v>
      </c>
      <c r="C4788">
        <v>5598</v>
      </c>
      <c r="D4788">
        <v>89.57</v>
      </c>
      <c r="E4788">
        <v>16.12</v>
      </c>
      <c r="F4788">
        <f>COUNTIFS(mdr_rate_cleaned!$A$2:$A$10,B4788,mdr_rate_cleaned!$B$2:$B$10,"&lt;"&amp;C4788,mdr_rate_cleaned!$F$2:$F$10,"&gt;="&amp;C4788)</f>
        <v>1</v>
      </c>
      <c r="G4788">
        <v>1.6E-2</v>
      </c>
      <c r="H4788">
        <v>89.57</v>
      </c>
      <c r="I4788" t="s">
        <v>15</v>
      </c>
      <c r="J4788" t="s">
        <v>15</v>
      </c>
      <c r="K4788">
        <v>16.12</v>
      </c>
      <c r="L4788">
        <v>0</v>
      </c>
    </row>
    <row r="4789" spans="1:12" x14ac:dyDescent="0.3">
      <c r="A4789" t="s">
        <v>4805</v>
      </c>
      <c r="B4789" t="s">
        <v>17</v>
      </c>
      <c r="C4789">
        <v>5397</v>
      </c>
      <c r="D4789">
        <v>86.35</v>
      </c>
      <c r="E4789">
        <v>15.54</v>
      </c>
      <c r="F4789">
        <f>COUNTIFS(mdr_rate_cleaned!$A$2:$A$10,B4789,mdr_rate_cleaned!$B$2:$B$10,"&lt;"&amp;C4789,mdr_rate_cleaned!$F$2:$F$10,"&gt;="&amp;C4789)</f>
        <v>1</v>
      </c>
      <c r="G4789">
        <v>1.6E-2</v>
      </c>
      <c r="H4789">
        <v>86.35</v>
      </c>
      <c r="I4789" t="s">
        <v>15</v>
      </c>
      <c r="J4789" t="s">
        <v>15</v>
      </c>
      <c r="K4789">
        <v>15.54</v>
      </c>
      <c r="L4789">
        <v>0</v>
      </c>
    </row>
    <row r="4790" spans="1:12" x14ac:dyDescent="0.3">
      <c r="A4790" t="s">
        <v>4806</v>
      </c>
      <c r="B4790" t="s">
        <v>21</v>
      </c>
      <c r="C4790">
        <v>799</v>
      </c>
      <c r="D4790">
        <v>0</v>
      </c>
      <c r="E4790">
        <v>0</v>
      </c>
      <c r="F4790">
        <f>COUNTIFS(mdr_rate_cleaned!$A$2:$A$10,B4790,mdr_rate_cleaned!$B$2:$B$10,"&lt;"&amp;C4790,mdr_rate_cleaned!$F$2:$F$10,"&gt;="&amp;C4790)</f>
        <v>1</v>
      </c>
      <c r="G4790">
        <v>0</v>
      </c>
      <c r="H4790">
        <v>0</v>
      </c>
      <c r="I4790" t="s">
        <v>15</v>
      </c>
      <c r="J4790" t="s">
        <v>15</v>
      </c>
      <c r="K4790">
        <v>0</v>
      </c>
      <c r="L4790">
        <v>0</v>
      </c>
    </row>
    <row r="4791" spans="1:12" x14ac:dyDescent="0.3">
      <c r="A4791" t="s">
        <v>4807</v>
      </c>
      <c r="B4791" t="s">
        <v>17</v>
      </c>
      <c r="C4791">
        <v>5998</v>
      </c>
      <c r="D4791">
        <v>95.97</v>
      </c>
      <c r="E4791">
        <v>17.27</v>
      </c>
      <c r="F4791">
        <f>COUNTIFS(mdr_rate_cleaned!$A$2:$A$10,B4791,mdr_rate_cleaned!$B$2:$B$10,"&lt;"&amp;C4791,mdr_rate_cleaned!$F$2:$F$10,"&gt;="&amp;C4791)</f>
        <v>1</v>
      </c>
      <c r="G4791">
        <v>1.6E-2</v>
      </c>
      <c r="H4791">
        <v>95.97</v>
      </c>
      <c r="I4791" t="s">
        <v>15</v>
      </c>
      <c r="J4791" t="s">
        <v>15</v>
      </c>
      <c r="K4791">
        <v>17.27</v>
      </c>
      <c r="L4791">
        <v>0</v>
      </c>
    </row>
    <row r="4792" spans="1:12" x14ac:dyDescent="0.3">
      <c r="A4792" t="s">
        <v>4808</v>
      </c>
      <c r="B4792" t="s">
        <v>17</v>
      </c>
      <c r="C4792">
        <v>3298</v>
      </c>
      <c r="D4792">
        <v>52.77</v>
      </c>
      <c r="E4792">
        <v>9.5</v>
      </c>
      <c r="F4792">
        <f>COUNTIFS(mdr_rate_cleaned!$A$2:$A$10,B4792,mdr_rate_cleaned!$B$2:$B$10,"&lt;"&amp;C4792,mdr_rate_cleaned!$F$2:$F$10,"&gt;="&amp;C4792)</f>
        <v>1</v>
      </c>
      <c r="G4792">
        <v>1.6E-2</v>
      </c>
      <c r="H4792">
        <v>52.77</v>
      </c>
      <c r="I4792" t="s">
        <v>15</v>
      </c>
      <c r="J4792" t="s">
        <v>15</v>
      </c>
      <c r="K4792">
        <v>9.5</v>
      </c>
      <c r="L4792">
        <v>0</v>
      </c>
    </row>
    <row r="4793" spans="1:12" x14ac:dyDescent="0.3">
      <c r="A4793" t="s">
        <v>4809</v>
      </c>
      <c r="B4793" t="s">
        <v>21</v>
      </c>
      <c r="C4793">
        <v>5348</v>
      </c>
      <c r="D4793">
        <v>16.04</v>
      </c>
      <c r="E4793">
        <v>2.89</v>
      </c>
      <c r="F4793">
        <f>COUNTIFS(mdr_rate_cleaned!$A$2:$A$10,B4793,mdr_rate_cleaned!$B$2:$B$10,"&lt;"&amp;C4793,mdr_rate_cleaned!$F$2:$F$10,"&gt;="&amp;C4793)</f>
        <v>1</v>
      </c>
      <c r="G4793">
        <v>3.0000000000000001E-3</v>
      </c>
      <c r="H4793">
        <v>16.04</v>
      </c>
      <c r="I4793" t="s">
        <v>15</v>
      </c>
      <c r="J4793" t="s">
        <v>15</v>
      </c>
      <c r="K4793">
        <v>2.89</v>
      </c>
      <c r="L4793">
        <v>0</v>
      </c>
    </row>
    <row r="4794" spans="1:12" x14ac:dyDescent="0.3">
      <c r="A4794" t="s">
        <v>4810</v>
      </c>
      <c r="B4794" t="s">
        <v>21</v>
      </c>
      <c r="C4794">
        <v>8498</v>
      </c>
      <c r="D4794">
        <v>25.49</v>
      </c>
      <c r="E4794">
        <v>4.59</v>
      </c>
      <c r="F4794">
        <f>COUNTIFS(mdr_rate_cleaned!$A$2:$A$10,B4794,mdr_rate_cleaned!$B$2:$B$10,"&lt;"&amp;C4794,mdr_rate_cleaned!$F$2:$F$10,"&gt;="&amp;C4794)</f>
        <v>1</v>
      </c>
      <c r="G4794">
        <v>3.0000000000000001E-3</v>
      </c>
      <c r="H4794">
        <v>25.49</v>
      </c>
      <c r="I4794" t="s">
        <v>15</v>
      </c>
      <c r="J4794" t="s">
        <v>15</v>
      </c>
      <c r="K4794">
        <v>4.59</v>
      </c>
      <c r="L4794">
        <v>0</v>
      </c>
    </row>
    <row r="4795" spans="1:12" x14ac:dyDescent="0.3">
      <c r="A4795" t="s">
        <v>4811</v>
      </c>
      <c r="B4795" t="s">
        <v>17</v>
      </c>
      <c r="C4795">
        <v>599</v>
      </c>
      <c r="D4795">
        <v>10.78</v>
      </c>
      <c r="E4795">
        <v>1.94</v>
      </c>
      <c r="F4795">
        <f>COUNTIFS(mdr_rate_cleaned!$A$2:$A$10,B4795,mdr_rate_cleaned!$B$2:$B$10,"&lt;"&amp;C4795,mdr_rate_cleaned!$F$2:$F$10,"&gt;="&amp;C4795)</f>
        <v>1</v>
      </c>
      <c r="G4795">
        <v>1.7999999999999999E-2</v>
      </c>
      <c r="H4795">
        <v>10.78</v>
      </c>
      <c r="I4795" t="s">
        <v>15</v>
      </c>
      <c r="J4795" t="s">
        <v>15</v>
      </c>
      <c r="K4795">
        <v>1.94</v>
      </c>
      <c r="L4795">
        <v>0</v>
      </c>
    </row>
    <row r="4796" spans="1:12" x14ac:dyDescent="0.3">
      <c r="A4796" t="s">
        <v>4812</v>
      </c>
      <c r="B4796" t="s">
        <v>21</v>
      </c>
      <c r="C4796">
        <v>4197</v>
      </c>
      <c r="D4796">
        <v>12.59</v>
      </c>
      <c r="E4796">
        <v>2.27</v>
      </c>
      <c r="F4796">
        <f>COUNTIFS(mdr_rate_cleaned!$A$2:$A$10,B4796,mdr_rate_cleaned!$B$2:$B$10,"&lt;"&amp;C4796,mdr_rate_cleaned!$F$2:$F$10,"&gt;="&amp;C4796)</f>
        <v>1</v>
      </c>
      <c r="G4796">
        <v>3.0000000000000001E-3</v>
      </c>
      <c r="H4796">
        <v>12.59</v>
      </c>
      <c r="I4796" t="s">
        <v>15</v>
      </c>
      <c r="J4796" t="s">
        <v>15</v>
      </c>
      <c r="K4796">
        <v>2.27</v>
      </c>
      <c r="L4796">
        <v>0</v>
      </c>
    </row>
    <row r="4797" spans="1:12" x14ac:dyDescent="0.3">
      <c r="A4797" t="s">
        <v>4813</v>
      </c>
      <c r="B4797" t="s">
        <v>21</v>
      </c>
      <c r="C4797">
        <v>5298</v>
      </c>
      <c r="D4797">
        <v>15.89</v>
      </c>
      <c r="E4797">
        <v>2.86</v>
      </c>
      <c r="F4797">
        <f>COUNTIFS(mdr_rate_cleaned!$A$2:$A$10,B4797,mdr_rate_cleaned!$B$2:$B$10,"&lt;"&amp;C4797,mdr_rate_cleaned!$F$2:$F$10,"&gt;="&amp;C4797)</f>
        <v>1</v>
      </c>
      <c r="G4797">
        <v>3.0000000000000001E-3</v>
      </c>
      <c r="H4797">
        <v>15.89</v>
      </c>
      <c r="I4797" t="s">
        <v>15</v>
      </c>
      <c r="J4797" t="s">
        <v>15</v>
      </c>
      <c r="K4797">
        <v>2.86</v>
      </c>
      <c r="L4797">
        <v>0</v>
      </c>
    </row>
    <row r="4798" spans="1:12" x14ac:dyDescent="0.3">
      <c r="A4798" t="s">
        <v>4814</v>
      </c>
      <c r="B4798" t="s">
        <v>13</v>
      </c>
      <c r="C4798">
        <v>1499</v>
      </c>
      <c r="D4798">
        <v>28.48</v>
      </c>
      <c r="E4798">
        <v>5.13</v>
      </c>
      <c r="F4798">
        <f>COUNTIFS(mdr_rate_cleaned!$A$2:$A$10,B4798,mdr_rate_cleaned!$B$2:$B$10,"&lt;"&amp;C4798,mdr_rate_cleaned!$F$2:$F$10,"&gt;="&amp;C4798)</f>
        <v>1</v>
      </c>
      <c r="G4798">
        <v>1.9E-2</v>
      </c>
      <c r="H4798">
        <v>28.48</v>
      </c>
      <c r="I4798" t="s">
        <v>15</v>
      </c>
      <c r="J4798" t="s">
        <v>15</v>
      </c>
      <c r="K4798">
        <v>5.13</v>
      </c>
      <c r="L4798">
        <v>0</v>
      </c>
    </row>
    <row r="4799" spans="1:12" x14ac:dyDescent="0.3">
      <c r="A4799" t="s">
        <v>4815</v>
      </c>
      <c r="B4799" t="s">
        <v>21</v>
      </c>
      <c r="C4799">
        <v>4797</v>
      </c>
      <c r="D4799">
        <v>14.39</v>
      </c>
      <c r="E4799">
        <v>2.59</v>
      </c>
      <c r="F4799">
        <f>COUNTIFS(mdr_rate_cleaned!$A$2:$A$10,B4799,mdr_rate_cleaned!$B$2:$B$10,"&lt;"&amp;C4799,mdr_rate_cleaned!$F$2:$F$10,"&gt;="&amp;C4799)</f>
        <v>1</v>
      </c>
      <c r="G4799">
        <v>3.0000000000000001E-3</v>
      </c>
      <c r="H4799">
        <v>14.39</v>
      </c>
      <c r="I4799" t="s">
        <v>15</v>
      </c>
      <c r="J4799" t="s">
        <v>15</v>
      </c>
      <c r="K4799">
        <v>2.59</v>
      </c>
      <c r="L4799">
        <v>0</v>
      </c>
    </row>
    <row r="4800" spans="1:12" x14ac:dyDescent="0.3">
      <c r="A4800" t="s">
        <v>4816</v>
      </c>
      <c r="B4800" t="s">
        <v>17</v>
      </c>
      <c r="C4800">
        <v>6998</v>
      </c>
      <c r="D4800">
        <v>111.97</v>
      </c>
      <c r="E4800">
        <v>20.149999999999999</v>
      </c>
      <c r="F4800">
        <f>COUNTIFS(mdr_rate_cleaned!$A$2:$A$10,B4800,mdr_rate_cleaned!$B$2:$B$10,"&lt;"&amp;C4800,mdr_rate_cleaned!$F$2:$F$10,"&gt;="&amp;C4800)</f>
        <v>1</v>
      </c>
      <c r="G4800">
        <v>1.6E-2</v>
      </c>
      <c r="H4800">
        <v>111.97</v>
      </c>
      <c r="I4800" t="s">
        <v>15</v>
      </c>
      <c r="J4800" t="s">
        <v>15</v>
      </c>
      <c r="K4800">
        <v>20.149999999999999</v>
      </c>
      <c r="L4800">
        <v>0</v>
      </c>
    </row>
    <row r="4801" spans="1:12" x14ac:dyDescent="0.3">
      <c r="A4801" t="s">
        <v>4817</v>
      </c>
      <c r="B4801" t="s">
        <v>39</v>
      </c>
      <c r="C4801">
        <v>1499</v>
      </c>
      <c r="D4801">
        <v>22.49</v>
      </c>
      <c r="E4801">
        <v>4.05</v>
      </c>
      <c r="F4801">
        <f>COUNTIFS(mdr_rate_cleaned!$A$2:$A$10,B4801,mdr_rate_cleaned!$B$2:$B$10,"&lt;"&amp;C4801,mdr_rate_cleaned!$F$2:$F$10,"&gt;="&amp;C4801)</f>
        <v>1</v>
      </c>
      <c r="G4801">
        <v>1.4999999999999999E-2</v>
      </c>
      <c r="H4801">
        <v>22.49</v>
      </c>
      <c r="I4801" t="s">
        <v>15</v>
      </c>
      <c r="J4801" t="s">
        <v>15</v>
      </c>
      <c r="K4801">
        <v>4.05</v>
      </c>
      <c r="L4801">
        <v>0</v>
      </c>
    </row>
    <row r="4802" spans="1:12" x14ac:dyDescent="0.3">
      <c r="A4802" t="s">
        <v>4818</v>
      </c>
      <c r="B4802" t="s">
        <v>13</v>
      </c>
      <c r="C4802">
        <v>1798</v>
      </c>
      <c r="D4802">
        <v>34.159999999999997</v>
      </c>
      <c r="E4802">
        <v>6.15</v>
      </c>
      <c r="F4802">
        <f>COUNTIFS(mdr_rate_cleaned!$A$2:$A$10,B4802,mdr_rate_cleaned!$B$2:$B$10,"&lt;"&amp;C4802,mdr_rate_cleaned!$F$2:$F$10,"&gt;="&amp;C4802)</f>
        <v>1</v>
      </c>
      <c r="G4802">
        <v>1.9E-2</v>
      </c>
      <c r="H4802">
        <v>34.159999999999997</v>
      </c>
      <c r="I4802" t="s">
        <v>15</v>
      </c>
      <c r="J4802" t="s">
        <v>15</v>
      </c>
      <c r="K4802">
        <v>6.15</v>
      </c>
      <c r="L4802">
        <v>0</v>
      </c>
    </row>
    <row r="4803" spans="1:12" x14ac:dyDescent="0.3">
      <c r="A4803" t="s">
        <v>4819</v>
      </c>
      <c r="B4803" t="s">
        <v>13</v>
      </c>
      <c r="C4803">
        <v>1298</v>
      </c>
      <c r="D4803">
        <v>24.66</v>
      </c>
      <c r="E4803">
        <v>4.4400000000000004</v>
      </c>
      <c r="F4803">
        <f>COUNTIFS(mdr_rate_cleaned!$A$2:$A$10,B4803,mdr_rate_cleaned!$B$2:$B$10,"&lt;"&amp;C4803,mdr_rate_cleaned!$F$2:$F$10,"&gt;="&amp;C4803)</f>
        <v>1</v>
      </c>
      <c r="G4803">
        <v>1.9E-2</v>
      </c>
      <c r="H4803">
        <v>24.66</v>
      </c>
      <c r="I4803" t="s">
        <v>15</v>
      </c>
      <c r="J4803" t="s">
        <v>15</v>
      </c>
      <c r="K4803">
        <v>4.4400000000000004</v>
      </c>
      <c r="L4803">
        <v>0</v>
      </c>
    </row>
    <row r="4804" spans="1:12" x14ac:dyDescent="0.3">
      <c r="A4804" t="s">
        <v>4820</v>
      </c>
      <c r="B4804" t="s">
        <v>21</v>
      </c>
      <c r="C4804">
        <v>2098</v>
      </c>
      <c r="D4804">
        <v>6.29</v>
      </c>
      <c r="E4804">
        <v>1.1299999999999999</v>
      </c>
      <c r="F4804">
        <f>COUNTIFS(mdr_rate_cleaned!$A$2:$A$10,B4804,mdr_rate_cleaned!$B$2:$B$10,"&lt;"&amp;C4804,mdr_rate_cleaned!$F$2:$F$10,"&gt;="&amp;C4804)</f>
        <v>1</v>
      </c>
      <c r="G4804">
        <v>3.0000000000000001E-3</v>
      </c>
      <c r="H4804">
        <v>6.29</v>
      </c>
      <c r="I4804" t="s">
        <v>15</v>
      </c>
      <c r="J4804" t="s">
        <v>15</v>
      </c>
      <c r="K4804">
        <v>1.1299999999999999</v>
      </c>
      <c r="L4804">
        <v>0</v>
      </c>
    </row>
    <row r="4805" spans="1:12" x14ac:dyDescent="0.3">
      <c r="A4805" t="s">
        <v>4821</v>
      </c>
      <c r="B4805" t="s">
        <v>21</v>
      </c>
      <c r="C4805">
        <v>349</v>
      </c>
      <c r="D4805">
        <v>0</v>
      </c>
      <c r="E4805">
        <v>0</v>
      </c>
      <c r="F4805">
        <f>COUNTIFS(mdr_rate_cleaned!$A$2:$A$10,B4805,mdr_rate_cleaned!$B$2:$B$10,"&lt;"&amp;C4805,mdr_rate_cleaned!$F$2:$F$10,"&gt;="&amp;C4805)</f>
        <v>1</v>
      </c>
      <c r="G4805">
        <v>0</v>
      </c>
      <c r="H4805">
        <v>0</v>
      </c>
      <c r="I4805" t="s">
        <v>15</v>
      </c>
      <c r="J4805" t="s">
        <v>15</v>
      </c>
      <c r="K4805">
        <v>0</v>
      </c>
      <c r="L4805">
        <v>0</v>
      </c>
    </row>
    <row r="4806" spans="1:12" x14ac:dyDescent="0.3">
      <c r="A4806" t="s">
        <v>4822</v>
      </c>
      <c r="B4806" t="s">
        <v>21</v>
      </c>
      <c r="C4806">
        <v>2897</v>
      </c>
      <c r="D4806">
        <v>8.69</v>
      </c>
      <c r="E4806">
        <v>1.56</v>
      </c>
      <c r="F4806">
        <f>COUNTIFS(mdr_rate_cleaned!$A$2:$A$10,B4806,mdr_rate_cleaned!$B$2:$B$10,"&lt;"&amp;C4806,mdr_rate_cleaned!$F$2:$F$10,"&gt;="&amp;C4806)</f>
        <v>1</v>
      </c>
      <c r="G4806">
        <v>3.0000000000000001E-3</v>
      </c>
      <c r="H4806">
        <v>8.69</v>
      </c>
      <c r="I4806" t="s">
        <v>15</v>
      </c>
      <c r="J4806" t="s">
        <v>15</v>
      </c>
      <c r="K4806">
        <v>1.56</v>
      </c>
      <c r="L4806">
        <v>0</v>
      </c>
    </row>
    <row r="4807" spans="1:12" x14ac:dyDescent="0.3">
      <c r="A4807" t="s">
        <v>4823</v>
      </c>
      <c r="B4807" t="s">
        <v>13</v>
      </c>
      <c r="C4807">
        <v>349</v>
      </c>
      <c r="D4807">
        <v>6.63</v>
      </c>
      <c r="E4807">
        <v>1.19</v>
      </c>
      <c r="F4807">
        <f>COUNTIFS(mdr_rate_cleaned!$A$2:$A$10,B4807,mdr_rate_cleaned!$B$2:$B$10,"&lt;"&amp;C4807,mdr_rate_cleaned!$F$2:$F$10,"&gt;="&amp;C4807)</f>
        <v>1</v>
      </c>
      <c r="G4807">
        <v>1.9E-2</v>
      </c>
      <c r="H4807">
        <v>6.63</v>
      </c>
      <c r="I4807" t="s">
        <v>15</v>
      </c>
      <c r="J4807" t="s">
        <v>15</v>
      </c>
      <c r="K4807">
        <v>1.19</v>
      </c>
      <c r="L4807">
        <v>0</v>
      </c>
    </row>
    <row r="4808" spans="1:12" x14ac:dyDescent="0.3">
      <c r="A4808" t="s">
        <v>4824</v>
      </c>
      <c r="B4808" t="s">
        <v>21</v>
      </c>
      <c r="C4808">
        <v>6597</v>
      </c>
      <c r="D4808">
        <v>19.79</v>
      </c>
      <c r="E4808">
        <v>3.56</v>
      </c>
      <c r="F4808">
        <f>COUNTIFS(mdr_rate_cleaned!$A$2:$A$10,B4808,mdr_rate_cleaned!$B$2:$B$10,"&lt;"&amp;C4808,mdr_rate_cleaned!$F$2:$F$10,"&gt;="&amp;C4808)</f>
        <v>1</v>
      </c>
      <c r="G4808">
        <v>3.0000000000000001E-3</v>
      </c>
      <c r="H4808">
        <v>19.79</v>
      </c>
      <c r="I4808" t="s">
        <v>15</v>
      </c>
      <c r="J4808" t="s">
        <v>15</v>
      </c>
      <c r="K4808">
        <v>3.56</v>
      </c>
      <c r="L4808">
        <v>0</v>
      </c>
    </row>
    <row r="4809" spans="1:12" x14ac:dyDescent="0.3">
      <c r="A4809" t="s">
        <v>4825</v>
      </c>
      <c r="B4809" t="s">
        <v>21</v>
      </c>
      <c r="C4809">
        <v>7999</v>
      </c>
      <c r="D4809">
        <v>24</v>
      </c>
      <c r="E4809">
        <v>4.32</v>
      </c>
      <c r="F4809">
        <f>COUNTIFS(mdr_rate_cleaned!$A$2:$A$10,B4809,mdr_rate_cleaned!$B$2:$B$10,"&lt;"&amp;C4809,mdr_rate_cleaned!$F$2:$F$10,"&gt;="&amp;C4809)</f>
        <v>1</v>
      </c>
      <c r="G4809">
        <v>3.0000000000000001E-3</v>
      </c>
      <c r="H4809">
        <v>24</v>
      </c>
      <c r="I4809" t="s">
        <v>15</v>
      </c>
      <c r="J4809" t="s">
        <v>15</v>
      </c>
      <c r="K4809">
        <v>4.32</v>
      </c>
      <c r="L4809">
        <v>0</v>
      </c>
    </row>
    <row r="4810" spans="1:12" x14ac:dyDescent="0.3">
      <c r="A4810" t="s">
        <v>4826</v>
      </c>
      <c r="B4810" t="s">
        <v>17</v>
      </c>
      <c r="C4810">
        <v>999</v>
      </c>
      <c r="D4810">
        <v>17.98</v>
      </c>
      <c r="E4810">
        <v>3.24</v>
      </c>
      <c r="F4810">
        <f>COUNTIFS(mdr_rate_cleaned!$A$2:$A$10,B4810,mdr_rate_cleaned!$B$2:$B$10,"&lt;"&amp;C4810,mdr_rate_cleaned!$F$2:$F$10,"&gt;="&amp;C4810)</f>
        <v>1</v>
      </c>
      <c r="G4810">
        <v>1.7999999999999999E-2</v>
      </c>
      <c r="H4810">
        <v>17.98</v>
      </c>
      <c r="I4810" t="s">
        <v>15</v>
      </c>
      <c r="J4810" t="s">
        <v>15</v>
      </c>
      <c r="K4810">
        <v>3.24</v>
      </c>
      <c r="L4810">
        <v>0</v>
      </c>
    </row>
    <row r="4811" spans="1:12" x14ac:dyDescent="0.3">
      <c r="A4811" t="s">
        <v>4827</v>
      </c>
      <c r="B4811" t="s">
        <v>21</v>
      </c>
      <c r="C4811">
        <v>7999</v>
      </c>
      <c r="D4811">
        <v>24</v>
      </c>
      <c r="E4811">
        <v>4.32</v>
      </c>
      <c r="F4811">
        <f>COUNTIFS(mdr_rate_cleaned!$A$2:$A$10,B4811,mdr_rate_cleaned!$B$2:$B$10,"&lt;"&amp;C4811,mdr_rate_cleaned!$F$2:$F$10,"&gt;="&amp;C4811)</f>
        <v>1</v>
      </c>
      <c r="G4811">
        <v>3.0000000000000001E-3</v>
      </c>
      <c r="H4811">
        <v>24</v>
      </c>
      <c r="I4811" t="s">
        <v>15</v>
      </c>
      <c r="J4811" t="s">
        <v>15</v>
      </c>
      <c r="K4811">
        <v>4.32</v>
      </c>
      <c r="L4811">
        <v>0</v>
      </c>
    </row>
    <row r="4812" spans="1:12" x14ac:dyDescent="0.3">
      <c r="A4812" t="s">
        <v>4828</v>
      </c>
      <c r="B4812" t="s">
        <v>39</v>
      </c>
      <c r="C4812">
        <v>1598</v>
      </c>
      <c r="D4812">
        <v>23.97</v>
      </c>
      <c r="E4812">
        <v>4.3099999999999996</v>
      </c>
      <c r="F4812">
        <f>COUNTIFS(mdr_rate_cleaned!$A$2:$A$10,B4812,mdr_rate_cleaned!$B$2:$B$10,"&lt;"&amp;C4812,mdr_rate_cleaned!$F$2:$F$10,"&gt;="&amp;C4812)</f>
        <v>1</v>
      </c>
      <c r="G4812">
        <v>1.4999999999999999E-2</v>
      </c>
      <c r="H4812">
        <v>23.97</v>
      </c>
      <c r="I4812" t="s">
        <v>15</v>
      </c>
      <c r="J4812" t="s">
        <v>15</v>
      </c>
      <c r="K4812">
        <v>4.3099999999999996</v>
      </c>
      <c r="L4812">
        <v>0</v>
      </c>
    </row>
    <row r="4813" spans="1:12" x14ac:dyDescent="0.3">
      <c r="A4813" t="s">
        <v>4829</v>
      </c>
      <c r="B4813" t="s">
        <v>13</v>
      </c>
      <c r="C4813">
        <v>1598</v>
      </c>
      <c r="D4813">
        <v>30.36</v>
      </c>
      <c r="E4813">
        <v>5.46</v>
      </c>
      <c r="F4813">
        <f>COUNTIFS(mdr_rate_cleaned!$A$2:$A$10,B4813,mdr_rate_cleaned!$B$2:$B$10,"&lt;"&amp;C4813,mdr_rate_cleaned!$F$2:$F$10,"&gt;="&amp;C4813)</f>
        <v>1</v>
      </c>
      <c r="G4813">
        <v>1.9E-2</v>
      </c>
      <c r="H4813">
        <v>30.36</v>
      </c>
      <c r="I4813" t="s">
        <v>15</v>
      </c>
      <c r="J4813" t="s">
        <v>15</v>
      </c>
      <c r="K4813">
        <v>5.46</v>
      </c>
      <c r="L4813">
        <v>0</v>
      </c>
    </row>
    <row r="4814" spans="1:12" x14ac:dyDescent="0.3">
      <c r="A4814" t="s">
        <v>4830</v>
      </c>
      <c r="B4814" t="s">
        <v>39</v>
      </c>
      <c r="C4814">
        <v>999</v>
      </c>
      <c r="D4814">
        <v>14.99</v>
      </c>
      <c r="E4814">
        <v>2.7</v>
      </c>
      <c r="F4814">
        <f>COUNTIFS(mdr_rate_cleaned!$A$2:$A$10,B4814,mdr_rate_cleaned!$B$2:$B$10,"&lt;"&amp;C4814,mdr_rate_cleaned!$F$2:$F$10,"&gt;="&amp;C4814)</f>
        <v>1</v>
      </c>
      <c r="G4814">
        <v>1.4999999999999999E-2</v>
      </c>
      <c r="H4814">
        <v>14.99</v>
      </c>
      <c r="I4814" t="s">
        <v>15</v>
      </c>
      <c r="J4814" t="s">
        <v>15</v>
      </c>
      <c r="K4814">
        <v>2.7</v>
      </c>
      <c r="L4814">
        <v>0</v>
      </c>
    </row>
    <row r="4815" spans="1:12" x14ac:dyDescent="0.3">
      <c r="A4815" t="s">
        <v>4831</v>
      </c>
      <c r="B4815" t="s">
        <v>21</v>
      </c>
      <c r="C4815">
        <v>9998</v>
      </c>
      <c r="D4815">
        <v>29.99</v>
      </c>
      <c r="E4815">
        <v>5.4</v>
      </c>
      <c r="F4815">
        <f>COUNTIFS(mdr_rate_cleaned!$A$2:$A$10,B4815,mdr_rate_cleaned!$B$2:$B$10,"&lt;"&amp;C4815,mdr_rate_cleaned!$F$2:$F$10,"&gt;="&amp;C4815)</f>
        <v>1</v>
      </c>
      <c r="G4815">
        <v>3.0000000000000001E-3</v>
      </c>
      <c r="H4815">
        <v>29.99</v>
      </c>
      <c r="I4815" t="s">
        <v>15</v>
      </c>
      <c r="J4815" t="s">
        <v>15</v>
      </c>
      <c r="K4815">
        <v>5.4</v>
      </c>
      <c r="L4815">
        <v>0</v>
      </c>
    </row>
    <row r="4816" spans="1:12" x14ac:dyDescent="0.3">
      <c r="A4816" t="s">
        <v>4832</v>
      </c>
      <c r="B4816" t="s">
        <v>21</v>
      </c>
      <c r="C4816">
        <v>1098</v>
      </c>
      <c r="D4816">
        <v>0</v>
      </c>
      <c r="E4816">
        <v>0</v>
      </c>
      <c r="F4816">
        <f>COUNTIFS(mdr_rate_cleaned!$A$2:$A$10,B4816,mdr_rate_cleaned!$B$2:$B$10,"&lt;"&amp;C4816,mdr_rate_cleaned!$F$2:$F$10,"&gt;="&amp;C4816)</f>
        <v>1</v>
      </c>
      <c r="G4816">
        <v>0</v>
      </c>
      <c r="H4816">
        <v>0</v>
      </c>
      <c r="I4816" t="s">
        <v>15</v>
      </c>
      <c r="J4816" t="s">
        <v>15</v>
      </c>
      <c r="K4816">
        <v>0</v>
      </c>
      <c r="L4816">
        <v>0</v>
      </c>
    </row>
    <row r="4817" spans="1:12" x14ac:dyDescent="0.3">
      <c r="A4817" t="s">
        <v>4833</v>
      </c>
      <c r="B4817" t="s">
        <v>21</v>
      </c>
      <c r="C4817">
        <v>2848</v>
      </c>
      <c r="D4817">
        <v>8.5399999999999991</v>
      </c>
      <c r="E4817">
        <v>1.54</v>
      </c>
      <c r="F4817">
        <f>COUNTIFS(mdr_rate_cleaned!$A$2:$A$10,B4817,mdr_rate_cleaned!$B$2:$B$10,"&lt;"&amp;C4817,mdr_rate_cleaned!$F$2:$F$10,"&gt;="&amp;C4817)</f>
        <v>1</v>
      </c>
      <c r="G4817">
        <v>3.0000000000000001E-3</v>
      </c>
      <c r="H4817">
        <v>8.5399999999999991</v>
      </c>
      <c r="I4817" t="s">
        <v>15</v>
      </c>
      <c r="J4817" t="s">
        <v>15</v>
      </c>
      <c r="K4817">
        <v>1.54</v>
      </c>
      <c r="L4817">
        <v>0</v>
      </c>
    </row>
    <row r="4818" spans="1:12" x14ac:dyDescent="0.3">
      <c r="A4818" t="s">
        <v>4834</v>
      </c>
      <c r="B4818" t="s">
        <v>21</v>
      </c>
      <c r="C4818">
        <v>1799</v>
      </c>
      <c r="D4818">
        <v>0</v>
      </c>
      <c r="E4818">
        <v>0</v>
      </c>
      <c r="F4818">
        <f>COUNTIFS(mdr_rate_cleaned!$A$2:$A$10,B4818,mdr_rate_cleaned!$B$2:$B$10,"&lt;"&amp;C4818,mdr_rate_cleaned!$F$2:$F$10,"&gt;="&amp;C4818)</f>
        <v>1</v>
      </c>
      <c r="G4818">
        <v>0</v>
      </c>
      <c r="H4818">
        <v>0</v>
      </c>
      <c r="I4818" t="s">
        <v>15</v>
      </c>
      <c r="J4818" t="s">
        <v>15</v>
      </c>
      <c r="K4818">
        <v>0</v>
      </c>
      <c r="L4818">
        <v>0</v>
      </c>
    </row>
    <row r="4819" spans="1:12" x14ac:dyDescent="0.3">
      <c r="A4819" t="s">
        <v>4835</v>
      </c>
      <c r="B4819" t="s">
        <v>21</v>
      </c>
      <c r="C4819">
        <v>1799</v>
      </c>
      <c r="D4819">
        <v>0</v>
      </c>
      <c r="E4819">
        <v>0</v>
      </c>
      <c r="F4819">
        <f>COUNTIFS(mdr_rate_cleaned!$A$2:$A$10,B4819,mdr_rate_cleaned!$B$2:$B$10,"&lt;"&amp;C4819,mdr_rate_cleaned!$F$2:$F$10,"&gt;="&amp;C4819)</f>
        <v>1</v>
      </c>
      <c r="G4819">
        <v>0</v>
      </c>
      <c r="H4819">
        <v>0</v>
      </c>
      <c r="I4819" t="s">
        <v>15</v>
      </c>
      <c r="J4819" t="s">
        <v>15</v>
      </c>
      <c r="K4819">
        <v>0</v>
      </c>
      <c r="L4819">
        <v>0</v>
      </c>
    </row>
    <row r="4820" spans="1:12" x14ac:dyDescent="0.3">
      <c r="A4820" t="s">
        <v>4836</v>
      </c>
      <c r="B4820" t="s">
        <v>17</v>
      </c>
      <c r="C4820">
        <v>2098</v>
      </c>
      <c r="D4820">
        <v>33.57</v>
      </c>
      <c r="E4820">
        <v>6.04</v>
      </c>
      <c r="F4820">
        <f>COUNTIFS(mdr_rate_cleaned!$A$2:$A$10,B4820,mdr_rate_cleaned!$B$2:$B$10,"&lt;"&amp;C4820,mdr_rate_cleaned!$F$2:$F$10,"&gt;="&amp;C4820)</f>
        <v>1</v>
      </c>
      <c r="G4820">
        <v>1.6E-2</v>
      </c>
      <c r="H4820">
        <v>33.57</v>
      </c>
      <c r="I4820" t="s">
        <v>15</v>
      </c>
      <c r="J4820" t="s">
        <v>15</v>
      </c>
      <c r="K4820">
        <v>6.04</v>
      </c>
      <c r="L4820">
        <v>0</v>
      </c>
    </row>
    <row r="4821" spans="1:12" x14ac:dyDescent="0.3">
      <c r="A4821" t="s">
        <v>4837</v>
      </c>
      <c r="B4821" t="s">
        <v>17</v>
      </c>
      <c r="C4821">
        <v>3298</v>
      </c>
      <c r="D4821">
        <v>52.77</v>
      </c>
      <c r="E4821">
        <v>9.5</v>
      </c>
      <c r="F4821">
        <f>COUNTIFS(mdr_rate_cleaned!$A$2:$A$10,B4821,mdr_rate_cleaned!$B$2:$B$10,"&lt;"&amp;C4821,mdr_rate_cleaned!$F$2:$F$10,"&gt;="&amp;C4821)</f>
        <v>1</v>
      </c>
      <c r="G4821">
        <v>1.6E-2</v>
      </c>
      <c r="H4821">
        <v>52.77</v>
      </c>
      <c r="I4821" t="s">
        <v>15</v>
      </c>
      <c r="J4821" t="s">
        <v>15</v>
      </c>
      <c r="K4821">
        <v>9.5</v>
      </c>
      <c r="L4821">
        <v>0</v>
      </c>
    </row>
    <row r="4822" spans="1:12" x14ac:dyDescent="0.3">
      <c r="A4822" t="s">
        <v>4838</v>
      </c>
      <c r="B4822" t="s">
        <v>17</v>
      </c>
      <c r="C4822">
        <v>1799</v>
      </c>
      <c r="D4822">
        <v>32.380000000000003</v>
      </c>
      <c r="E4822">
        <v>5.83</v>
      </c>
      <c r="F4822">
        <f>COUNTIFS(mdr_rate_cleaned!$A$2:$A$10,B4822,mdr_rate_cleaned!$B$2:$B$10,"&lt;"&amp;C4822,mdr_rate_cleaned!$F$2:$F$10,"&gt;="&amp;C4822)</f>
        <v>1</v>
      </c>
      <c r="G4822">
        <v>1.7999999999999999E-2</v>
      </c>
      <c r="H4822">
        <v>32.380000000000003</v>
      </c>
      <c r="I4822" t="s">
        <v>15</v>
      </c>
      <c r="J4822" t="s">
        <v>15</v>
      </c>
      <c r="K4822">
        <v>5.83</v>
      </c>
      <c r="L4822">
        <v>0</v>
      </c>
    </row>
    <row r="4823" spans="1:12" x14ac:dyDescent="0.3">
      <c r="A4823" t="s">
        <v>4839</v>
      </c>
      <c r="B4823" t="s">
        <v>21</v>
      </c>
      <c r="C4823">
        <v>3798</v>
      </c>
      <c r="D4823">
        <v>11.39</v>
      </c>
      <c r="E4823">
        <v>2.0499999999999998</v>
      </c>
      <c r="F4823">
        <f>COUNTIFS(mdr_rate_cleaned!$A$2:$A$10,B4823,mdr_rate_cleaned!$B$2:$B$10,"&lt;"&amp;C4823,mdr_rate_cleaned!$F$2:$F$10,"&gt;="&amp;C4823)</f>
        <v>1</v>
      </c>
      <c r="G4823">
        <v>3.0000000000000001E-3</v>
      </c>
      <c r="H4823">
        <v>11.39</v>
      </c>
      <c r="I4823" t="s">
        <v>15</v>
      </c>
      <c r="J4823" t="s">
        <v>15</v>
      </c>
      <c r="K4823">
        <v>2.0499999999999998</v>
      </c>
      <c r="L4823">
        <v>0</v>
      </c>
    </row>
    <row r="4824" spans="1:12" x14ac:dyDescent="0.3">
      <c r="A4824" t="s">
        <v>4840</v>
      </c>
      <c r="B4824" t="s">
        <v>21</v>
      </c>
      <c r="C4824">
        <v>1499</v>
      </c>
      <c r="D4824">
        <v>0</v>
      </c>
      <c r="E4824">
        <v>0</v>
      </c>
      <c r="F4824">
        <f>COUNTIFS(mdr_rate_cleaned!$A$2:$A$10,B4824,mdr_rate_cleaned!$B$2:$B$10,"&lt;"&amp;C4824,mdr_rate_cleaned!$F$2:$F$10,"&gt;="&amp;C4824)</f>
        <v>1</v>
      </c>
      <c r="G4824">
        <v>0</v>
      </c>
      <c r="H4824">
        <v>0</v>
      </c>
      <c r="I4824" t="s">
        <v>15</v>
      </c>
      <c r="J4824" t="s">
        <v>15</v>
      </c>
      <c r="K4824">
        <v>0</v>
      </c>
      <c r="L4824">
        <v>0</v>
      </c>
    </row>
    <row r="4825" spans="1:12" x14ac:dyDescent="0.3">
      <c r="A4825" t="s">
        <v>4841</v>
      </c>
      <c r="B4825" t="s">
        <v>21</v>
      </c>
      <c r="C4825">
        <v>3998</v>
      </c>
      <c r="D4825">
        <v>11.99</v>
      </c>
      <c r="E4825">
        <v>2.16</v>
      </c>
      <c r="F4825">
        <f>COUNTIFS(mdr_rate_cleaned!$A$2:$A$10,B4825,mdr_rate_cleaned!$B$2:$B$10,"&lt;"&amp;C4825,mdr_rate_cleaned!$F$2:$F$10,"&gt;="&amp;C4825)</f>
        <v>1</v>
      </c>
      <c r="G4825">
        <v>3.0000000000000001E-3</v>
      </c>
      <c r="H4825">
        <v>11.99</v>
      </c>
      <c r="I4825" t="s">
        <v>15</v>
      </c>
      <c r="J4825" t="s">
        <v>15</v>
      </c>
      <c r="K4825">
        <v>2.16</v>
      </c>
      <c r="L4825">
        <v>0</v>
      </c>
    </row>
    <row r="4826" spans="1:12" x14ac:dyDescent="0.3">
      <c r="A4826" t="s">
        <v>4842</v>
      </c>
      <c r="B4826" t="s">
        <v>21</v>
      </c>
      <c r="C4826">
        <v>1299</v>
      </c>
      <c r="D4826">
        <v>0</v>
      </c>
      <c r="E4826">
        <v>0</v>
      </c>
      <c r="F4826">
        <f>COUNTIFS(mdr_rate_cleaned!$A$2:$A$10,B4826,mdr_rate_cleaned!$B$2:$B$10,"&lt;"&amp;C4826,mdr_rate_cleaned!$F$2:$F$10,"&gt;="&amp;C4826)</f>
        <v>1</v>
      </c>
      <c r="G4826">
        <v>0</v>
      </c>
      <c r="H4826">
        <v>0</v>
      </c>
      <c r="I4826" t="s">
        <v>15</v>
      </c>
      <c r="J4826" t="s">
        <v>15</v>
      </c>
      <c r="K4826">
        <v>0</v>
      </c>
      <c r="L4826">
        <v>0</v>
      </c>
    </row>
    <row r="4827" spans="1:12" x14ac:dyDescent="0.3">
      <c r="A4827" t="s">
        <v>4843</v>
      </c>
      <c r="B4827" t="s">
        <v>17</v>
      </c>
      <c r="C4827">
        <v>4999</v>
      </c>
      <c r="D4827">
        <v>79.98</v>
      </c>
      <c r="E4827">
        <v>14.4</v>
      </c>
      <c r="F4827">
        <f>COUNTIFS(mdr_rate_cleaned!$A$2:$A$10,B4827,mdr_rate_cleaned!$B$2:$B$10,"&lt;"&amp;C4827,mdr_rate_cleaned!$F$2:$F$10,"&gt;="&amp;C4827)</f>
        <v>1</v>
      </c>
      <c r="G4827">
        <v>1.6E-2</v>
      </c>
      <c r="H4827">
        <v>79.98</v>
      </c>
      <c r="I4827" t="s">
        <v>15</v>
      </c>
      <c r="J4827" t="s">
        <v>15</v>
      </c>
      <c r="K4827">
        <v>14.4</v>
      </c>
      <c r="L4827">
        <v>0</v>
      </c>
    </row>
    <row r="4828" spans="1:12" x14ac:dyDescent="0.3">
      <c r="A4828" t="s">
        <v>4844</v>
      </c>
      <c r="B4828" t="s">
        <v>39</v>
      </c>
      <c r="C4828">
        <v>3499</v>
      </c>
      <c r="D4828">
        <v>41.99</v>
      </c>
      <c r="E4828">
        <v>7.56</v>
      </c>
      <c r="F4828">
        <f>COUNTIFS(mdr_rate_cleaned!$A$2:$A$10,B4828,mdr_rate_cleaned!$B$2:$B$10,"&lt;"&amp;C4828,mdr_rate_cleaned!$F$2:$F$10,"&gt;="&amp;C4828)</f>
        <v>1</v>
      </c>
      <c r="G4828">
        <v>1.2E-2</v>
      </c>
      <c r="H4828">
        <v>41.99</v>
      </c>
      <c r="I4828" t="s">
        <v>15</v>
      </c>
      <c r="J4828" t="s">
        <v>15</v>
      </c>
      <c r="K4828">
        <v>7.56</v>
      </c>
      <c r="L4828">
        <v>0</v>
      </c>
    </row>
    <row r="4829" spans="1:12" x14ac:dyDescent="0.3">
      <c r="A4829" t="s">
        <v>4845</v>
      </c>
      <c r="B4829" t="s">
        <v>17</v>
      </c>
      <c r="C4829">
        <v>1299</v>
      </c>
      <c r="D4829">
        <v>23.38</v>
      </c>
      <c r="E4829">
        <v>4.21</v>
      </c>
      <c r="F4829">
        <f>COUNTIFS(mdr_rate_cleaned!$A$2:$A$10,B4829,mdr_rate_cleaned!$B$2:$B$10,"&lt;"&amp;C4829,mdr_rate_cleaned!$F$2:$F$10,"&gt;="&amp;C4829)</f>
        <v>1</v>
      </c>
      <c r="G4829">
        <v>1.7999999999999999E-2</v>
      </c>
      <c r="H4829">
        <v>23.38</v>
      </c>
      <c r="I4829" t="s">
        <v>15</v>
      </c>
      <c r="J4829" t="s">
        <v>15</v>
      </c>
      <c r="K4829">
        <v>4.21</v>
      </c>
      <c r="L4829">
        <v>0</v>
      </c>
    </row>
    <row r="4830" spans="1:12" x14ac:dyDescent="0.3">
      <c r="A4830" t="s">
        <v>4846</v>
      </c>
      <c r="B4830" t="s">
        <v>21</v>
      </c>
      <c r="C4830">
        <v>499</v>
      </c>
      <c r="D4830">
        <v>0</v>
      </c>
      <c r="E4830">
        <v>0</v>
      </c>
      <c r="F4830">
        <f>COUNTIFS(mdr_rate_cleaned!$A$2:$A$10,B4830,mdr_rate_cleaned!$B$2:$B$10,"&lt;"&amp;C4830,mdr_rate_cleaned!$F$2:$F$10,"&gt;="&amp;C4830)</f>
        <v>1</v>
      </c>
      <c r="G4830">
        <v>0</v>
      </c>
      <c r="H4830">
        <v>0</v>
      </c>
      <c r="I4830" t="s">
        <v>15</v>
      </c>
      <c r="J4830" t="s">
        <v>15</v>
      </c>
      <c r="K4830">
        <v>0</v>
      </c>
      <c r="L4830">
        <v>0</v>
      </c>
    </row>
    <row r="4831" spans="1:12" x14ac:dyDescent="0.3">
      <c r="A4831" t="s">
        <v>4847</v>
      </c>
      <c r="B4831" t="s">
        <v>13</v>
      </c>
      <c r="C4831">
        <v>999</v>
      </c>
      <c r="D4831">
        <v>18.98</v>
      </c>
      <c r="E4831">
        <v>3.42</v>
      </c>
      <c r="F4831">
        <f>COUNTIFS(mdr_rate_cleaned!$A$2:$A$10,B4831,mdr_rate_cleaned!$B$2:$B$10,"&lt;"&amp;C4831,mdr_rate_cleaned!$F$2:$F$10,"&gt;="&amp;C4831)</f>
        <v>1</v>
      </c>
      <c r="G4831">
        <v>1.9E-2</v>
      </c>
      <c r="H4831">
        <v>18.98</v>
      </c>
      <c r="I4831" t="s">
        <v>15</v>
      </c>
      <c r="J4831" t="s">
        <v>15</v>
      </c>
      <c r="K4831">
        <v>3.42</v>
      </c>
      <c r="L4831">
        <v>0</v>
      </c>
    </row>
    <row r="4832" spans="1:12" x14ac:dyDescent="0.3">
      <c r="A4832" t="s">
        <v>4848</v>
      </c>
      <c r="B4832" t="s">
        <v>17</v>
      </c>
      <c r="C4832">
        <v>2598</v>
      </c>
      <c r="D4832">
        <v>41.57</v>
      </c>
      <c r="E4832">
        <v>7.48</v>
      </c>
      <c r="F4832">
        <f>COUNTIFS(mdr_rate_cleaned!$A$2:$A$10,B4832,mdr_rate_cleaned!$B$2:$B$10,"&lt;"&amp;C4832,mdr_rate_cleaned!$F$2:$F$10,"&gt;="&amp;C4832)</f>
        <v>1</v>
      </c>
      <c r="G4832">
        <v>1.6E-2</v>
      </c>
      <c r="H4832">
        <v>41.57</v>
      </c>
      <c r="I4832" t="s">
        <v>15</v>
      </c>
      <c r="J4832" t="s">
        <v>15</v>
      </c>
      <c r="K4832">
        <v>7.48</v>
      </c>
      <c r="L4832">
        <v>0</v>
      </c>
    </row>
    <row r="4833" spans="1:12" x14ac:dyDescent="0.3">
      <c r="A4833" t="s">
        <v>4849</v>
      </c>
      <c r="B4833" t="s">
        <v>39</v>
      </c>
      <c r="C4833">
        <v>6798</v>
      </c>
      <c r="D4833">
        <v>81.58</v>
      </c>
      <c r="E4833">
        <v>14.68</v>
      </c>
      <c r="F4833">
        <f>COUNTIFS(mdr_rate_cleaned!$A$2:$A$10,B4833,mdr_rate_cleaned!$B$2:$B$10,"&lt;"&amp;C4833,mdr_rate_cleaned!$F$2:$F$10,"&gt;="&amp;C4833)</f>
        <v>1</v>
      </c>
      <c r="G4833">
        <v>1.2E-2</v>
      </c>
      <c r="H4833">
        <v>81.58</v>
      </c>
      <c r="I4833" t="s">
        <v>15</v>
      </c>
      <c r="J4833" t="s">
        <v>15</v>
      </c>
      <c r="K4833">
        <v>14.68</v>
      </c>
      <c r="L4833">
        <v>0</v>
      </c>
    </row>
    <row r="4834" spans="1:12" x14ac:dyDescent="0.3">
      <c r="A4834" t="s">
        <v>4850</v>
      </c>
      <c r="B4834" t="s">
        <v>13</v>
      </c>
      <c r="C4834">
        <v>499</v>
      </c>
      <c r="D4834">
        <v>9.48</v>
      </c>
      <c r="E4834">
        <v>1.71</v>
      </c>
      <c r="F4834">
        <f>COUNTIFS(mdr_rate_cleaned!$A$2:$A$10,B4834,mdr_rate_cleaned!$B$2:$B$10,"&lt;"&amp;C4834,mdr_rate_cleaned!$F$2:$F$10,"&gt;="&amp;C4834)</f>
        <v>1</v>
      </c>
      <c r="G4834">
        <v>1.9E-2</v>
      </c>
      <c r="H4834">
        <v>9.48</v>
      </c>
      <c r="I4834" t="s">
        <v>15</v>
      </c>
      <c r="J4834" t="s">
        <v>15</v>
      </c>
      <c r="K4834">
        <v>1.71</v>
      </c>
      <c r="L4834">
        <v>0</v>
      </c>
    </row>
    <row r="4835" spans="1:12" x14ac:dyDescent="0.3">
      <c r="A4835" t="s">
        <v>4851</v>
      </c>
      <c r="B4835" t="s">
        <v>21</v>
      </c>
      <c r="C4835">
        <v>7997</v>
      </c>
      <c r="D4835">
        <v>23.99</v>
      </c>
      <c r="E4835">
        <v>4.32</v>
      </c>
      <c r="F4835">
        <f>COUNTIFS(mdr_rate_cleaned!$A$2:$A$10,B4835,mdr_rate_cleaned!$B$2:$B$10,"&lt;"&amp;C4835,mdr_rate_cleaned!$F$2:$F$10,"&gt;="&amp;C4835)</f>
        <v>1</v>
      </c>
      <c r="G4835">
        <v>3.0000000000000001E-3</v>
      </c>
      <c r="H4835">
        <v>23.99</v>
      </c>
      <c r="I4835" t="s">
        <v>15</v>
      </c>
      <c r="J4835" t="s">
        <v>15</v>
      </c>
      <c r="K4835">
        <v>4.32</v>
      </c>
      <c r="L4835">
        <v>0</v>
      </c>
    </row>
    <row r="4836" spans="1:12" x14ac:dyDescent="0.3">
      <c r="A4836" t="s">
        <v>4852</v>
      </c>
      <c r="B4836" t="s">
        <v>21</v>
      </c>
      <c r="C4836">
        <v>349</v>
      </c>
      <c r="D4836">
        <v>0</v>
      </c>
      <c r="E4836">
        <v>0</v>
      </c>
      <c r="F4836">
        <f>COUNTIFS(mdr_rate_cleaned!$A$2:$A$10,B4836,mdr_rate_cleaned!$B$2:$B$10,"&lt;"&amp;C4836,mdr_rate_cleaned!$F$2:$F$10,"&gt;="&amp;C4836)</f>
        <v>1</v>
      </c>
      <c r="G4836">
        <v>0</v>
      </c>
      <c r="H4836">
        <v>0</v>
      </c>
      <c r="I4836" t="s">
        <v>15</v>
      </c>
      <c r="J4836" t="s">
        <v>15</v>
      </c>
      <c r="K4836">
        <v>0</v>
      </c>
      <c r="L4836">
        <v>0</v>
      </c>
    </row>
    <row r="4837" spans="1:12" x14ac:dyDescent="0.3">
      <c r="A4837" t="s">
        <v>4853</v>
      </c>
      <c r="B4837" t="s">
        <v>21</v>
      </c>
      <c r="C4837">
        <v>999</v>
      </c>
      <c r="D4837">
        <v>0</v>
      </c>
      <c r="E4837">
        <v>0</v>
      </c>
      <c r="F4837">
        <f>COUNTIFS(mdr_rate_cleaned!$A$2:$A$10,B4837,mdr_rate_cleaned!$B$2:$B$10,"&lt;"&amp;C4837,mdr_rate_cleaned!$F$2:$F$10,"&gt;="&amp;C4837)</f>
        <v>1</v>
      </c>
      <c r="G4837">
        <v>0</v>
      </c>
      <c r="H4837">
        <v>0</v>
      </c>
      <c r="I4837" t="s">
        <v>15</v>
      </c>
      <c r="J4837" t="s">
        <v>15</v>
      </c>
      <c r="K4837">
        <v>0</v>
      </c>
      <c r="L4837">
        <v>0</v>
      </c>
    </row>
    <row r="4838" spans="1:12" x14ac:dyDescent="0.3">
      <c r="A4838" t="s">
        <v>4854</v>
      </c>
      <c r="B4838" t="s">
        <v>17</v>
      </c>
      <c r="C4838">
        <v>10297</v>
      </c>
      <c r="D4838">
        <v>164.75</v>
      </c>
      <c r="E4838">
        <v>29.66</v>
      </c>
      <c r="F4838">
        <f>COUNTIFS(mdr_rate_cleaned!$A$2:$A$10,B4838,mdr_rate_cleaned!$B$2:$B$10,"&lt;"&amp;C4838,mdr_rate_cleaned!$F$2:$F$10,"&gt;="&amp;C4838)</f>
        <v>1</v>
      </c>
      <c r="G4838">
        <v>1.6E-2</v>
      </c>
      <c r="H4838">
        <v>164.75</v>
      </c>
      <c r="I4838" t="s">
        <v>15</v>
      </c>
      <c r="J4838" t="s">
        <v>15</v>
      </c>
      <c r="K4838">
        <v>29.66</v>
      </c>
      <c r="L4838">
        <v>0</v>
      </c>
    </row>
    <row r="4839" spans="1:12" x14ac:dyDescent="0.3">
      <c r="A4839" t="s">
        <v>4855</v>
      </c>
      <c r="B4839" t="s">
        <v>13</v>
      </c>
      <c r="C4839">
        <v>3797</v>
      </c>
      <c r="D4839">
        <v>64.55</v>
      </c>
      <c r="E4839">
        <v>11.62</v>
      </c>
      <c r="F4839">
        <f>COUNTIFS(mdr_rate_cleaned!$A$2:$A$10,B4839,mdr_rate_cleaned!$B$2:$B$10,"&lt;"&amp;C4839,mdr_rate_cleaned!$F$2:$F$10,"&gt;="&amp;C4839)</f>
        <v>1</v>
      </c>
      <c r="G4839">
        <v>1.7000000000000001E-2</v>
      </c>
      <c r="H4839">
        <v>64.55</v>
      </c>
      <c r="I4839" t="s">
        <v>15</v>
      </c>
      <c r="J4839" t="s">
        <v>15</v>
      </c>
      <c r="K4839">
        <v>11.62</v>
      </c>
      <c r="L4839">
        <v>0</v>
      </c>
    </row>
    <row r="4840" spans="1:12" x14ac:dyDescent="0.3">
      <c r="A4840" t="s">
        <v>4856</v>
      </c>
      <c r="B4840" t="s">
        <v>13</v>
      </c>
      <c r="C4840">
        <v>798</v>
      </c>
      <c r="D4840">
        <v>15.16</v>
      </c>
      <c r="E4840">
        <v>2.73</v>
      </c>
      <c r="F4840">
        <f>COUNTIFS(mdr_rate_cleaned!$A$2:$A$10,B4840,mdr_rate_cleaned!$B$2:$B$10,"&lt;"&amp;C4840,mdr_rate_cleaned!$F$2:$F$10,"&gt;="&amp;C4840)</f>
        <v>1</v>
      </c>
      <c r="G4840">
        <v>1.9E-2</v>
      </c>
      <c r="H4840">
        <v>15.16</v>
      </c>
      <c r="I4840" t="s">
        <v>15</v>
      </c>
      <c r="J4840" t="s">
        <v>15</v>
      </c>
      <c r="K4840">
        <v>2.73</v>
      </c>
      <c r="L4840">
        <v>0</v>
      </c>
    </row>
    <row r="4841" spans="1:12" x14ac:dyDescent="0.3">
      <c r="A4841" t="s">
        <v>4857</v>
      </c>
      <c r="B4841" t="s">
        <v>21</v>
      </c>
      <c r="C4841">
        <v>1298</v>
      </c>
      <c r="D4841">
        <v>0</v>
      </c>
      <c r="E4841">
        <v>0</v>
      </c>
      <c r="F4841">
        <f>COUNTIFS(mdr_rate_cleaned!$A$2:$A$10,B4841,mdr_rate_cleaned!$B$2:$B$10,"&lt;"&amp;C4841,mdr_rate_cleaned!$F$2:$F$10,"&gt;="&amp;C4841)</f>
        <v>1</v>
      </c>
      <c r="G4841">
        <v>0</v>
      </c>
      <c r="H4841">
        <v>0</v>
      </c>
      <c r="I4841" t="s">
        <v>15</v>
      </c>
      <c r="J4841" t="s">
        <v>15</v>
      </c>
      <c r="K4841">
        <v>0</v>
      </c>
      <c r="L4841">
        <v>0</v>
      </c>
    </row>
    <row r="4842" spans="1:12" x14ac:dyDescent="0.3">
      <c r="A4842" t="s">
        <v>4858</v>
      </c>
      <c r="B4842" t="s">
        <v>21</v>
      </c>
      <c r="C4842">
        <v>499</v>
      </c>
      <c r="D4842">
        <v>0</v>
      </c>
      <c r="E4842">
        <v>0</v>
      </c>
      <c r="F4842">
        <f>COUNTIFS(mdr_rate_cleaned!$A$2:$A$10,B4842,mdr_rate_cleaned!$B$2:$B$10,"&lt;"&amp;C4842,mdr_rate_cleaned!$F$2:$F$10,"&gt;="&amp;C4842)</f>
        <v>1</v>
      </c>
      <c r="G4842">
        <v>0</v>
      </c>
      <c r="H4842">
        <v>0</v>
      </c>
      <c r="I4842" t="s">
        <v>15</v>
      </c>
      <c r="J4842" t="s">
        <v>15</v>
      </c>
      <c r="K4842">
        <v>0</v>
      </c>
      <c r="L4842">
        <v>0</v>
      </c>
    </row>
    <row r="4843" spans="1:12" x14ac:dyDescent="0.3">
      <c r="A4843" t="s">
        <v>4859</v>
      </c>
      <c r="B4843" t="s">
        <v>21</v>
      </c>
      <c r="C4843">
        <v>4997</v>
      </c>
      <c r="D4843">
        <v>14.99</v>
      </c>
      <c r="E4843">
        <v>2.7</v>
      </c>
      <c r="F4843">
        <f>COUNTIFS(mdr_rate_cleaned!$A$2:$A$10,B4843,mdr_rate_cleaned!$B$2:$B$10,"&lt;"&amp;C4843,mdr_rate_cleaned!$F$2:$F$10,"&gt;="&amp;C4843)</f>
        <v>1</v>
      </c>
      <c r="G4843">
        <v>3.0000000000000001E-3</v>
      </c>
      <c r="H4843">
        <v>14.99</v>
      </c>
      <c r="I4843" t="s">
        <v>15</v>
      </c>
      <c r="J4843" t="s">
        <v>15</v>
      </c>
      <c r="K4843">
        <v>2.7</v>
      </c>
      <c r="L4843">
        <v>0</v>
      </c>
    </row>
    <row r="4844" spans="1:12" x14ac:dyDescent="0.3">
      <c r="A4844" t="s">
        <v>4860</v>
      </c>
      <c r="B4844" t="s">
        <v>21</v>
      </c>
      <c r="C4844">
        <v>798</v>
      </c>
      <c r="D4844">
        <v>0</v>
      </c>
      <c r="E4844">
        <v>0</v>
      </c>
      <c r="F4844">
        <f>COUNTIFS(mdr_rate_cleaned!$A$2:$A$10,B4844,mdr_rate_cleaned!$B$2:$B$10,"&lt;"&amp;C4844,mdr_rate_cleaned!$F$2:$F$10,"&gt;="&amp;C4844)</f>
        <v>1</v>
      </c>
      <c r="G4844">
        <v>0</v>
      </c>
      <c r="H4844">
        <v>0</v>
      </c>
      <c r="I4844" t="s">
        <v>15</v>
      </c>
      <c r="J4844" t="s">
        <v>15</v>
      </c>
      <c r="K4844">
        <v>0</v>
      </c>
      <c r="L4844">
        <v>0</v>
      </c>
    </row>
    <row r="4845" spans="1:12" x14ac:dyDescent="0.3">
      <c r="A4845" t="s">
        <v>4861</v>
      </c>
      <c r="B4845" t="s">
        <v>13</v>
      </c>
      <c r="C4845">
        <v>4999</v>
      </c>
      <c r="D4845">
        <v>84.98</v>
      </c>
      <c r="E4845">
        <v>15.3</v>
      </c>
      <c r="F4845">
        <f>COUNTIFS(mdr_rate_cleaned!$A$2:$A$10,B4845,mdr_rate_cleaned!$B$2:$B$10,"&lt;"&amp;C4845,mdr_rate_cleaned!$F$2:$F$10,"&gt;="&amp;C4845)</f>
        <v>1</v>
      </c>
      <c r="G4845">
        <v>1.7000000000000001E-2</v>
      </c>
      <c r="H4845">
        <v>84.98</v>
      </c>
      <c r="I4845" t="s">
        <v>15</v>
      </c>
      <c r="J4845" t="s">
        <v>15</v>
      </c>
      <c r="K4845">
        <v>15.3</v>
      </c>
      <c r="L4845">
        <v>0</v>
      </c>
    </row>
    <row r="4846" spans="1:12" x14ac:dyDescent="0.3">
      <c r="A4846" t="s">
        <v>4862</v>
      </c>
      <c r="B4846" t="s">
        <v>21</v>
      </c>
      <c r="C4846">
        <v>2098</v>
      </c>
      <c r="D4846">
        <v>6.29</v>
      </c>
      <c r="E4846">
        <v>1.1299999999999999</v>
      </c>
      <c r="F4846">
        <f>COUNTIFS(mdr_rate_cleaned!$A$2:$A$10,B4846,mdr_rate_cleaned!$B$2:$B$10,"&lt;"&amp;C4846,mdr_rate_cleaned!$F$2:$F$10,"&gt;="&amp;C4846)</f>
        <v>1</v>
      </c>
      <c r="G4846">
        <v>3.0000000000000001E-3</v>
      </c>
      <c r="H4846">
        <v>6.29</v>
      </c>
      <c r="I4846" t="s">
        <v>15</v>
      </c>
      <c r="J4846" t="s">
        <v>15</v>
      </c>
      <c r="K4846">
        <v>1.1299999999999999</v>
      </c>
      <c r="L4846">
        <v>0</v>
      </c>
    </row>
    <row r="4847" spans="1:12" x14ac:dyDescent="0.3">
      <c r="A4847" t="s">
        <v>4863</v>
      </c>
      <c r="B4847" t="s">
        <v>21</v>
      </c>
      <c r="C4847">
        <v>1499</v>
      </c>
      <c r="D4847">
        <v>0</v>
      </c>
      <c r="E4847">
        <v>0</v>
      </c>
      <c r="F4847">
        <f>COUNTIFS(mdr_rate_cleaned!$A$2:$A$10,B4847,mdr_rate_cleaned!$B$2:$B$10,"&lt;"&amp;C4847,mdr_rate_cleaned!$F$2:$F$10,"&gt;="&amp;C4847)</f>
        <v>1</v>
      </c>
      <c r="G4847">
        <v>0</v>
      </c>
      <c r="H4847">
        <v>0</v>
      </c>
      <c r="I4847" t="s">
        <v>15</v>
      </c>
      <c r="J4847" t="s">
        <v>15</v>
      </c>
      <c r="K4847">
        <v>0</v>
      </c>
      <c r="L4847">
        <v>0</v>
      </c>
    </row>
    <row r="4848" spans="1:12" x14ac:dyDescent="0.3">
      <c r="A4848" t="s">
        <v>4864</v>
      </c>
      <c r="B4848" t="s">
        <v>21</v>
      </c>
      <c r="C4848">
        <v>1499</v>
      </c>
      <c r="D4848">
        <v>0</v>
      </c>
      <c r="E4848">
        <v>0</v>
      </c>
      <c r="F4848">
        <f>COUNTIFS(mdr_rate_cleaned!$A$2:$A$10,B4848,mdr_rate_cleaned!$B$2:$B$10,"&lt;"&amp;C4848,mdr_rate_cleaned!$F$2:$F$10,"&gt;="&amp;C4848)</f>
        <v>1</v>
      </c>
      <c r="G4848">
        <v>0</v>
      </c>
      <c r="H4848">
        <v>0</v>
      </c>
      <c r="I4848" t="s">
        <v>15</v>
      </c>
      <c r="J4848" t="s">
        <v>15</v>
      </c>
      <c r="K4848">
        <v>0</v>
      </c>
      <c r="L4848">
        <v>0</v>
      </c>
    </row>
    <row r="4849" spans="1:12" x14ac:dyDescent="0.3">
      <c r="A4849" t="s">
        <v>4865</v>
      </c>
      <c r="B4849" t="s">
        <v>39</v>
      </c>
      <c r="C4849">
        <v>4999</v>
      </c>
      <c r="D4849">
        <v>59.99</v>
      </c>
      <c r="E4849">
        <v>10.8</v>
      </c>
      <c r="F4849">
        <f>COUNTIFS(mdr_rate_cleaned!$A$2:$A$10,B4849,mdr_rate_cleaned!$B$2:$B$10,"&lt;"&amp;C4849,mdr_rate_cleaned!$F$2:$F$10,"&gt;="&amp;C4849)</f>
        <v>1</v>
      </c>
      <c r="G4849">
        <v>1.2E-2</v>
      </c>
      <c r="H4849">
        <v>59.99</v>
      </c>
      <c r="I4849" t="s">
        <v>15</v>
      </c>
      <c r="J4849" t="s">
        <v>15</v>
      </c>
      <c r="K4849">
        <v>10.8</v>
      </c>
      <c r="L4849">
        <v>0</v>
      </c>
    </row>
    <row r="4850" spans="1:12" x14ac:dyDescent="0.3">
      <c r="A4850" t="s">
        <v>4866</v>
      </c>
      <c r="B4850" t="s">
        <v>21</v>
      </c>
      <c r="C4850">
        <v>8998</v>
      </c>
      <c r="D4850">
        <v>26.99</v>
      </c>
      <c r="E4850">
        <v>4.8600000000000003</v>
      </c>
      <c r="F4850">
        <f>COUNTIFS(mdr_rate_cleaned!$A$2:$A$10,B4850,mdr_rate_cleaned!$B$2:$B$10,"&lt;"&amp;C4850,mdr_rate_cleaned!$F$2:$F$10,"&gt;="&amp;C4850)</f>
        <v>1</v>
      </c>
      <c r="G4850">
        <v>3.0000000000000001E-3</v>
      </c>
      <c r="H4850">
        <v>26.99</v>
      </c>
      <c r="I4850" t="s">
        <v>15</v>
      </c>
      <c r="J4850" t="s">
        <v>15</v>
      </c>
      <c r="K4850">
        <v>4.8600000000000003</v>
      </c>
      <c r="L4850">
        <v>0</v>
      </c>
    </row>
    <row r="4851" spans="1:12" x14ac:dyDescent="0.3">
      <c r="A4851" t="s">
        <v>4867</v>
      </c>
      <c r="B4851" t="s">
        <v>39</v>
      </c>
      <c r="C4851">
        <v>1848</v>
      </c>
      <c r="D4851">
        <v>27.72</v>
      </c>
      <c r="E4851">
        <v>4.99</v>
      </c>
      <c r="F4851">
        <f>COUNTIFS(mdr_rate_cleaned!$A$2:$A$10,B4851,mdr_rate_cleaned!$B$2:$B$10,"&lt;"&amp;C4851,mdr_rate_cleaned!$F$2:$F$10,"&gt;="&amp;C4851)</f>
        <v>1</v>
      </c>
      <c r="G4851">
        <v>1.4999999999999999E-2</v>
      </c>
      <c r="H4851">
        <v>27.72</v>
      </c>
      <c r="I4851" t="s">
        <v>15</v>
      </c>
      <c r="J4851" t="s">
        <v>15</v>
      </c>
      <c r="K4851">
        <v>4.99</v>
      </c>
      <c r="L4851">
        <v>0</v>
      </c>
    </row>
    <row r="4852" spans="1:12" x14ac:dyDescent="0.3">
      <c r="A4852" t="s">
        <v>4868</v>
      </c>
      <c r="B4852" t="s">
        <v>39</v>
      </c>
      <c r="C4852">
        <v>7999</v>
      </c>
      <c r="D4852">
        <v>95.99</v>
      </c>
      <c r="E4852">
        <v>17.28</v>
      </c>
      <c r="F4852">
        <f>COUNTIFS(mdr_rate_cleaned!$A$2:$A$10,B4852,mdr_rate_cleaned!$B$2:$B$10,"&lt;"&amp;C4852,mdr_rate_cleaned!$F$2:$F$10,"&gt;="&amp;C4852)</f>
        <v>1</v>
      </c>
      <c r="G4852">
        <v>1.2E-2</v>
      </c>
      <c r="H4852">
        <v>95.99</v>
      </c>
      <c r="I4852" t="s">
        <v>15</v>
      </c>
      <c r="J4852" t="s">
        <v>15</v>
      </c>
      <c r="K4852">
        <v>17.28</v>
      </c>
      <c r="L4852">
        <v>0</v>
      </c>
    </row>
    <row r="4853" spans="1:12" x14ac:dyDescent="0.3">
      <c r="A4853" t="s">
        <v>4869</v>
      </c>
      <c r="B4853" t="s">
        <v>21</v>
      </c>
      <c r="C4853">
        <v>2499</v>
      </c>
      <c r="D4853">
        <v>7.5</v>
      </c>
      <c r="E4853">
        <v>1.35</v>
      </c>
      <c r="F4853">
        <f>COUNTIFS(mdr_rate_cleaned!$A$2:$A$10,B4853,mdr_rate_cleaned!$B$2:$B$10,"&lt;"&amp;C4853,mdr_rate_cleaned!$F$2:$F$10,"&gt;="&amp;C4853)</f>
        <v>1</v>
      </c>
      <c r="G4853">
        <v>3.0000000000000001E-3</v>
      </c>
      <c r="H4853">
        <v>7.5</v>
      </c>
      <c r="I4853" t="s">
        <v>15</v>
      </c>
      <c r="J4853" t="s">
        <v>15</v>
      </c>
      <c r="K4853">
        <v>1.35</v>
      </c>
      <c r="L4853">
        <v>0</v>
      </c>
    </row>
    <row r="4854" spans="1:12" x14ac:dyDescent="0.3">
      <c r="A4854" t="s">
        <v>4870</v>
      </c>
      <c r="B4854" t="s">
        <v>17</v>
      </c>
      <c r="C4854">
        <v>1298</v>
      </c>
      <c r="D4854">
        <v>23.36</v>
      </c>
      <c r="E4854">
        <v>4.2</v>
      </c>
      <c r="F4854">
        <f>COUNTIFS(mdr_rate_cleaned!$A$2:$A$10,B4854,mdr_rate_cleaned!$B$2:$B$10,"&lt;"&amp;C4854,mdr_rate_cleaned!$F$2:$F$10,"&gt;="&amp;C4854)</f>
        <v>1</v>
      </c>
      <c r="G4854">
        <v>1.7999999999999999E-2</v>
      </c>
      <c r="H4854">
        <v>23.36</v>
      </c>
      <c r="I4854" t="s">
        <v>15</v>
      </c>
      <c r="J4854" t="s">
        <v>15</v>
      </c>
      <c r="K4854">
        <v>4.2</v>
      </c>
      <c r="L4854">
        <v>0</v>
      </c>
    </row>
    <row r="4855" spans="1:12" x14ac:dyDescent="0.3">
      <c r="A4855" t="s">
        <v>4871</v>
      </c>
      <c r="B4855" t="s">
        <v>21</v>
      </c>
      <c r="C4855">
        <v>3499</v>
      </c>
      <c r="D4855">
        <v>10.5</v>
      </c>
      <c r="E4855">
        <v>1.89</v>
      </c>
      <c r="F4855">
        <f>COUNTIFS(mdr_rate_cleaned!$A$2:$A$10,B4855,mdr_rate_cleaned!$B$2:$B$10,"&lt;"&amp;C4855,mdr_rate_cleaned!$F$2:$F$10,"&gt;="&amp;C4855)</f>
        <v>1</v>
      </c>
      <c r="G4855">
        <v>3.0000000000000001E-3</v>
      </c>
      <c r="H4855">
        <v>10.5</v>
      </c>
      <c r="I4855" t="s">
        <v>15</v>
      </c>
      <c r="J4855" t="s">
        <v>15</v>
      </c>
      <c r="K4855">
        <v>1.89</v>
      </c>
      <c r="L4855">
        <v>0</v>
      </c>
    </row>
    <row r="4856" spans="1:12" x14ac:dyDescent="0.3">
      <c r="A4856" t="s">
        <v>4872</v>
      </c>
      <c r="B4856" t="s">
        <v>39</v>
      </c>
      <c r="C4856">
        <v>3348</v>
      </c>
      <c r="D4856">
        <v>40.18</v>
      </c>
      <c r="E4856">
        <v>7.23</v>
      </c>
      <c r="F4856">
        <f>COUNTIFS(mdr_rate_cleaned!$A$2:$A$10,B4856,mdr_rate_cleaned!$B$2:$B$10,"&lt;"&amp;C4856,mdr_rate_cleaned!$F$2:$F$10,"&gt;="&amp;C4856)</f>
        <v>1</v>
      </c>
      <c r="G4856">
        <v>1.2E-2</v>
      </c>
      <c r="H4856">
        <v>40.18</v>
      </c>
      <c r="I4856" t="s">
        <v>15</v>
      </c>
      <c r="J4856" t="s">
        <v>15</v>
      </c>
      <c r="K4856">
        <v>7.23</v>
      </c>
      <c r="L4856">
        <v>0</v>
      </c>
    </row>
    <row r="4857" spans="1:12" x14ac:dyDescent="0.3">
      <c r="A4857" t="s">
        <v>4873</v>
      </c>
      <c r="B4857" t="s">
        <v>21</v>
      </c>
      <c r="C4857">
        <v>2499</v>
      </c>
      <c r="D4857">
        <v>7.5</v>
      </c>
      <c r="E4857">
        <v>1.35</v>
      </c>
      <c r="F4857">
        <f>COUNTIFS(mdr_rate_cleaned!$A$2:$A$10,B4857,mdr_rate_cleaned!$B$2:$B$10,"&lt;"&amp;C4857,mdr_rate_cleaned!$F$2:$F$10,"&gt;="&amp;C4857)</f>
        <v>1</v>
      </c>
      <c r="G4857">
        <v>3.0000000000000001E-3</v>
      </c>
      <c r="H4857">
        <v>7.5</v>
      </c>
      <c r="I4857" t="s">
        <v>15</v>
      </c>
      <c r="J4857" t="s">
        <v>15</v>
      </c>
      <c r="K4857">
        <v>1.35</v>
      </c>
      <c r="L4857">
        <v>0</v>
      </c>
    </row>
    <row r="4858" spans="1:12" x14ac:dyDescent="0.3">
      <c r="A4858" t="s">
        <v>4874</v>
      </c>
      <c r="B4858" t="s">
        <v>39</v>
      </c>
      <c r="C4858">
        <v>3499</v>
      </c>
      <c r="D4858">
        <v>41.99</v>
      </c>
      <c r="E4858">
        <v>7.56</v>
      </c>
      <c r="F4858">
        <f>COUNTIFS(mdr_rate_cleaned!$A$2:$A$10,B4858,mdr_rate_cleaned!$B$2:$B$10,"&lt;"&amp;C4858,mdr_rate_cleaned!$F$2:$F$10,"&gt;="&amp;C4858)</f>
        <v>1</v>
      </c>
      <c r="G4858">
        <v>1.2E-2</v>
      </c>
      <c r="H4858">
        <v>41.99</v>
      </c>
      <c r="I4858" t="s">
        <v>15</v>
      </c>
      <c r="J4858" t="s">
        <v>15</v>
      </c>
      <c r="K4858">
        <v>7.56</v>
      </c>
      <c r="L4858">
        <v>0</v>
      </c>
    </row>
    <row r="4859" spans="1:12" x14ac:dyDescent="0.3">
      <c r="A4859" t="s">
        <v>4875</v>
      </c>
      <c r="B4859" t="s">
        <v>17</v>
      </c>
      <c r="C4859">
        <v>1499</v>
      </c>
      <c r="D4859">
        <v>26.98</v>
      </c>
      <c r="E4859">
        <v>4.8600000000000003</v>
      </c>
      <c r="F4859">
        <f>COUNTIFS(mdr_rate_cleaned!$A$2:$A$10,B4859,mdr_rate_cleaned!$B$2:$B$10,"&lt;"&amp;C4859,mdr_rate_cleaned!$F$2:$F$10,"&gt;="&amp;C4859)</f>
        <v>1</v>
      </c>
      <c r="G4859">
        <v>1.7999999999999999E-2</v>
      </c>
      <c r="H4859">
        <v>26.98</v>
      </c>
      <c r="I4859" t="s">
        <v>15</v>
      </c>
      <c r="J4859" t="s">
        <v>15</v>
      </c>
      <c r="K4859">
        <v>4.8600000000000003</v>
      </c>
      <c r="L4859">
        <v>0</v>
      </c>
    </row>
    <row r="4860" spans="1:12" x14ac:dyDescent="0.3">
      <c r="A4860" t="s">
        <v>4876</v>
      </c>
      <c r="B4860" t="s">
        <v>21</v>
      </c>
      <c r="C4860">
        <v>8498</v>
      </c>
      <c r="D4860">
        <v>25.49</v>
      </c>
      <c r="E4860">
        <v>4.59</v>
      </c>
      <c r="F4860">
        <f>COUNTIFS(mdr_rate_cleaned!$A$2:$A$10,B4860,mdr_rate_cleaned!$B$2:$B$10,"&lt;"&amp;C4860,mdr_rate_cleaned!$F$2:$F$10,"&gt;="&amp;C4860)</f>
        <v>1</v>
      </c>
      <c r="G4860">
        <v>3.0000000000000001E-3</v>
      </c>
      <c r="H4860">
        <v>25.49</v>
      </c>
      <c r="I4860" t="s">
        <v>15</v>
      </c>
      <c r="J4860" t="s">
        <v>15</v>
      </c>
      <c r="K4860">
        <v>4.59</v>
      </c>
      <c r="L4860">
        <v>0</v>
      </c>
    </row>
    <row r="4861" spans="1:12" x14ac:dyDescent="0.3">
      <c r="A4861" t="s">
        <v>4877</v>
      </c>
      <c r="B4861" t="s">
        <v>17</v>
      </c>
      <c r="C4861">
        <v>299</v>
      </c>
      <c r="D4861">
        <v>5.38</v>
      </c>
      <c r="E4861">
        <v>0.97</v>
      </c>
      <c r="F4861">
        <f>COUNTIFS(mdr_rate_cleaned!$A$2:$A$10,B4861,mdr_rate_cleaned!$B$2:$B$10,"&lt;"&amp;C4861,mdr_rate_cleaned!$F$2:$F$10,"&gt;="&amp;C4861)</f>
        <v>1</v>
      </c>
      <c r="G4861">
        <v>1.7999999999999999E-2</v>
      </c>
      <c r="H4861">
        <v>5.38</v>
      </c>
      <c r="I4861" t="s">
        <v>15</v>
      </c>
      <c r="J4861" t="s">
        <v>15</v>
      </c>
      <c r="K4861">
        <v>0.97</v>
      </c>
      <c r="L4861">
        <v>0</v>
      </c>
    </row>
    <row r="4862" spans="1:12" x14ac:dyDescent="0.3">
      <c r="A4862" t="s">
        <v>4878</v>
      </c>
      <c r="B4862" t="s">
        <v>21</v>
      </c>
      <c r="C4862">
        <v>7999</v>
      </c>
      <c r="D4862">
        <v>24</v>
      </c>
      <c r="E4862">
        <v>4.32</v>
      </c>
      <c r="F4862">
        <f>COUNTIFS(mdr_rate_cleaned!$A$2:$A$10,B4862,mdr_rate_cleaned!$B$2:$B$10,"&lt;"&amp;C4862,mdr_rate_cleaned!$F$2:$F$10,"&gt;="&amp;C4862)</f>
        <v>1</v>
      </c>
      <c r="G4862">
        <v>3.0000000000000001E-3</v>
      </c>
      <c r="H4862">
        <v>24</v>
      </c>
      <c r="I4862" t="s">
        <v>15</v>
      </c>
      <c r="J4862" t="s">
        <v>15</v>
      </c>
      <c r="K4862">
        <v>4.32</v>
      </c>
      <c r="L4862">
        <v>0</v>
      </c>
    </row>
    <row r="4863" spans="1:12" x14ac:dyDescent="0.3">
      <c r="A4863" t="s">
        <v>4879</v>
      </c>
      <c r="B4863" t="s">
        <v>17</v>
      </c>
      <c r="C4863">
        <v>1947</v>
      </c>
      <c r="D4863">
        <v>35.049999999999997</v>
      </c>
      <c r="E4863">
        <v>6.31</v>
      </c>
      <c r="F4863">
        <f>COUNTIFS(mdr_rate_cleaned!$A$2:$A$10,B4863,mdr_rate_cleaned!$B$2:$B$10,"&lt;"&amp;C4863,mdr_rate_cleaned!$F$2:$F$10,"&gt;="&amp;C4863)</f>
        <v>1</v>
      </c>
      <c r="G4863">
        <v>1.7999999999999999E-2</v>
      </c>
      <c r="H4863">
        <v>35.049999999999997</v>
      </c>
      <c r="I4863" t="s">
        <v>15</v>
      </c>
      <c r="J4863" t="s">
        <v>15</v>
      </c>
      <c r="K4863">
        <v>6.31</v>
      </c>
      <c r="L4863">
        <v>0</v>
      </c>
    </row>
    <row r="4864" spans="1:12" x14ac:dyDescent="0.3">
      <c r="A4864" t="s">
        <v>4880</v>
      </c>
      <c r="B4864" t="s">
        <v>21</v>
      </c>
      <c r="C4864">
        <v>1799</v>
      </c>
      <c r="D4864">
        <v>0</v>
      </c>
      <c r="E4864">
        <v>0</v>
      </c>
      <c r="F4864">
        <f>COUNTIFS(mdr_rate_cleaned!$A$2:$A$10,B4864,mdr_rate_cleaned!$B$2:$B$10,"&lt;"&amp;C4864,mdr_rate_cleaned!$F$2:$F$10,"&gt;="&amp;C4864)</f>
        <v>1</v>
      </c>
      <c r="G4864">
        <v>0</v>
      </c>
      <c r="H4864">
        <v>0</v>
      </c>
      <c r="I4864" t="s">
        <v>15</v>
      </c>
      <c r="J4864" t="s">
        <v>15</v>
      </c>
      <c r="K4864">
        <v>0</v>
      </c>
      <c r="L4864">
        <v>0</v>
      </c>
    </row>
    <row r="4865" spans="1:12" x14ac:dyDescent="0.3">
      <c r="A4865" t="s">
        <v>4881</v>
      </c>
      <c r="B4865" t="s">
        <v>17</v>
      </c>
      <c r="C4865">
        <v>1499</v>
      </c>
      <c r="D4865">
        <v>26.98</v>
      </c>
      <c r="E4865">
        <v>4.8600000000000003</v>
      </c>
      <c r="F4865">
        <f>COUNTIFS(mdr_rate_cleaned!$A$2:$A$10,B4865,mdr_rate_cleaned!$B$2:$B$10,"&lt;"&amp;C4865,mdr_rate_cleaned!$F$2:$F$10,"&gt;="&amp;C4865)</f>
        <v>1</v>
      </c>
      <c r="G4865">
        <v>1.7999999999999999E-2</v>
      </c>
      <c r="H4865">
        <v>26.98</v>
      </c>
      <c r="I4865" t="s">
        <v>15</v>
      </c>
      <c r="J4865" t="s">
        <v>15</v>
      </c>
      <c r="K4865">
        <v>4.8600000000000003</v>
      </c>
      <c r="L4865">
        <v>0</v>
      </c>
    </row>
    <row r="4866" spans="1:12" x14ac:dyDescent="0.3">
      <c r="A4866" t="s">
        <v>4882</v>
      </c>
      <c r="B4866" t="s">
        <v>21</v>
      </c>
      <c r="C4866">
        <v>3499</v>
      </c>
      <c r="D4866">
        <v>10.5</v>
      </c>
      <c r="E4866">
        <v>1.89</v>
      </c>
      <c r="F4866">
        <f>COUNTIFS(mdr_rate_cleaned!$A$2:$A$10,B4866,mdr_rate_cleaned!$B$2:$B$10,"&lt;"&amp;C4866,mdr_rate_cleaned!$F$2:$F$10,"&gt;="&amp;C4866)</f>
        <v>1</v>
      </c>
      <c r="G4866">
        <v>3.0000000000000001E-3</v>
      </c>
      <c r="H4866">
        <v>10.5</v>
      </c>
      <c r="I4866" t="s">
        <v>15</v>
      </c>
      <c r="J4866" t="s">
        <v>15</v>
      </c>
      <c r="K4866">
        <v>1.89</v>
      </c>
      <c r="L4866">
        <v>0</v>
      </c>
    </row>
    <row r="4867" spans="1:12" x14ac:dyDescent="0.3">
      <c r="A4867" t="s">
        <v>4883</v>
      </c>
      <c r="B4867" t="s">
        <v>17</v>
      </c>
      <c r="C4867">
        <v>4147</v>
      </c>
      <c r="D4867">
        <v>66.349999999999994</v>
      </c>
      <c r="E4867">
        <v>11.94</v>
      </c>
      <c r="F4867">
        <f>COUNTIFS(mdr_rate_cleaned!$A$2:$A$10,B4867,mdr_rate_cleaned!$B$2:$B$10,"&lt;"&amp;C4867,mdr_rate_cleaned!$F$2:$F$10,"&gt;="&amp;C4867)</f>
        <v>1</v>
      </c>
      <c r="G4867">
        <v>1.6E-2</v>
      </c>
      <c r="H4867">
        <v>66.349999999999994</v>
      </c>
      <c r="I4867" t="s">
        <v>15</v>
      </c>
      <c r="J4867" t="s">
        <v>15</v>
      </c>
      <c r="K4867">
        <v>11.94</v>
      </c>
      <c r="L4867">
        <v>0</v>
      </c>
    </row>
    <row r="4868" spans="1:12" x14ac:dyDescent="0.3">
      <c r="A4868" t="s">
        <v>4884</v>
      </c>
      <c r="B4868" t="s">
        <v>17</v>
      </c>
      <c r="C4868">
        <v>299</v>
      </c>
      <c r="D4868">
        <v>5.38</v>
      </c>
      <c r="E4868">
        <v>0.97</v>
      </c>
      <c r="F4868">
        <f>COUNTIFS(mdr_rate_cleaned!$A$2:$A$10,B4868,mdr_rate_cleaned!$B$2:$B$10,"&lt;"&amp;C4868,mdr_rate_cleaned!$F$2:$F$10,"&gt;="&amp;C4868)</f>
        <v>1</v>
      </c>
      <c r="G4868">
        <v>1.7999999999999999E-2</v>
      </c>
      <c r="H4868">
        <v>5.38</v>
      </c>
      <c r="I4868" t="s">
        <v>15</v>
      </c>
      <c r="J4868" t="s">
        <v>15</v>
      </c>
      <c r="K4868">
        <v>0.97</v>
      </c>
      <c r="L4868">
        <v>0</v>
      </c>
    </row>
    <row r="4869" spans="1:12" x14ac:dyDescent="0.3">
      <c r="A4869" t="s">
        <v>4885</v>
      </c>
      <c r="B4869" t="s">
        <v>17</v>
      </c>
      <c r="C4869">
        <v>299</v>
      </c>
      <c r="D4869">
        <v>5.38</v>
      </c>
      <c r="E4869">
        <v>0.97</v>
      </c>
      <c r="F4869">
        <f>COUNTIFS(mdr_rate_cleaned!$A$2:$A$10,B4869,mdr_rate_cleaned!$B$2:$B$10,"&lt;"&amp;C4869,mdr_rate_cleaned!$F$2:$F$10,"&gt;="&amp;C4869)</f>
        <v>1</v>
      </c>
      <c r="G4869">
        <v>1.7999999999999999E-2</v>
      </c>
      <c r="H4869">
        <v>5.38</v>
      </c>
      <c r="I4869" t="s">
        <v>15</v>
      </c>
      <c r="J4869" t="s">
        <v>15</v>
      </c>
      <c r="K4869">
        <v>0.97</v>
      </c>
      <c r="L4869">
        <v>0</v>
      </c>
    </row>
    <row r="4870" spans="1:12" x14ac:dyDescent="0.3">
      <c r="A4870" t="s">
        <v>4886</v>
      </c>
      <c r="B4870" t="s">
        <v>39</v>
      </c>
      <c r="C4870">
        <v>4999</v>
      </c>
      <c r="D4870">
        <v>59.99</v>
      </c>
      <c r="E4870">
        <v>10.8</v>
      </c>
      <c r="F4870">
        <f>COUNTIFS(mdr_rate_cleaned!$A$2:$A$10,B4870,mdr_rate_cleaned!$B$2:$B$10,"&lt;"&amp;C4870,mdr_rate_cleaned!$F$2:$F$10,"&gt;="&amp;C4870)</f>
        <v>1</v>
      </c>
      <c r="G4870">
        <v>1.2E-2</v>
      </c>
      <c r="H4870">
        <v>59.99</v>
      </c>
      <c r="I4870" t="s">
        <v>15</v>
      </c>
      <c r="J4870" t="s">
        <v>15</v>
      </c>
      <c r="K4870">
        <v>10.8</v>
      </c>
      <c r="L4870">
        <v>0</v>
      </c>
    </row>
    <row r="4871" spans="1:12" x14ac:dyDescent="0.3">
      <c r="A4871" t="s">
        <v>4887</v>
      </c>
      <c r="B4871" t="s">
        <v>21</v>
      </c>
      <c r="C4871">
        <v>1499</v>
      </c>
      <c r="D4871">
        <v>0</v>
      </c>
      <c r="E4871">
        <v>0</v>
      </c>
      <c r="F4871">
        <f>COUNTIFS(mdr_rate_cleaned!$A$2:$A$10,B4871,mdr_rate_cleaned!$B$2:$B$10,"&lt;"&amp;C4871,mdr_rate_cleaned!$F$2:$F$10,"&gt;="&amp;C4871)</f>
        <v>1</v>
      </c>
      <c r="G4871">
        <v>0</v>
      </c>
      <c r="H4871">
        <v>0</v>
      </c>
      <c r="I4871" t="s">
        <v>15</v>
      </c>
      <c r="J4871" t="s">
        <v>15</v>
      </c>
      <c r="K4871">
        <v>0</v>
      </c>
      <c r="L4871">
        <v>0</v>
      </c>
    </row>
    <row r="4872" spans="1:12" x14ac:dyDescent="0.3">
      <c r="A4872" t="s">
        <v>4888</v>
      </c>
      <c r="B4872" t="s">
        <v>21</v>
      </c>
      <c r="C4872">
        <v>1499</v>
      </c>
      <c r="D4872">
        <v>0</v>
      </c>
      <c r="E4872">
        <v>0</v>
      </c>
      <c r="F4872">
        <f>COUNTIFS(mdr_rate_cleaned!$A$2:$A$10,B4872,mdr_rate_cleaned!$B$2:$B$10,"&lt;"&amp;C4872,mdr_rate_cleaned!$F$2:$F$10,"&gt;="&amp;C4872)</f>
        <v>1</v>
      </c>
      <c r="G4872">
        <v>0</v>
      </c>
      <c r="H4872">
        <v>0</v>
      </c>
      <c r="I4872" t="s">
        <v>15</v>
      </c>
      <c r="J4872" t="s">
        <v>15</v>
      </c>
      <c r="K4872">
        <v>0</v>
      </c>
      <c r="L4872">
        <v>0</v>
      </c>
    </row>
    <row r="4873" spans="1:12" x14ac:dyDescent="0.3">
      <c r="A4873" t="s">
        <v>4889</v>
      </c>
      <c r="B4873" t="s">
        <v>13</v>
      </c>
      <c r="C4873">
        <v>3498</v>
      </c>
      <c r="D4873">
        <v>59.47</v>
      </c>
      <c r="E4873">
        <v>10.7</v>
      </c>
      <c r="F4873">
        <f>COUNTIFS(mdr_rate_cleaned!$A$2:$A$10,B4873,mdr_rate_cleaned!$B$2:$B$10,"&lt;"&amp;C4873,mdr_rate_cleaned!$F$2:$F$10,"&gt;="&amp;C4873)</f>
        <v>1</v>
      </c>
      <c r="G4873">
        <v>1.7000000000000001E-2</v>
      </c>
      <c r="H4873">
        <v>59.47</v>
      </c>
      <c r="I4873" t="s">
        <v>15</v>
      </c>
      <c r="J4873" t="s">
        <v>15</v>
      </c>
      <c r="K4873">
        <v>10.7</v>
      </c>
      <c r="L4873">
        <v>0</v>
      </c>
    </row>
    <row r="4874" spans="1:12" x14ac:dyDescent="0.3">
      <c r="A4874" t="s">
        <v>4890</v>
      </c>
      <c r="B4874" t="s">
        <v>21</v>
      </c>
      <c r="C4874">
        <v>7999</v>
      </c>
      <c r="D4874">
        <v>24</v>
      </c>
      <c r="E4874">
        <v>4.32</v>
      </c>
      <c r="F4874">
        <f>COUNTIFS(mdr_rate_cleaned!$A$2:$A$10,B4874,mdr_rate_cleaned!$B$2:$B$10,"&lt;"&amp;C4874,mdr_rate_cleaned!$F$2:$F$10,"&gt;="&amp;C4874)</f>
        <v>1</v>
      </c>
      <c r="G4874">
        <v>3.0000000000000001E-3</v>
      </c>
      <c r="H4874">
        <v>24</v>
      </c>
      <c r="I4874" t="s">
        <v>15</v>
      </c>
      <c r="J4874" t="s">
        <v>15</v>
      </c>
      <c r="K4874">
        <v>4.32</v>
      </c>
      <c r="L4874">
        <v>0</v>
      </c>
    </row>
    <row r="4875" spans="1:12" x14ac:dyDescent="0.3">
      <c r="A4875" t="s">
        <v>4891</v>
      </c>
      <c r="B4875" t="s">
        <v>17</v>
      </c>
      <c r="C4875">
        <v>998</v>
      </c>
      <c r="D4875">
        <v>17.96</v>
      </c>
      <c r="E4875">
        <v>3.23</v>
      </c>
      <c r="F4875">
        <f>COUNTIFS(mdr_rate_cleaned!$A$2:$A$10,B4875,mdr_rate_cleaned!$B$2:$B$10,"&lt;"&amp;C4875,mdr_rate_cleaned!$F$2:$F$10,"&gt;="&amp;C4875)</f>
        <v>1</v>
      </c>
      <c r="G4875">
        <v>1.7999999999999999E-2</v>
      </c>
      <c r="H4875">
        <v>17.96</v>
      </c>
      <c r="I4875" t="s">
        <v>15</v>
      </c>
      <c r="J4875" t="s">
        <v>15</v>
      </c>
      <c r="K4875">
        <v>3.23</v>
      </c>
      <c r="L4875">
        <v>0</v>
      </c>
    </row>
    <row r="4876" spans="1:12" x14ac:dyDescent="0.3">
      <c r="A4876" t="s">
        <v>4892</v>
      </c>
      <c r="B4876" t="s">
        <v>21</v>
      </c>
      <c r="C4876">
        <v>2498</v>
      </c>
      <c r="D4876">
        <v>7.49</v>
      </c>
      <c r="E4876">
        <v>1.35</v>
      </c>
      <c r="F4876">
        <f>COUNTIFS(mdr_rate_cleaned!$A$2:$A$10,B4876,mdr_rate_cleaned!$B$2:$B$10,"&lt;"&amp;C4876,mdr_rate_cleaned!$F$2:$F$10,"&gt;="&amp;C4876)</f>
        <v>1</v>
      </c>
      <c r="G4876">
        <v>3.0000000000000001E-3</v>
      </c>
      <c r="H4876">
        <v>7.49</v>
      </c>
      <c r="I4876" t="s">
        <v>15</v>
      </c>
      <c r="J4876" t="s">
        <v>15</v>
      </c>
      <c r="K4876">
        <v>1.35</v>
      </c>
      <c r="L4876">
        <v>0</v>
      </c>
    </row>
    <row r="4877" spans="1:12" x14ac:dyDescent="0.3">
      <c r="A4877" t="s">
        <v>4893</v>
      </c>
      <c r="B4877" t="s">
        <v>17</v>
      </c>
      <c r="C4877">
        <v>349</v>
      </c>
      <c r="D4877">
        <v>6.28</v>
      </c>
      <c r="E4877">
        <v>1.1299999999999999</v>
      </c>
      <c r="F4877">
        <f>COUNTIFS(mdr_rate_cleaned!$A$2:$A$10,B4877,mdr_rate_cleaned!$B$2:$B$10,"&lt;"&amp;C4877,mdr_rate_cleaned!$F$2:$F$10,"&gt;="&amp;C4877)</f>
        <v>1</v>
      </c>
      <c r="G4877">
        <v>1.7999999999999999E-2</v>
      </c>
      <c r="H4877">
        <v>6.28</v>
      </c>
      <c r="I4877" t="s">
        <v>15</v>
      </c>
      <c r="J4877" t="s">
        <v>15</v>
      </c>
      <c r="K4877">
        <v>1.1299999999999999</v>
      </c>
      <c r="L4877">
        <v>0</v>
      </c>
    </row>
    <row r="4878" spans="1:12" x14ac:dyDescent="0.3">
      <c r="A4878" t="s">
        <v>4894</v>
      </c>
      <c r="B4878" t="s">
        <v>17</v>
      </c>
      <c r="C4878">
        <v>8998</v>
      </c>
      <c r="D4878">
        <v>143.97</v>
      </c>
      <c r="E4878">
        <v>25.91</v>
      </c>
      <c r="F4878">
        <f>COUNTIFS(mdr_rate_cleaned!$A$2:$A$10,B4878,mdr_rate_cleaned!$B$2:$B$10,"&lt;"&amp;C4878,mdr_rate_cleaned!$F$2:$F$10,"&gt;="&amp;C4878)</f>
        <v>1</v>
      </c>
      <c r="G4878">
        <v>1.6E-2</v>
      </c>
      <c r="H4878">
        <v>143.97</v>
      </c>
      <c r="I4878" t="s">
        <v>15</v>
      </c>
      <c r="J4878" t="s">
        <v>15</v>
      </c>
      <c r="K4878">
        <v>25.91</v>
      </c>
      <c r="L4878">
        <v>0</v>
      </c>
    </row>
    <row r="4879" spans="1:12" x14ac:dyDescent="0.3">
      <c r="A4879" t="s">
        <v>4895</v>
      </c>
      <c r="B4879" t="s">
        <v>17</v>
      </c>
      <c r="C4879">
        <v>2999</v>
      </c>
      <c r="D4879">
        <v>47.98</v>
      </c>
      <c r="E4879">
        <v>8.64</v>
      </c>
      <c r="F4879">
        <f>COUNTIFS(mdr_rate_cleaned!$A$2:$A$10,B4879,mdr_rate_cleaned!$B$2:$B$10,"&lt;"&amp;C4879,mdr_rate_cleaned!$F$2:$F$10,"&gt;="&amp;C4879)</f>
        <v>1</v>
      </c>
      <c r="G4879">
        <v>1.6E-2</v>
      </c>
      <c r="H4879">
        <v>47.98</v>
      </c>
      <c r="I4879" t="s">
        <v>15</v>
      </c>
      <c r="J4879" t="s">
        <v>15</v>
      </c>
      <c r="K4879">
        <v>8.64</v>
      </c>
      <c r="L4879">
        <v>0</v>
      </c>
    </row>
    <row r="4880" spans="1:12" x14ac:dyDescent="0.3">
      <c r="A4880" t="s">
        <v>4896</v>
      </c>
      <c r="B4880" t="s">
        <v>21</v>
      </c>
      <c r="C4880">
        <v>4298</v>
      </c>
      <c r="D4880">
        <v>12.89</v>
      </c>
      <c r="E4880">
        <v>2.3199999999999998</v>
      </c>
      <c r="F4880">
        <f>COUNTIFS(mdr_rate_cleaned!$A$2:$A$10,B4880,mdr_rate_cleaned!$B$2:$B$10,"&lt;"&amp;C4880,mdr_rate_cleaned!$F$2:$F$10,"&gt;="&amp;C4880)</f>
        <v>1</v>
      </c>
      <c r="G4880">
        <v>3.0000000000000001E-3</v>
      </c>
      <c r="H4880">
        <v>12.89</v>
      </c>
      <c r="I4880" t="s">
        <v>15</v>
      </c>
      <c r="J4880" t="s">
        <v>15</v>
      </c>
      <c r="K4880">
        <v>2.3199999999999998</v>
      </c>
      <c r="L4880">
        <v>0</v>
      </c>
    </row>
    <row r="4881" spans="1:12" x14ac:dyDescent="0.3">
      <c r="A4881" t="s">
        <v>4897</v>
      </c>
      <c r="B4881" t="s">
        <v>21</v>
      </c>
      <c r="C4881">
        <v>4298</v>
      </c>
      <c r="D4881">
        <v>12.89</v>
      </c>
      <c r="E4881">
        <v>2.3199999999999998</v>
      </c>
      <c r="F4881">
        <f>COUNTIFS(mdr_rate_cleaned!$A$2:$A$10,B4881,mdr_rate_cleaned!$B$2:$B$10,"&lt;"&amp;C4881,mdr_rate_cleaned!$F$2:$F$10,"&gt;="&amp;C4881)</f>
        <v>1</v>
      </c>
      <c r="G4881">
        <v>3.0000000000000001E-3</v>
      </c>
      <c r="H4881">
        <v>12.89</v>
      </c>
      <c r="I4881" t="s">
        <v>15</v>
      </c>
      <c r="J4881" t="s">
        <v>15</v>
      </c>
      <c r="K4881">
        <v>2.3199999999999998</v>
      </c>
      <c r="L4881">
        <v>0</v>
      </c>
    </row>
    <row r="4882" spans="1:12" x14ac:dyDescent="0.3">
      <c r="A4882" t="s">
        <v>4898</v>
      </c>
      <c r="B4882" t="s">
        <v>21</v>
      </c>
      <c r="C4882">
        <v>6147</v>
      </c>
      <c r="D4882">
        <v>18.440000000000001</v>
      </c>
      <c r="E4882">
        <v>3.32</v>
      </c>
      <c r="F4882">
        <f>COUNTIFS(mdr_rate_cleaned!$A$2:$A$10,B4882,mdr_rate_cleaned!$B$2:$B$10,"&lt;"&amp;C4882,mdr_rate_cleaned!$F$2:$F$10,"&gt;="&amp;C4882)</f>
        <v>1</v>
      </c>
      <c r="G4882">
        <v>3.0000000000000001E-3</v>
      </c>
      <c r="H4882">
        <v>18.440000000000001</v>
      </c>
      <c r="I4882" t="s">
        <v>15</v>
      </c>
      <c r="J4882" t="s">
        <v>15</v>
      </c>
      <c r="K4882">
        <v>3.32</v>
      </c>
      <c r="L4882">
        <v>0</v>
      </c>
    </row>
    <row r="4883" spans="1:12" x14ac:dyDescent="0.3">
      <c r="A4883" t="s">
        <v>4899</v>
      </c>
      <c r="B4883" t="s">
        <v>13</v>
      </c>
      <c r="C4883">
        <v>4298</v>
      </c>
      <c r="D4883">
        <v>73.069999999999993</v>
      </c>
      <c r="E4883">
        <v>13.15</v>
      </c>
      <c r="F4883">
        <f>COUNTIFS(mdr_rate_cleaned!$A$2:$A$10,B4883,mdr_rate_cleaned!$B$2:$B$10,"&lt;"&amp;C4883,mdr_rate_cleaned!$F$2:$F$10,"&gt;="&amp;C4883)</f>
        <v>1</v>
      </c>
      <c r="G4883">
        <v>1.7000000000000001E-2</v>
      </c>
      <c r="H4883">
        <v>73.069999999999993</v>
      </c>
      <c r="I4883" t="s">
        <v>15</v>
      </c>
      <c r="J4883" t="s">
        <v>15</v>
      </c>
      <c r="K4883">
        <v>13.15</v>
      </c>
      <c r="L4883">
        <v>0</v>
      </c>
    </row>
    <row r="4884" spans="1:12" x14ac:dyDescent="0.3">
      <c r="A4884" t="s">
        <v>4900</v>
      </c>
      <c r="B4884" t="s">
        <v>13</v>
      </c>
      <c r="C4884">
        <v>948</v>
      </c>
      <c r="D4884">
        <v>18.010000000000002</v>
      </c>
      <c r="E4884">
        <v>3.24</v>
      </c>
      <c r="F4884">
        <f>COUNTIFS(mdr_rate_cleaned!$A$2:$A$10,B4884,mdr_rate_cleaned!$B$2:$B$10,"&lt;"&amp;C4884,mdr_rate_cleaned!$F$2:$F$10,"&gt;="&amp;C4884)</f>
        <v>1</v>
      </c>
      <c r="G4884">
        <v>1.9E-2</v>
      </c>
      <c r="H4884">
        <v>18.010000000000002</v>
      </c>
      <c r="I4884" t="s">
        <v>15</v>
      </c>
      <c r="J4884" t="s">
        <v>15</v>
      </c>
      <c r="K4884">
        <v>3.24</v>
      </c>
      <c r="L4884">
        <v>0</v>
      </c>
    </row>
    <row r="4885" spans="1:12" x14ac:dyDescent="0.3">
      <c r="A4885" t="s">
        <v>4901</v>
      </c>
      <c r="B4885" t="s">
        <v>17</v>
      </c>
      <c r="C4885">
        <v>1398</v>
      </c>
      <c r="D4885">
        <v>25.16</v>
      </c>
      <c r="E4885">
        <v>4.53</v>
      </c>
      <c r="F4885">
        <f>COUNTIFS(mdr_rate_cleaned!$A$2:$A$10,B4885,mdr_rate_cleaned!$B$2:$B$10,"&lt;"&amp;C4885,mdr_rate_cleaned!$F$2:$F$10,"&gt;="&amp;C4885)</f>
        <v>1</v>
      </c>
      <c r="G4885">
        <v>1.7999999999999999E-2</v>
      </c>
      <c r="H4885">
        <v>25.16</v>
      </c>
      <c r="I4885" t="s">
        <v>15</v>
      </c>
      <c r="J4885" t="s">
        <v>15</v>
      </c>
      <c r="K4885">
        <v>4.53</v>
      </c>
      <c r="L4885">
        <v>0</v>
      </c>
    </row>
    <row r="4886" spans="1:12" x14ac:dyDescent="0.3">
      <c r="A4886" t="s">
        <v>4902</v>
      </c>
      <c r="B4886" t="s">
        <v>21</v>
      </c>
      <c r="C4886">
        <v>1799</v>
      </c>
      <c r="D4886">
        <v>0</v>
      </c>
      <c r="E4886">
        <v>0</v>
      </c>
      <c r="F4886">
        <f>COUNTIFS(mdr_rate_cleaned!$A$2:$A$10,B4886,mdr_rate_cleaned!$B$2:$B$10,"&lt;"&amp;C4886,mdr_rate_cleaned!$F$2:$F$10,"&gt;="&amp;C4886)</f>
        <v>1</v>
      </c>
      <c r="G4886">
        <v>0</v>
      </c>
      <c r="H4886">
        <v>0</v>
      </c>
      <c r="I4886" t="s">
        <v>15</v>
      </c>
      <c r="J4886" t="s">
        <v>15</v>
      </c>
      <c r="K4886">
        <v>0</v>
      </c>
      <c r="L4886">
        <v>0</v>
      </c>
    </row>
    <row r="4887" spans="1:12" x14ac:dyDescent="0.3">
      <c r="A4887" t="s">
        <v>4903</v>
      </c>
      <c r="B4887" t="s">
        <v>39</v>
      </c>
      <c r="C4887">
        <v>8498</v>
      </c>
      <c r="D4887">
        <v>101.98</v>
      </c>
      <c r="E4887">
        <v>18.36</v>
      </c>
      <c r="F4887">
        <f>COUNTIFS(mdr_rate_cleaned!$A$2:$A$10,B4887,mdr_rate_cleaned!$B$2:$B$10,"&lt;"&amp;C4887,mdr_rate_cleaned!$F$2:$F$10,"&gt;="&amp;C4887)</f>
        <v>1</v>
      </c>
      <c r="G4887">
        <v>1.2E-2</v>
      </c>
      <c r="H4887">
        <v>101.98</v>
      </c>
      <c r="I4887" t="s">
        <v>15</v>
      </c>
      <c r="J4887" t="s">
        <v>15</v>
      </c>
      <c r="K4887">
        <v>18.36</v>
      </c>
      <c r="L4887">
        <v>0</v>
      </c>
    </row>
    <row r="4888" spans="1:12" x14ac:dyDescent="0.3">
      <c r="A4888" t="s">
        <v>4904</v>
      </c>
      <c r="B4888" t="s">
        <v>21</v>
      </c>
      <c r="C4888">
        <v>5298</v>
      </c>
      <c r="D4888">
        <v>15.89</v>
      </c>
      <c r="E4888">
        <v>2.86</v>
      </c>
      <c r="F4888">
        <f>COUNTIFS(mdr_rate_cleaned!$A$2:$A$10,B4888,mdr_rate_cleaned!$B$2:$B$10,"&lt;"&amp;C4888,mdr_rate_cleaned!$F$2:$F$10,"&gt;="&amp;C4888)</f>
        <v>1</v>
      </c>
      <c r="G4888">
        <v>3.0000000000000001E-3</v>
      </c>
      <c r="H4888">
        <v>15.89</v>
      </c>
      <c r="I4888" t="s">
        <v>15</v>
      </c>
      <c r="J4888" t="s">
        <v>15</v>
      </c>
      <c r="K4888">
        <v>2.86</v>
      </c>
      <c r="L4888">
        <v>0</v>
      </c>
    </row>
    <row r="4889" spans="1:12" x14ac:dyDescent="0.3">
      <c r="A4889" t="s">
        <v>4905</v>
      </c>
      <c r="B4889" t="s">
        <v>21</v>
      </c>
      <c r="C4889">
        <v>1299</v>
      </c>
      <c r="D4889">
        <v>0</v>
      </c>
      <c r="E4889">
        <v>0</v>
      </c>
      <c r="F4889">
        <f>COUNTIFS(mdr_rate_cleaned!$A$2:$A$10,B4889,mdr_rate_cleaned!$B$2:$B$10,"&lt;"&amp;C4889,mdr_rate_cleaned!$F$2:$F$10,"&gt;="&amp;C4889)</f>
        <v>1</v>
      </c>
      <c r="G4889">
        <v>0</v>
      </c>
      <c r="H4889">
        <v>0</v>
      </c>
      <c r="I4889" t="s">
        <v>15</v>
      </c>
      <c r="J4889" t="s">
        <v>15</v>
      </c>
      <c r="K4889">
        <v>0</v>
      </c>
      <c r="L4889">
        <v>0</v>
      </c>
    </row>
    <row r="4890" spans="1:12" x14ac:dyDescent="0.3">
      <c r="A4890" t="s">
        <v>4906</v>
      </c>
      <c r="B4890" t="s">
        <v>17</v>
      </c>
      <c r="C4890">
        <v>2798</v>
      </c>
      <c r="D4890">
        <v>44.77</v>
      </c>
      <c r="E4890">
        <v>8.06</v>
      </c>
      <c r="F4890">
        <f>COUNTIFS(mdr_rate_cleaned!$A$2:$A$10,B4890,mdr_rate_cleaned!$B$2:$B$10,"&lt;"&amp;C4890,mdr_rate_cleaned!$F$2:$F$10,"&gt;="&amp;C4890)</f>
        <v>1</v>
      </c>
      <c r="G4890">
        <v>1.6E-2</v>
      </c>
      <c r="H4890">
        <v>44.77</v>
      </c>
      <c r="I4890" t="s">
        <v>15</v>
      </c>
      <c r="J4890" t="s">
        <v>15</v>
      </c>
      <c r="K4890">
        <v>8.06</v>
      </c>
      <c r="L4890">
        <v>0</v>
      </c>
    </row>
    <row r="4891" spans="1:12" x14ac:dyDescent="0.3">
      <c r="A4891" t="s">
        <v>4907</v>
      </c>
      <c r="B4891" t="s">
        <v>17</v>
      </c>
      <c r="C4891">
        <v>848</v>
      </c>
      <c r="D4891">
        <v>15.26</v>
      </c>
      <c r="E4891">
        <v>2.75</v>
      </c>
      <c r="F4891">
        <f>COUNTIFS(mdr_rate_cleaned!$A$2:$A$10,B4891,mdr_rate_cleaned!$B$2:$B$10,"&lt;"&amp;C4891,mdr_rate_cleaned!$F$2:$F$10,"&gt;="&amp;C4891)</f>
        <v>1</v>
      </c>
      <c r="G4891">
        <v>1.7999999999999999E-2</v>
      </c>
      <c r="H4891">
        <v>15.26</v>
      </c>
      <c r="I4891" t="s">
        <v>15</v>
      </c>
      <c r="J4891" t="s">
        <v>15</v>
      </c>
      <c r="K4891">
        <v>2.75</v>
      </c>
      <c r="L4891">
        <v>0</v>
      </c>
    </row>
    <row r="4892" spans="1:12" x14ac:dyDescent="0.3">
      <c r="A4892" t="s">
        <v>4908</v>
      </c>
      <c r="B4892" t="s">
        <v>21</v>
      </c>
      <c r="C4892">
        <v>299</v>
      </c>
      <c r="D4892">
        <v>0</v>
      </c>
      <c r="E4892">
        <v>0</v>
      </c>
      <c r="F4892">
        <f>COUNTIFS(mdr_rate_cleaned!$A$2:$A$10,B4892,mdr_rate_cleaned!$B$2:$B$10,"&lt;"&amp;C4892,mdr_rate_cleaned!$F$2:$F$10,"&gt;="&amp;C4892)</f>
        <v>1</v>
      </c>
      <c r="G4892">
        <v>0</v>
      </c>
      <c r="H4892">
        <v>0</v>
      </c>
      <c r="I4892" t="s">
        <v>15</v>
      </c>
      <c r="J4892" t="s">
        <v>15</v>
      </c>
      <c r="K4892">
        <v>0</v>
      </c>
      <c r="L4892">
        <v>0</v>
      </c>
    </row>
    <row r="4893" spans="1:12" x14ac:dyDescent="0.3">
      <c r="A4893" t="s">
        <v>4909</v>
      </c>
      <c r="B4893" t="s">
        <v>21</v>
      </c>
      <c r="C4893">
        <v>1648</v>
      </c>
      <c r="D4893">
        <v>0</v>
      </c>
      <c r="E4893">
        <v>0</v>
      </c>
      <c r="F4893">
        <f>COUNTIFS(mdr_rate_cleaned!$A$2:$A$10,B4893,mdr_rate_cleaned!$B$2:$B$10,"&lt;"&amp;C4893,mdr_rate_cleaned!$F$2:$F$10,"&gt;="&amp;C4893)</f>
        <v>1</v>
      </c>
      <c r="G4893">
        <v>0</v>
      </c>
      <c r="H4893">
        <v>0</v>
      </c>
      <c r="I4893" t="s">
        <v>15</v>
      </c>
      <c r="J4893" t="s">
        <v>15</v>
      </c>
      <c r="K4893">
        <v>0</v>
      </c>
      <c r="L4893">
        <v>0</v>
      </c>
    </row>
    <row r="4894" spans="1:12" x14ac:dyDescent="0.3">
      <c r="A4894" t="s">
        <v>4910</v>
      </c>
      <c r="B4894" t="s">
        <v>39</v>
      </c>
      <c r="C4894">
        <v>7999</v>
      </c>
      <c r="D4894">
        <v>95.99</v>
      </c>
      <c r="E4894">
        <v>17.28</v>
      </c>
      <c r="F4894">
        <f>COUNTIFS(mdr_rate_cleaned!$A$2:$A$10,B4894,mdr_rate_cleaned!$B$2:$B$10,"&lt;"&amp;C4894,mdr_rate_cleaned!$F$2:$F$10,"&gt;="&amp;C4894)</f>
        <v>1</v>
      </c>
      <c r="G4894">
        <v>1.2E-2</v>
      </c>
      <c r="H4894">
        <v>95.99</v>
      </c>
      <c r="I4894" t="s">
        <v>15</v>
      </c>
      <c r="J4894" t="s">
        <v>15</v>
      </c>
      <c r="K4894">
        <v>17.28</v>
      </c>
      <c r="L4894">
        <v>0</v>
      </c>
    </row>
    <row r="4895" spans="1:12" x14ac:dyDescent="0.3">
      <c r="A4895" t="s">
        <v>4911</v>
      </c>
      <c r="B4895" t="s">
        <v>21</v>
      </c>
      <c r="C4895">
        <v>3598</v>
      </c>
      <c r="D4895">
        <v>10.79</v>
      </c>
      <c r="E4895">
        <v>1.94</v>
      </c>
      <c r="F4895">
        <f>COUNTIFS(mdr_rate_cleaned!$A$2:$A$10,B4895,mdr_rate_cleaned!$B$2:$B$10,"&lt;"&amp;C4895,mdr_rate_cleaned!$F$2:$F$10,"&gt;="&amp;C4895)</f>
        <v>1</v>
      </c>
      <c r="G4895">
        <v>3.0000000000000001E-3</v>
      </c>
      <c r="H4895">
        <v>10.79</v>
      </c>
      <c r="I4895" t="s">
        <v>15</v>
      </c>
      <c r="J4895" t="s">
        <v>15</v>
      </c>
      <c r="K4895">
        <v>1.94</v>
      </c>
      <c r="L4895">
        <v>0</v>
      </c>
    </row>
    <row r="4896" spans="1:12" x14ac:dyDescent="0.3">
      <c r="A4896" t="s">
        <v>4912</v>
      </c>
      <c r="B4896" t="s">
        <v>13</v>
      </c>
      <c r="C4896">
        <v>1499</v>
      </c>
      <c r="D4896">
        <v>28.48</v>
      </c>
      <c r="E4896">
        <v>5.13</v>
      </c>
      <c r="F4896">
        <f>COUNTIFS(mdr_rate_cleaned!$A$2:$A$10,B4896,mdr_rate_cleaned!$B$2:$B$10,"&lt;"&amp;C4896,mdr_rate_cleaned!$F$2:$F$10,"&gt;="&amp;C4896)</f>
        <v>1</v>
      </c>
      <c r="G4896">
        <v>1.9E-2</v>
      </c>
      <c r="H4896">
        <v>28.48</v>
      </c>
      <c r="I4896" t="s">
        <v>15</v>
      </c>
      <c r="J4896" t="s">
        <v>15</v>
      </c>
      <c r="K4896">
        <v>5.13</v>
      </c>
      <c r="L4896">
        <v>0</v>
      </c>
    </row>
    <row r="4897" spans="1:12" x14ac:dyDescent="0.3">
      <c r="A4897" t="s">
        <v>4913</v>
      </c>
      <c r="B4897" t="s">
        <v>21</v>
      </c>
      <c r="C4897">
        <v>4498</v>
      </c>
      <c r="D4897">
        <v>13.49</v>
      </c>
      <c r="E4897">
        <v>2.4300000000000002</v>
      </c>
      <c r="F4897">
        <f>COUNTIFS(mdr_rate_cleaned!$A$2:$A$10,B4897,mdr_rate_cleaned!$B$2:$B$10,"&lt;"&amp;C4897,mdr_rate_cleaned!$F$2:$F$10,"&gt;="&amp;C4897)</f>
        <v>1</v>
      </c>
      <c r="G4897">
        <v>3.0000000000000001E-3</v>
      </c>
      <c r="H4897">
        <v>13.49</v>
      </c>
      <c r="I4897" t="s">
        <v>15</v>
      </c>
      <c r="J4897" t="s">
        <v>15</v>
      </c>
      <c r="K4897">
        <v>2.4300000000000002</v>
      </c>
      <c r="L4897">
        <v>0</v>
      </c>
    </row>
    <row r="4898" spans="1:12" x14ac:dyDescent="0.3">
      <c r="A4898" t="s">
        <v>4914</v>
      </c>
      <c r="B4898" t="s">
        <v>21</v>
      </c>
      <c r="C4898">
        <v>349</v>
      </c>
      <c r="D4898">
        <v>0</v>
      </c>
      <c r="E4898">
        <v>0</v>
      </c>
      <c r="F4898">
        <f>COUNTIFS(mdr_rate_cleaned!$A$2:$A$10,B4898,mdr_rate_cleaned!$B$2:$B$10,"&lt;"&amp;C4898,mdr_rate_cleaned!$F$2:$F$10,"&gt;="&amp;C4898)</f>
        <v>1</v>
      </c>
      <c r="G4898">
        <v>0</v>
      </c>
      <c r="H4898">
        <v>0</v>
      </c>
      <c r="I4898" t="s">
        <v>15</v>
      </c>
      <c r="J4898" t="s">
        <v>15</v>
      </c>
      <c r="K4898">
        <v>0</v>
      </c>
      <c r="L4898">
        <v>0</v>
      </c>
    </row>
    <row r="4899" spans="1:12" x14ac:dyDescent="0.3">
      <c r="A4899" t="s">
        <v>4915</v>
      </c>
      <c r="B4899" t="s">
        <v>21</v>
      </c>
      <c r="C4899">
        <v>4999</v>
      </c>
      <c r="D4899">
        <v>15</v>
      </c>
      <c r="E4899">
        <v>2.7</v>
      </c>
      <c r="F4899">
        <f>COUNTIFS(mdr_rate_cleaned!$A$2:$A$10,B4899,mdr_rate_cleaned!$B$2:$B$10,"&lt;"&amp;C4899,mdr_rate_cleaned!$F$2:$F$10,"&gt;="&amp;C4899)</f>
        <v>1</v>
      </c>
      <c r="G4899">
        <v>3.0000000000000001E-3</v>
      </c>
      <c r="H4899">
        <v>15</v>
      </c>
      <c r="I4899" t="s">
        <v>15</v>
      </c>
      <c r="J4899" t="s">
        <v>15</v>
      </c>
      <c r="K4899">
        <v>2.7</v>
      </c>
      <c r="L4899">
        <v>0</v>
      </c>
    </row>
    <row r="4900" spans="1:12" x14ac:dyDescent="0.3">
      <c r="A4900" t="s">
        <v>4916</v>
      </c>
      <c r="B4900" t="s">
        <v>17</v>
      </c>
      <c r="C4900">
        <v>1299</v>
      </c>
      <c r="D4900">
        <v>23.38</v>
      </c>
      <c r="E4900">
        <v>4.21</v>
      </c>
      <c r="F4900">
        <f>COUNTIFS(mdr_rate_cleaned!$A$2:$A$10,B4900,mdr_rate_cleaned!$B$2:$B$10,"&lt;"&amp;C4900,mdr_rate_cleaned!$F$2:$F$10,"&gt;="&amp;C4900)</f>
        <v>1</v>
      </c>
      <c r="G4900">
        <v>1.7999999999999999E-2</v>
      </c>
      <c r="H4900">
        <v>23.38</v>
      </c>
      <c r="I4900" t="s">
        <v>15</v>
      </c>
      <c r="J4900" t="s">
        <v>15</v>
      </c>
      <c r="K4900">
        <v>4.21</v>
      </c>
      <c r="L4900">
        <v>0</v>
      </c>
    </row>
    <row r="4901" spans="1:12" x14ac:dyDescent="0.3">
      <c r="A4901" t="s">
        <v>4917</v>
      </c>
      <c r="B4901" t="s">
        <v>21</v>
      </c>
      <c r="C4901">
        <v>7297</v>
      </c>
      <c r="D4901">
        <v>21.89</v>
      </c>
      <c r="E4901">
        <v>3.94</v>
      </c>
      <c r="F4901">
        <f>COUNTIFS(mdr_rate_cleaned!$A$2:$A$10,B4901,mdr_rate_cleaned!$B$2:$B$10,"&lt;"&amp;C4901,mdr_rate_cleaned!$F$2:$F$10,"&gt;="&amp;C4901)</f>
        <v>1</v>
      </c>
      <c r="G4901">
        <v>3.0000000000000001E-3</v>
      </c>
      <c r="H4901">
        <v>21.89</v>
      </c>
      <c r="I4901" t="s">
        <v>15</v>
      </c>
      <c r="J4901" t="s">
        <v>15</v>
      </c>
      <c r="K4901">
        <v>3.94</v>
      </c>
      <c r="L4901">
        <v>0</v>
      </c>
    </row>
    <row r="4902" spans="1:12" x14ac:dyDescent="0.3">
      <c r="A4902" t="s">
        <v>4918</v>
      </c>
      <c r="B4902" t="s">
        <v>39</v>
      </c>
      <c r="C4902">
        <v>999</v>
      </c>
      <c r="D4902">
        <v>14.99</v>
      </c>
      <c r="E4902">
        <v>2.7</v>
      </c>
      <c r="F4902">
        <f>COUNTIFS(mdr_rate_cleaned!$A$2:$A$10,B4902,mdr_rate_cleaned!$B$2:$B$10,"&lt;"&amp;C4902,mdr_rate_cleaned!$F$2:$F$10,"&gt;="&amp;C4902)</f>
        <v>1</v>
      </c>
      <c r="G4902">
        <v>1.4999999999999999E-2</v>
      </c>
      <c r="H4902">
        <v>14.99</v>
      </c>
      <c r="I4902" t="s">
        <v>15</v>
      </c>
      <c r="J4902" t="s">
        <v>15</v>
      </c>
      <c r="K4902">
        <v>2.7</v>
      </c>
      <c r="L4902">
        <v>0</v>
      </c>
    </row>
    <row r="4903" spans="1:12" x14ac:dyDescent="0.3">
      <c r="A4903" t="s">
        <v>4919</v>
      </c>
      <c r="B4903" t="s">
        <v>13</v>
      </c>
      <c r="C4903">
        <v>4297</v>
      </c>
      <c r="D4903">
        <v>73.05</v>
      </c>
      <c r="E4903">
        <v>13.15</v>
      </c>
      <c r="F4903">
        <f>COUNTIFS(mdr_rate_cleaned!$A$2:$A$10,B4903,mdr_rate_cleaned!$B$2:$B$10,"&lt;"&amp;C4903,mdr_rate_cleaned!$F$2:$F$10,"&gt;="&amp;C4903)</f>
        <v>1</v>
      </c>
      <c r="G4903">
        <v>1.7000000000000001E-2</v>
      </c>
      <c r="H4903">
        <v>73.05</v>
      </c>
      <c r="I4903" t="s">
        <v>15</v>
      </c>
      <c r="J4903" t="s">
        <v>15</v>
      </c>
      <c r="K4903">
        <v>13.15</v>
      </c>
      <c r="L4903">
        <v>0</v>
      </c>
    </row>
    <row r="4904" spans="1:12" x14ac:dyDescent="0.3">
      <c r="A4904" t="s">
        <v>4920</v>
      </c>
      <c r="B4904" t="s">
        <v>21</v>
      </c>
      <c r="C4904">
        <v>349</v>
      </c>
      <c r="D4904">
        <v>0</v>
      </c>
      <c r="E4904">
        <v>0</v>
      </c>
      <c r="F4904">
        <f>COUNTIFS(mdr_rate_cleaned!$A$2:$A$10,B4904,mdr_rate_cleaned!$B$2:$B$10,"&lt;"&amp;C4904,mdr_rate_cleaned!$F$2:$F$10,"&gt;="&amp;C4904)</f>
        <v>1</v>
      </c>
      <c r="G4904">
        <v>0</v>
      </c>
      <c r="H4904">
        <v>0</v>
      </c>
      <c r="I4904" t="s">
        <v>15</v>
      </c>
      <c r="J4904" t="s">
        <v>15</v>
      </c>
      <c r="K4904">
        <v>0</v>
      </c>
      <c r="L4904">
        <v>0</v>
      </c>
    </row>
    <row r="4905" spans="1:12" x14ac:dyDescent="0.3">
      <c r="A4905" t="s">
        <v>4921</v>
      </c>
      <c r="B4905" t="s">
        <v>17</v>
      </c>
      <c r="C4905">
        <v>8598</v>
      </c>
      <c r="D4905">
        <v>137.57</v>
      </c>
      <c r="E4905">
        <v>24.76</v>
      </c>
      <c r="F4905">
        <f>COUNTIFS(mdr_rate_cleaned!$A$2:$A$10,B4905,mdr_rate_cleaned!$B$2:$B$10,"&lt;"&amp;C4905,mdr_rate_cleaned!$F$2:$F$10,"&gt;="&amp;C4905)</f>
        <v>1</v>
      </c>
      <c r="G4905">
        <v>1.6E-2</v>
      </c>
      <c r="H4905">
        <v>137.57</v>
      </c>
      <c r="I4905" t="s">
        <v>15</v>
      </c>
      <c r="J4905" t="s">
        <v>15</v>
      </c>
      <c r="K4905">
        <v>24.76</v>
      </c>
      <c r="L4905">
        <v>0</v>
      </c>
    </row>
    <row r="4906" spans="1:12" x14ac:dyDescent="0.3">
      <c r="A4906" t="s">
        <v>4922</v>
      </c>
      <c r="B4906" t="s">
        <v>17</v>
      </c>
      <c r="C4906">
        <v>1598</v>
      </c>
      <c r="D4906">
        <v>28.76</v>
      </c>
      <c r="E4906">
        <v>5.18</v>
      </c>
      <c r="F4906">
        <f>COUNTIFS(mdr_rate_cleaned!$A$2:$A$10,B4906,mdr_rate_cleaned!$B$2:$B$10,"&lt;"&amp;C4906,mdr_rate_cleaned!$F$2:$F$10,"&gt;="&amp;C4906)</f>
        <v>1</v>
      </c>
      <c r="G4906">
        <v>1.7999999999999999E-2</v>
      </c>
      <c r="H4906">
        <v>28.76</v>
      </c>
      <c r="I4906" t="s">
        <v>15</v>
      </c>
      <c r="J4906" t="s">
        <v>15</v>
      </c>
      <c r="K4906">
        <v>5.18</v>
      </c>
      <c r="L4906">
        <v>0</v>
      </c>
    </row>
    <row r="4907" spans="1:12" x14ac:dyDescent="0.3">
      <c r="A4907" t="s">
        <v>4923</v>
      </c>
      <c r="B4907" t="s">
        <v>21</v>
      </c>
      <c r="C4907">
        <v>1597</v>
      </c>
      <c r="D4907">
        <v>0</v>
      </c>
      <c r="E4907">
        <v>0</v>
      </c>
      <c r="F4907">
        <f>COUNTIFS(mdr_rate_cleaned!$A$2:$A$10,B4907,mdr_rate_cleaned!$B$2:$B$10,"&lt;"&amp;C4907,mdr_rate_cleaned!$F$2:$F$10,"&gt;="&amp;C4907)</f>
        <v>1</v>
      </c>
      <c r="G4907">
        <v>0</v>
      </c>
      <c r="H4907">
        <v>0</v>
      </c>
      <c r="I4907" t="s">
        <v>15</v>
      </c>
      <c r="J4907" t="s">
        <v>15</v>
      </c>
      <c r="K4907">
        <v>0</v>
      </c>
      <c r="L4907">
        <v>0</v>
      </c>
    </row>
    <row r="4908" spans="1:12" x14ac:dyDescent="0.3">
      <c r="A4908" t="s">
        <v>4924</v>
      </c>
      <c r="B4908" t="s">
        <v>21</v>
      </c>
      <c r="C4908">
        <v>3499</v>
      </c>
      <c r="D4908">
        <v>10.5</v>
      </c>
      <c r="E4908">
        <v>1.89</v>
      </c>
      <c r="F4908">
        <f>COUNTIFS(mdr_rate_cleaned!$A$2:$A$10,B4908,mdr_rate_cleaned!$B$2:$B$10,"&lt;"&amp;C4908,mdr_rate_cleaned!$F$2:$F$10,"&gt;="&amp;C4908)</f>
        <v>1</v>
      </c>
      <c r="G4908">
        <v>3.0000000000000001E-3</v>
      </c>
      <c r="H4908">
        <v>10.5</v>
      </c>
      <c r="I4908" t="s">
        <v>15</v>
      </c>
      <c r="J4908" t="s">
        <v>15</v>
      </c>
      <c r="K4908">
        <v>1.89</v>
      </c>
      <c r="L4908">
        <v>0</v>
      </c>
    </row>
    <row r="4909" spans="1:12" x14ac:dyDescent="0.3">
      <c r="A4909" t="s">
        <v>4925</v>
      </c>
      <c r="B4909" t="s">
        <v>13</v>
      </c>
      <c r="C4909">
        <v>799</v>
      </c>
      <c r="D4909">
        <v>15.18</v>
      </c>
      <c r="E4909">
        <v>2.73</v>
      </c>
      <c r="F4909">
        <f>COUNTIFS(mdr_rate_cleaned!$A$2:$A$10,B4909,mdr_rate_cleaned!$B$2:$B$10,"&lt;"&amp;C4909,mdr_rate_cleaned!$F$2:$F$10,"&gt;="&amp;C4909)</f>
        <v>1</v>
      </c>
      <c r="G4909">
        <v>1.9E-2</v>
      </c>
      <c r="H4909">
        <v>15.18</v>
      </c>
      <c r="I4909" t="s">
        <v>15</v>
      </c>
      <c r="J4909" t="s">
        <v>15</v>
      </c>
      <c r="K4909">
        <v>2.73</v>
      </c>
      <c r="L4909">
        <v>0</v>
      </c>
    </row>
    <row r="4910" spans="1:12" x14ac:dyDescent="0.3">
      <c r="A4910" t="s">
        <v>4926</v>
      </c>
      <c r="B4910" t="s">
        <v>17</v>
      </c>
      <c r="C4910">
        <v>1499</v>
      </c>
      <c r="D4910">
        <v>26.98</v>
      </c>
      <c r="E4910">
        <v>4.8600000000000003</v>
      </c>
      <c r="F4910">
        <f>COUNTIFS(mdr_rate_cleaned!$A$2:$A$10,B4910,mdr_rate_cleaned!$B$2:$B$10,"&lt;"&amp;C4910,mdr_rate_cleaned!$F$2:$F$10,"&gt;="&amp;C4910)</f>
        <v>1</v>
      </c>
      <c r="G4910">
        <v>1.7999999999999999E-2</v>
      </c>
      <c r="H4910">
        <v>26.98</v>
      </c>
      <c r="I4910" t="s">
        <v>15</v>
      </c>
      <c r="J4910" t="s">
        <v>15</v>
      </c>
      <c r="K4910">
        <v>4.8600000000000003</v>
      </c>
      <c r="L4910">
        <v>0</v>
      </c>
    </row>
    <row r="4911" spans="1:12" x14ac:dyDescent="0.3">
      <c r="A4911" t="s">
        <v>4927</v>
      </c>
      <c r="B4911" t="s">
        <v>21</v>
      </c>
      <c r="C4911">
        <v>2499</v>
      </c>
      <c r="D4911">
        <v>7.5</v>
      </c>
      <c r="E4911">
        <v>1.35</v>
      </c>
      <c r="F4911">
        <f>COUNTIFS(mdr_rate_cleaned!$A$2:$A$10,B4911,mdr_rate_cleaned!$B$2:$B$10,"&lt;"&amp;C4911,mdr_rate_cleaned!$F$2:$F$10,"&gt;="&amp;C4911)</f>
        <v>1</v>
      </c>
      <c r="G4911">
        <v>3.0000000000000001E-3</v>
      </c>
      <c r="H4911">
        <v>7.5</v>
      </c>
      <c r="I4911" t="s">
        <v>15</v>
      </c>
      <c r="J4911" t="s">
        <v>15</v>
      </c>
      <c r="K4911">
        <v>1.35</v>
      </c>
      <c r="L4911">
        <v>0</v>
      </c>
    </row>
    <row r="4912" spans="1:12" x14ac:dyDescent="0.3">
      <c r="A4912" t="s">
        <v>4928</v>
      </c>
      <c r="B4912" t="s">
        <v>17</v>
      </c>
      <c r="C4912">
        <v>349</v>
      </c>
      <c r="D4912">
        <v>6.28</v>
      </c>
      <c r="E4912">
        <v>1.1299999999999999</v>
      </c>
      <c r="F4912">
        <f>COUNTIFS(mdr_rate_cleaned!$A$2:$A$10,B4912,mdr_rate_cleaned!$B$2:$B$10,"&lt;"&amp;C4912,mdr_rate_cleaned!$F$2:$F$10,"&gt;="&amp;C4912)</f>
        <v>1</v>
      </c>
      <c r="G4912">
        <v>1.7999999999999999E-2</v>
      </c>
      <c r="H4912">
        <v>6.28</v>
      </c>
      <c r="I4912" t="s">
        <v>15</v>
      </c>
      <c r="J4912" t="s">
        <v>15</v>
      </c>
      <c r="K4912">
        <v>1.1299999999999999</v>
      </c>
      <c r="L4912">
        <v>0</v>
      </c>
    </row>
    <row r="4913" spans="1:12" x14ac:dyDescent="0.3">
      <c r="A4913" t="s">
        <v>4929</v>
      </c>
      <c r="B4913" t="s">
        <v>21</v>
      </c>
      <c r="C4913">
        <v>3098</v>
      </c>
      <c r="D4913">
        <v>9.2899999999999991</v>
      </c>
      <c r="E4913">
        <v>1.67</v>
      </c>
      <c r="F4913">
        <f>COUNTIFS(mdr_rate_cleaned!$A$2:$A$10,B4913,mdr_rate_cleaned!$B$2:$B$10,"&lt;"&amp;C4913,mdr_rate_cleaned!$F$2:$F$10,"&gt;="&amp;C4913)</f>
        <v>1</v>
      </c>
      <c r="G4913">
        <v>3.0000000000000001E-3</v>
      </c>
      <c r="H4913">
        <v>9.2899999999999991</v>
      </c>
      <c r="I4913" t="s">
        <v>15</v>
      </c>
      <c r="J4913" t="s">
        <v>15</v>
      </c>
      <c r="K4913">
        <v>1.67</v>
      </c>
      <c r="L4913">
        <v>0</v>
      </c>
    </row>
    <row r="4914" spans="1:12" x14ac:dyDescent="0.3">
      <c r="A4914" t="s">
        <v>4930</v>
      </c>
      <c r="B4914" t="s">
        <v>21</v>
      </c>
      <c r="C4914">
        <v>299</v>
      </c>
      <c r="D4914">
        <v>0</v>
      </c>
      <c r="E4914">
        <v>0</v>
      </c>
      <c r="F4914">
        <f>COUNTIFS(mdr_rate_cleaned!$A$2:$A$10,B4914,mdr_rate_cleaned!$B$2:$B$10,"&lt;"&amp;C4914,mdr_rate_cleaned!$F$2:$F$10,"&gt;="&amp;C4914)</f>
        <v>1</v>
      </c>
      <c r="G4914">
        <v>0</v>
      </c>
      <c r="H4914">
        <v>0</v>
      </c>
      <c r="I4914" t="s">
        <v>15</v>
      </c>
      <c r="J4914" t="s">
        <v>15</v>
      </c>
      <c r="K4914">
        <v>0</v>
      </c>
      <c r="L4914">
        <v>0</v>
      </c>
    </row>
    <row r="4915" spans="1:12" x14ac:dyDescent="0.3">
      <c r="A4915" t="s">
        <v>4931</v>
      </c>
      <c r="B4915" t="s">
        <v>39</v>
      </c>
      <c r="C4915">
        <v>999</v>
      </c>
      <c r="D4915">
        <v>14.99</v>
      </c>
      <c r="E4915">
        <v>2.7</v>
      </c>
      <c r="F4915">
        <f>COUNTIFS(mdr_rate_cleaned!$A$2:$A$10,B4915,mdr_rate_cleaned!$B$2:$B$10,"&lt;"&amp;C4915,mdr_rate_cleaned!$F$2:$F$10,"&gt;="&amp;C4915)</f>
        <v>1</v>
      </c>
      <c r="G4915">
        <v>1.4999999999999999E-2</v>
      </c>
      <c r="H4915">
        <v>14.99</v>
      </c>
      <c r="I4915" t="s">
        <v>15</v>
      </c>
      <c r="J4915" t="s">
        <v>15</v>
      </c>
      <c r="K4915">
        <v>2.7</v>
      </c>
      <c r="L4915">
        <v>0</v>
      </c>
    </row>
    <row r="4916" spans="1:12" x14ac:dyDescent="0.3">
      <c r="A4916" t="s">
        <v>4932</v>
      </c>
      <c r="B4916" t="s">
        <v>21</v>
      </c>
      <c r="C4916">
        <v>499</v>
      </c>
      <c r="D4916">
        <v>0</v>
      </c>
      <c r="E4916">
        <v>0</v>
      </c>
      <c r="F4916">
        <f>COUNTIFS(mdr_rate_cleaned!$A$2:$A$10,B4916,mdr_rate_cleaned!$B$2:$B$10,"&lt;"&amp;C4916,mdr_rate_cleaned!$F$2:$F$10,"&gt;="&amp;C4916)</f>
        <v>1</v>
      </c>
      <c r="G4916">
        <v>0</v>
      </c>
      <c r="H4916">
        <v>0</v>
      </c>
      <c r="I4916" t="s">
        <v>15</v>
      </c>
      <c r="J4916" t="s">
        <v>15</v>
      </c>
      <c r="K4916">
        <v>0</v>
      </c>
      <c r="L4916">
        <v>0</v>
      </c>
    </row>
    <row r="4917" spans="1:12" x14ac:dyDescent="0.3">
      <c r="A4917" t="s">
        <v>4933</v>
      </c>
      <c r="B4917" t="s">
        <v>13</v>
      </c>
      <c r="C4917">
        <v>8498</v>
      </c>
      <c r="D4917">
        <v>144.47</v>
      </c>
      <c r="E4917">
        <v>26</v>
      </c>
      <c r="F4917">
        <f>COUNTIFS(mdr_rate_cleaned!$A$2:$A$10,B4917,mdr_rate_cleaned!$B$2:$B$10,"&lt;"&amp;C4917,mdr_rate_cleaned!$F$2:$F$10,"&gt;="&amp;C4917)</f>
        <v>1</v>
      </c>
      <c r="G4917">
        <v>1.7000000000000001E-2</v>
      </c>
      <c r="H4917">
        <v>144.47</v>
      </c>
      <c r="I4917" t="s">
        <v>15</v>
      </c>
      <c r="J4917" t="s">
        <v>15</v>
      </c>
      <c r="K4917">
        <v>26</v>
      </c>
      <c r="L4917">
        <v>0</v>
      </c>
    </row>
    <row r="4918" spans="1:12" x14ac:dyDescent="0.3">
      <c r="A4918" t="s">
        <v>4934</v>
      </c>
      <c r="B4918" t="s">
        <v>13</v>
      </c>
      <c r="C4918">
        <v>1747</v>
      </c>
      <c r="D4918">
        <v>33.19</v>
      </c>
      <c r="E4918">
        <v>5.97</v>
      </c>
      <c r="F4918">
        <f>COUNTIFS(mdr_rate_cleaned!$A$2:$A$10,B4918,mdr_rate_cleaned!$B$2:$B$10,"&lt;"&amp;C4918,mdr_rate_cleaned!$F$2:$F$10,"&gt;="&amp;C4918)</f>
        <v>1</v>
      </c>
      <c r="G4918">
        <v>1.9E-2</v>
      </c>
      <c r="H4918">
        <v>33.19</v>
      </c>
      <c r="I4918" t="s">
        <v>15</v>
      </c>
      <c r="J4918" t="s">
        <v>15</v>
      </c>
      <c r="K4918">
        <v>5.97</v>
      </c>
      <c r="L4918">
        <v>0</v>
      </c>
    </row>
    <row r="4919" spans="1:12" x14ac:dyDescent="0.3">
      <c r="A4919" t="s">
        <v>4935</v>
      </c>
      <c r="B4919" t="s">
        <v>17</v>
      </c>
      <c r="C4919">
        <v>999</v>
      </c>
      <c r="D4919">
        <v>17.98</v>
      </c>
      <c r="E4919">
        <v>3.24</v>
      </c>
      <c r="F4919">
        <f>COUNTIFS(mdr_rate_cleaned!$A$2:$A$10,B4919,mdr_rate_cleaned!$B$2:$B$10,"&lt;"&amp;C4919,mdr_rate_cleaned!$F$2:$F$10,"&gt;="&amp;C4919)</f>
        <v>1</v>
      </c>
      <c r="G4919">
        <v>1.7999999999999999E-2</v>
      </c>
      <c r="H4919">
        <v>17.98</v>
      </c>
      <c r="I4919" t="s">
        <v>15</v>
      </c>
      <c r="J4919" t="s">
        <v>15</v>
      </c>
      <c r="K4919">
        <v>3.24</v>
      </c>
      <c r="L4919">
        <v>0</v>
      </c>
    </row>
    <row r="4920" spans="1:12" x14ac:dyDescent="0.3">
      <c r="A4920" t="s">
        <v>4936</v>
      </c>
      <c r="B4920" t="s">
        <v>21</v>
      </c>
      <c r="C4920">
        <v>16297</v>
      </c>
      <c r="D4920">
        <v>48.89</v>
      </c>
      <c r="E4920">
        <v>8.8000000000000007</v>
      </c>
      <c r="F4920">
        <f>COUNTIFS(mdr_rate_cleaned!$A$2:$A$10,B4920,mdr_rate_cleaned!$B$2:$B$10,"&lt;"&amp;C4920,mdr_rate_cleaned!$F$2:$F$10,"&gt;="&amp;C4920)</f>
        <v>1</v>
      </c>
      <c r="G4920">
        <v>3.0000000000000001E-3</v>
      </c>
      <c r="H4920">
        <v>48.89</v>
      </c>
      <c r="I4920" t="s">
        <v>15</v>
      </c>
      <c r="J4920" t="s">
        <v>15</v>
      </c>
      <c r="K4920">
        <v>8.8000000000000007</v>
      </c>
      <c r="L4920">
        <v>0</v>
      </c>
    </row>
    <row r="4921" spans="1:12" x14ac:dyDescent="0.3">
      <c r="A4921" t="s">
        <v>4937</v>
      </c>
      <c r="B4921" t="s">
        <v>21</v>
      </c>
      <c r="C4921">
        <v>2598</v>
      </c>
      <c r="D4921">
        <v>7.79</v>
      </c>
      <c r="E4921">
        <v>1.4</v>
      </c>
      <c r="F4921">
        <f>COUNTIFS(mdr_rate_cleaned!$A$2:$A$10,B4921,mdr_rate_cleaned!$B$2:$B$10,"&lt;"&amp;C4921,mdr_rate_cleaned!$F$2:$F$10,"&gt;="&amp;C4921)</f>
        <v>1</v>
      </c>
      <c r="G4921">
        <v>3.0000000000000001E-3</v>
      </c>
      <c r="H4921">
        <v>7.79</v>
      </c>
      <c r="I4921" t="s">
        <v>15</v>
      </c>
      <c r="J4921" t="s">
        <v>15</v>
      </c>
      <c r="K4921">
        <v>1.4</v>
      </c>
      <c r="L4921">
        <v>0</v>
      </c>
    </row>
    <row r="4922" spans="1:12" x14ac:dyDescent="0.3">
      <c r="A4922" t="s">
        <v>4938</v>
      </c>
      <c r="B4922" t="s">
        <v>39</v>
      </c>
      <c r="C4922">
        <v>4798</v>
      </c>
      <c r="D4922">
        <v>57.58</v>
      </c>
      <c r="E4922">
        <v>10.36</v>
      </c>
      <c r="F4922">
        <f>COUNTIFS(mdr_rate_cleaned!$A$2:$A$10,B4922,mdr_rate_cleaned!$B$2:$B$10,"&lt;"&amp;C4922,mdr_rate_cleaned!$F$2:$F$10,"&gt;="&amp;C4922)</f>
        <v>1</v>
      </c>
      <c r="G4922">
        <v>1.2E-2</v>
      </c>
      <c r="H4922">
        <v>57.58</v>
      </c>
      <c r="I4922" t="s">
        <v>15</v>
      </c>
      <c r="J4922" t="s">
        <v>15</v>
      </c>
      <c r="K4922">
        <v>10.36</v>
      </c>
      <c r="L4922">
        <v>0</v>
      </c>
    </row>
    <row r="4923" spans="1:12" x14ac:dyDescent="0.3">
      <c r="A4923" t="s">
        <v>4939</v>
      </c>
      <c r="B4923" t="s">
        <v>13</v>
      </c>
      <c r="C4923">
        <v>499</v>
      </c>
      <c r="D4923">
        <v>9.48</v>
      </c>
      <c r="E4923">
        <v>1.71</v>
      </c>
      <c r="F4923">
        <f>COUNTIFS(mdr_rate_cleaned!$A$2:$A$10,B4923,mdr_rate_cleaned!$B$2:$B$10,"&lt;"&amp;C4923,mdr_rate_cleaned!$F$2:$F$10,"&gt;="&amp;C4923)</f>
        <v>1</v>
      </c>
      <c r="G4923">
        <v>1.9E-2</v>
      </c>
      <c r="H4923">
        <v>9.48</v>
      </c>
      <c r="I4923" t="s">
        <v>15</v>
      </c>
      <c r="J4923" t="s">
        <v>15</v>
      </c>
      <c r="K4923">
        <v>1.71</v>
      </c>
      <c r="L4923">
        <v>0</v>
      </c>
    </row>
    <row r="4924" spans="1:12" x14ac:dyDescent="0.3">
      <c r="A4924" t="s">
        <v>4940</v>
      </c>
      <c r="B4924" t="s">
        <v>21</v>
      </c>
      <c r="C4924">
        <v>7999</v>
      </c>
      <c r="D4924">
        <v>24</v>
      </c>
      <c r="E4924">
        <v>4.32</v>
      </c>
      <c r="F4924">
        <f>COUNTIFS(mdr_rate_cleaned!$A$2:$A$10,B4924,mdr_rate_cleaned!$B$2:$B$10,"&lt;"&amp;C4924,mdr_rate_cleaned!$F$2:$F$10,"&gt;="&amp;C4924)</f>
        <v>1</v>
      </c>
      <c r="G4924">
        <v>3.0000000000000001E-3</v>
      </c>
      <c r="H4924">
        <v>24</v>
      </c>
      <c r="I4924" t="s">
        <v>15</v>
      </c>
      <c r="J4924" t="s">
        <v>15</v>
      </c>
      <c r="K4924">
        <v>4.32</v>
      </c>
      <c r="L4924">
        <v>0</v>
      </c>
    </row>
    <row r="4925" spans="1:12" x14ac:dyDescent="0.3">
      <c r="A4925" t="s">
        <v>4941</v>
      </c>
      <c r="B4925" t="s">
        <v>21</v>
      </c>
      <c r="C4925">
        <v>599</v>
      </c>
      <c r="D4925">
        <v>0</v>
      </c>
      <c r="E4925">
        <v>0</v>
      </c>
      <c r="F4925">
        <f>COUNTIFS(mdr_rate_cleaned!$A$2:$A$10,B4925,mdr_rate_cleaned!$B$2:$B$10,"&lt;"&amp;C4925,mdr_rate_cleaned!$F$2:$F$10,"&gt;="&amp;C4925)</f>
        <v>1</v>
      </c>
      <c r="G4925">
        <v>0</v>
      </c>
      <c r="H4925">
        <v>0</v>
      </c>
      <c r="I4925" t="s">
        <v>15</v>
      </c>
      <c r="J4925" t="s">
        <v>15</v>
      </c>
      <c r="K4925">
        <v>0</v>
      </c>
      <c r="L4925">
        <v>0</v>
      </c>
    </row>
    <row r="4926" spans="1:12" x14ac:dyDescent="0.3">
      <c r="A4926" t="s">
        <v>4942</v>
      </c>
      <c r="B4926" t="s">
        <v>21</v>
      </c>
      <c r="C4926">
        <v>7999</v>
      </c>
      <c r="D4926">
        <v>24</v>
      </c>
      <c r="E4926">
        <v>4.32</v>
      </c>
      <c r="F4926">
        <f>COUNTIFS(mdr_rate_cleaned!$A$2:$A$10,B4926,mdr_rate_cleaned!$B$2:$B$10,"&lt;"&amp;C4926,mdr_rate_cleaned!$F$2:$F$10,"&gt;="&amp;C4926)</f>
        <v>1</v>
      </c>
      <c r="G4926">
        <v>3.0000000000000001E-3</v>
      </c>
      <c r="H4926">
        <v>24</v>
      </c>
      <c r="I4926" t="s">
        <v>15</v>
      </c>
      <c r="J4926" t="s">
        <v>15</v>
      </c>
      <c r="K4926">
        <v>4.32</v>
      </c>
      <c r="L4926">
        <v>0</v>
      </c>
    </row>
    <row r="4927" spans="1:12" x14ac:dyDescent="0.3">
      <c r="A4927" t="s">
        <v>4943</v>
      </c>
      <c r="B4927" t="s">
        <v>17</v>
      </c>
      <c r="C4927">
        <v>4999</v>
      </c>
      <c r="D4927">
        <v>79.98</v>
      </c>
      <c r="E4927">
        <v>14.4</v>
      </c>
      <c r="F4927">
        <f>COUNTIFS(mdr_rate_cleaned!$A$2:$A$10,B4927,mdr_rate_cleaned!$B$2:$B$10,"&lt;"&amp;C4927,mdr_rate_cleaned!$F$2:$F$10,"&gt;="&amp;C4927)</f>
        <v>1</v>
      </c>
      <c r="G4927">
        <v>1.6E-2</v>
      </c>
      <c r="H4927">
        <v>79.98</v>
      </c>
      <c r="I4927" t="s">
        <v>15</v>
      </c>
      <c r="J4927" t="s">
        <v>15</v>
      </c>
      <c r="K4927">
        <v>14.4</v>
      </c>
      <c r="L4927">
        <v>0</v>
      </c>
    </row>
    <row r="4928" spans="1:12" x14ac:dyDescent="0.3">
      <c r="A4928" t="s">
        <v>4944</v>
      </c>
      <c r="B4928" t="s">
        <v>17</v>
      </c>
      <c r="C4928">
        <v>1499</v>
      </c>
      <c r="D4928">
        <v>26.98</v>
      </c>
      <c r="E4928">
        <v>4.8600000000000003</v>
      </c>
      <c r="F4928">
        <f>COUNTIFS(mdr_rate_cleaned!$A$2:$A$10,B4928,mdr_rate_cleaned!$B$2:$B$10,"&lt;"&amp;C4928,mdr_rate_cleaned!$F$2:$F$10,"&gt;="&amp;C4928)</f>
        <v>1</v>
      </c>
      <c r="G4928">
        <v>1.7999999999999999E-2</v>
      </c>
      <c r="H4928">
        <v>26.98</v>
      </c>
      <c r="I4928" t="s">
        <v>15</v>
      </c>
      <c r="J4928" t="s">
        <v>15</v>
      </c>
      <c r="K4928">
        <v>4.8600000000000003</v>
      </c>
      <c r="L4928">
        <v>0</v>
      </c>
    </row>
    <row r="4929" spans="1:12" x14ac:dyDescent="0.3">
      <c r="A4929" t="s">
        <v>4945</v>
      </c>
      <c r="B4929" t="s">
        <v>13</v>
      </c>
      <c r="C4929">
        <v>9498</v>
      </c>
      <c r="D4929">
        <v>161.47</v>
      </c>
      <c r="E4929">
        <v>29.06</v>
      </c>
      <c r="F4929">
        <f>COUNTIFS(mdr_rate_cleaned!$A$2:$A$10,B4929,mdr_rate_cleaned!$B$2:$B$10,"&lt;"&amp;C4929,mdr_rate_cleaned!$F$2:$F$10,"&gt;="&amp;C4929)</f>
        <v>1</v>
      </c>
      <c r="G4929">
        <v>1.7000000000000001E-2</v>
      </c>
      <c r="H4929">
        <v>161.47</v>
      </c>
      <c r="I4929" t="s">
        <v>15</v>
      </c>
      <c r="J4929" t="s">
        <v>15</v>
      </c>
      <c r="K4929">
        <v>29.06</v>
      </c>
      <c r="L4929">
        <v>0</v>
      </c>
    </row>
    <row r="4930" spans="1:12" x14ac:dyDescent="0.3">
      <c r="A4930" t="s">
        <v>4946</v>
      </c>
      <c r="B4930" t="s">
        <v>39</v>
      </c>
      <c r="C4930">
        <v>7797</v>
      </c>
      <c r="D4930">
        <v>93.56</v>
      </c>
      <c r="E4930">
        <v>16.84</v>
      </c>
      <c r="F4930">
        <f>COUNTIFS(mdr_rate_cleaned!$A$2:$A$10,B4930,mdr_rate_cleaned!$B$2:$B$10,"&lt;"&amp;C4930,mdr_rate_cleaned!$F$2:$F$10,"&gt;="&amp;C4930)</f>
        <v>1</v>
      </c>
      <c r="G4930">
        <v>1.2E-2</v>
      </c>
      <c r="H4930">
        <v>93.56</v>
      </c>
      <c r="I4930" t="s">
        <v>15</v>
      </c>
      <c r="J4930" t="s">
        <v>15</v>
      </c>
      <c r="K4930">
        <v>16.84</v>
      </c>
      <c r="L4930">
        <v>0</v>
      </c>
    </row>
    <row r="4931" spans="1:12" x14ac:dyDescent="0.3">
      <c r="A4931" t="s">
        <v>4947</v>
      </c>
      <c r="B4931" t="s">
        <v>39</v>
      </c>
      <c r="C4931">
        <v>2999</v>
      </c>
      <c r="D4931">
        <v>35.99</v>
      </c>
      <c r="E4931">
        <v>6.48</v>
      </c>
      <c r="F4931">
        <f>COUNTIFS(mdr_rate_cleaned!$A$2:$A$10,B4931,mdr_rate_cleaned!$B$2:$B$10,"&lt;"&amp;C4931,mdr_rate_cleaned!$F$2:$F$10,"&gt;="&amp;C4931)</f>
        <v>1</v>
      </c>
      <c r="G4931">
        <v>1.2E-2</v>
      </c>
      <c r="H4931">
        <v>35.99</v>
      </c>
      <c r="I4931" t="s">
        <v>15</v>
      </c>
      <c r="J4931" t="s">
        <v>15</v>
      </c>
      <c r="K4931">
        <v>6.48</v>
      </c>
      <c r="L4931">
        <v>0</v>
      </c>
    </row>
    <row r="4932" spans="1:12" x14ac:dyDescent="0.3">
      <c r="A4932" t="s">
        <v>4948</v>
      </c>
      <c r="B4932" t="s">
        <v>21</v>
      </c>
      <c r="C4932">
        <v>4999</v>
      </c>
      <c r="D4932">
        <v>15</v>
      </c>
      <c r="E4932">
        <v>2.7</v>
      </c>
      <c r="F4932">
        <f>COUNTIFS(mdr_rate_cleaned!$A$2:$A$10,B4932,mdr_rate_cleaned!$B$2:$B$10,"&lt;"&amp;C4932,mdr_rate_cleaned!$F$2:$F$10,"&gt;="&amp;C4932)</f>
        <v>1</v>
      </c>
      <c r="G4932">
        <v>3.0000000000000001E-3</v>
      </c>
      <c r="H4932">
        <v>15</v>
      </c>
      <c r="I4932" t="s">
        <v>15</v>
      </c>
      <c r="J4932" t="s">
        <v>15</v>
      </c>
      <c r="K4932">
        <v>2.7</v>
      </c>
      <c r="L4932">
        <v>0</v>
      </c>
    </row>
    <row r="4933" spans="1:12" x14ac:dyDescent="0.3">
      <c r="A4933" t="s">
        <v>4949</v>
      </c>
      <c r="B4933" t="s">
        <v>17</v>
      </c>
      <c r="C4933">
        <v>5347</v>
      </c>
      <c r="D4933">
        <v>85.55</v>
      </c>
      <c r="E4933">
        <v>15.4</v>
      </c>
      <c r="F4933">
        <f>COUNTIFS(mdr_rate_cleaned!$A$2:$A$10,B4933,mdr_rate_cleaned!$B$2:$B$10,"&lt;"&amp;C4933,mdr_rate_cleaned!$F$2:$F$10,"&gt;="&amp;C4933)</f>
        <v>1</v>
      </c>
      <c r="G4933">
        <v>1.6E-2</v>
      </c>
      <c r="H4933">
        <v>85.55</v>
      </c>
      <c r="I4933" t="s">
        <v>15</v>
      </c>
      <c r="J4933" t="s">
        <v>15</v>
      </c>
      <c r="K4933">
        <v>15.4</v>
      </c>
      <c r="L4933">
        <v>0</v>
      </c>
    </row>
    <row r="4934" spans="1:12" x14ac:dyDescent="0.3">
      <c r="A4934" t="s">
        <v>4950</v>
      </c>
      <c r="B4934" t="s">
        <v>17</v>
      </c>
      <c r="C4934">
        <v>1498</v>
      </c>
      <c r="D4934">
        <v>26.96</v>
      </c>
      <c r="E4934">
        <v>4.8499999999999996</v>
      </c>
      <c r="F4934">
        <f>COUNTIFS(mdr_rate_cleaned!$A$2:$A$10,B4934,mdr_rate_cleaned!$B$2:$B$10,"&lt;"&amp;C4934,mdr_rate_cleaned!$F$2:$F$10,"&gt;="&amp;C4934)</f>
        <v>1</v>
      </c>
      <c r="G4934">
        <v>1.7999999999999999E-2</v>
      </c>
      <c r="H4934">
        <v>26.96</v>
      </c>
      <c r="I4934" t="s">
        <v>15</v>
      </c>
      <c r="J4934" t="s">
        <v>15</v>
      </c>
      <c r="K4934">
        <v>4.8499999999999996</v>
      </c>
      <c r="L4934">
        <v>0</v>
      </c>
    </row>
    <row r="4935" spans="1:12" x14ac:dyDescent="0.3">
      <c r="A4935" t="s">
        <v>4951</v>
      </c>
      <c r="B4935" t="s">
        <v>17</v>
      </c>
      <c r="C4935">
        <v>499</v>
      </c>
      <c r="D4935">
        <v>8.98</v>
      </c>
      <c r="E4935">
        <v>1.62</v>
      </c>
      <c r="F4935">
        <f>COUNTIFS(mdr_rate_cleaned!$A$2:$A$10,B4935,mdr_rate_cleaned!$B$2:$B$10,"&lt;"&amp;C4935,mdr_rate_cleaned!$F$2:$F$10,"&gt;="&amp;C4935)</f>
        <v>1</v>
      </c>
      <c r="G4935">
        <v>1.7999999999999999E-2</v>
      </c>
      <c r="H4935">
        <v>8.98</v>
      </c>
      <c r="I4935" t="s">
        <v>15</v>
      </c>
      <c r="J4935" t="s">
        <v>15</v>
      </c>
      <c r="K4935">
        <v>1.62</v>
      </c>
      <c r="L4935">
        <v>0</v>
      </c>
    </row>
    <row r="4936" spans="1:12" x14ac:dyDescent="0.3">
      <c r="A4936" t="s">
        <v>4952</v>
      </c>
      <c r="B4936" t="s">
        <v>21</v>
      </c>
      <c r="C4936">
        <v>11498</v>
      </c>
      <c r="D4936">
        <v>34.49</v>
      </c>
      <c r="E4936">
        <v>6.21</v>
      </c>
      <c r="F4936">
        <f>COUNTIFS(mdr_rate_cleaned!$A$2:$A$10,B4936,mdr_rate_cleaned!$B$2:$B$10,"&lt;"&amp;C4936,mdr_rate_cleaned!$F$2:$F$10,"&gt;="&amp;C4936)</f>
        <v>1</v>
      </c>
      <c r="G4936">
        <v>3.0000000000000001E-3</v>
      </c>
      <c r="H4936">
        <v>34.49</v>
      </c>
      <c r="I4936" t="s">
        <v>15</v>
      </c>
      <c r="J4936" t="s">
        <v>15</v>
      </c>
      <c r="K4936">
        <v>6.21</v>
      </c>
      <c r="L4936">
        <v>0</v>
      </c>
    </row>
    <row r="4937" spans="1:12" x14ac:dyDescent="0.3">
      <c r="A4937" t="s">
        <v>4953</v>
      </c>
      <c r="B4937" t="s">
        <v>17</v>
      </c>
      <c r="C4937">
        <v>8297</v>
      </c>
      <c r="D4937">
        <v>132.75</v>
      </c>
      <c r="E4937">
        <v>23.9</v>
      </c>
      <c r="F4937">
        <f>COUNTIFS(mdr_rate_cleaned!$A$2:$A$10,B4937,mdr_rate_cleaned!$B$2:$B$10,"&lt;"&amp;C4937,mdr_rate_cleaned!$F$2:$F$10,"&gt;="&amp;C4937)</f>
        <v>1</v>
      </c>
      <c r="G4937">
        <v>1.6E-2</v>
      </c>
      <c r="H4937">
        <v>132.75</v>
      </c>
      <c r="I4937" t="s">
        <v>15</v>
      </c>
      <c r="J4937" t="s">
        <v>15</v>
      </c>
      <c r="K4937">
        <v>23.9</v>
      </c>
      <c r="L4937">
        <v>0</v>
      </c>
    </row>
    <row r="4938" spans="1:12" x14ac:dyDescent="0.3">
      <c r="A4938" t="s">
        <v>4954</v>
      </c>
      <c r="B4938" t="s">
        <v>21</v>
      </c>
      <c r="C4938">
        <v>3798</v>
      </c>
      <c r="D4938">
        <v>11.39</v>
      </c>
      <c r="E4938">
        <v>2.0499999999999998</v>
      </c>
      <c r="F4938">
        <f>COUNTIFS(mdr_rate_cleaned!$A$2:$A$10,B4938,mdr_rate_cleaned!$B$2:$B$10,"&lt;"&amp;C4938,mdr_rate_cleaned!$F$2:$F$10,"&gt;="&amp;C4938)</f>
        <v>1</v>
      </c>
      <c r="G4938">
        <v>3.0000000000000001E-3</v>
      </c>
      <c r="H4938">
        <v>11.39</v>
      </c>
      <c r="I4938" t="s">
        <v>15</v>
      </c>
      <c r="J4938" t="s">
        <v>15</v>
      </c>
      <c r="K4938">
        <v>2.0499999999999998</v>
      </c>
      <c r="L4938">
        <v>0</v>
      </c>
    </row>
    <row r="4939" spans="1:12" x14ac:dyDescent="0.3">
      <c r="A4939" t="s">
        <v>4955</v>
      </c>
      <c r="B4939" t="s">
        <v>21</v>
      </c>
      <c r="C4939">
        <v>5097</v>
      </c>
      <c r="D4939">
        <v>15.29</v>
      </c>
      <c r="E4939">
        <v>2.75</v>
      </c>
      <c r="F4939">
        <f>COUNTIFS(mdr_rate_cleaned!$A$2:$A$10,B4939,mdr_rate_cleaned!$B$2:$B$10,"&lt;"&amp;C4939,mdr_rate_cleaned!$F$2:$F$10,"&gt;="&amp;C4939)</f>
        <v>1</v>
      </c>
      <c r="G4939">
        <v>3.0000000000000001E-3</v>
      </c>
      <c r="H4939">
        <v>15.29</v>
      </c>
      <c r="I4939" t="s">
        <v>15</v>
      </c>
      <c r="J4939" t="s">
        <v>15</v>
      </c>
      <c r="K4939">
        <v>2.75</v>
      </c>
      <c r="L4939">
        <v>0</v>
      </c>
    </row>
    <row r="4940" spans="1:12" x14ac:dyDescent="0.3">
      <c r="A4940" t="s">
        <v>4956</v>
      </c>
      <c r="B4940" t="s">
        <v>21</v>
      </c>
      <c r="C4940">
        <v>3499</v>
      </c>
      <c r="D4940">
        <v>10.5</v>
      </c>
      <c r="E4940">
        <v>1.89</v>
      </c>
      <c r="F4940">
        <f>COUNTIFS(mdr_rate_cleaned!$A$2:$A$10,B4940,mdr_rate_cleaned!$B$2:$B$10,"&lt;"&amp;C4940,mdr_rate_cleaned!$F$2:$F$10,"&gt;="&amp;C4940)</f>
        <v>1</v>
      </c>
      <c r="G4940">
        <v>3.0000000000000001E-3</v>
      </c>
      <c r="H4940">
        <v>10.5</v>
      </c>
      <c r="I4940" t="s">
        <v>15</v>
      </c>
      <c r="J4940" t="s">
        <v>15</v>
      </c>
      <c r="K4940">
        <v>1.89</v>
      </c>
      <c r="L4940">
        <v>0</v>
      </c>
    </row>
    <row r="4941" spans="1:12" x14ac:dyDescent="0.3">
      <c r="A4941" t="s">
        <v>4957</v>
      </c>
      <c r="B4941" t="s">
        <v>21</v>
      </c>
      <c r="C4941">
        <v>5347</v>
      </c>
      <c r="D4941">
        <v>16.04</v>
      </c>
      <c r="E4941">
        <v>2.89</v>
      </c>
      <c r="F4941">
        <f>COUNTIFS(mdr_rate_cleaned!$A$2:$A$10,B4941,mdr_rate_cleaned!$B$2:$B$10,"&lt;"&amp;C4941,mdr_rate_cleaned!$F$2:$F$10,"&gt;="&amp;C4941)</f>
        <v>1</v>
      </c>
      <c r="G4941">
        <v>3.0000000000000001E-3</v>
      </c>
      <c r="H4941">
        <v>16.04</v>
      </c>
      <c r="I4941" t="s">
        <v>15</v>
      </c>
      <c r="J4941" t="s">
        <v>15</v>
      </c>
      <c r="K4941">
        <v>2.89</v>
      </c>
      <c r="L4941">
        <v>0</v>
      </c>
    </row>
    <row r="4942" spans="1:12" x14ac:dyDescent="0.3">
      <c r="A4942" t="s">
        <v>4958</v>
      </c>
      <c r="B4942" t="s">
        <v>21</v>
      </c>
      <c r="C4942">
        <v>7999</v>
      </c>
      <c r="D4942">
        <v>24</v>
      </c>
      <c r="E4942">
        <v>4.32</v>
      </c>
      <c r="F4942">
        <f>COUNTIFS(mdr_rate_cleaned!$A$2:$A$10,B4942,mdr_rate_cleaned!$B$2:$B$10,"&lt;"&amp;C4942,mdr_rate_cleaned!$F$2:$F$10,"&gt;="&amp;C4942)</f>
        <v>1</v>
      </c>
      <c r="G4942">
        <v>3.0000000000000001E-3</v>
      </c>
      <c r="H4942">
        <v>24</v>
      </c>
      <c r="I4942" t="s">
        <v>15</v>
      </c>
      <c r="J4942" t="s">
        <v>15</v>
      </c>
      <c r="K4942">
        <v>4.32</v>
      </c>
      <c r="L4942">
        <v>0</v>
      </c>
    </row>
    <row r="4943" spans="1:12" x14ac:dyDescent="0.3">
      <c r="A4943" t="s">
        <v>4959</v>
      </c>
      <c r="B4943" t="s">
        <v>17</v>
      </c>
      <c r="C4943">
        <v>1499</v>
      </c>
      <c r="D4943">
        <v>26.98</v>
      </c>
      <c r="E4943">
        <v>4.8600000000000003</v>
      </c>
      <c r="F4943">
        <f>COUNTIFS(mdr_rate_cleaned!$A$2:$A$10,B4943,mdr_rate_cleaned!$B$2:$B$10,"&lt;"&amp;C4943,mdr_rate_cleaned!$F$2:$F$10,"&gt;="&amp;C4943)</f>
        <v>1</v>
      </c>
      <c r="G4943">
        <v>1.7999999999999999E-2</v>
      </c>
      <c r="H4943">
        <v>26.98</v>
      </c>
      <c r="I4943" t="s">
        <v>15</v>
      </c>
      <c r="J4943" t="s">
        <v>15</v>
      </c>
      <c r="K4943">
        <v>4.8600000000000003</v>
      </c>
      <c r="L4943">
        <v>0</v>
      </c>
    </row>
    <row r="4944" spans="1:12" x14ac:dyDescent="0.3">
      <c r="A4944" t="s">
        <v>4960</v>
      </c>
      <c r="B4944" t="s">
        <v>39</v>
      </c>
      <c r="C4944">
        <v>2598</v>
      </c>
      <c r="D4944">
        <v>31.18</v>
      </c>
      <c r="E4944">
        <v>5.61</v>
      </c>
      <c r="F4944">
        <f>COUNTIFS(mdr_rate_cleaned!$A$2:$A$10,B4944,mdr_rate_cleaned!$B$2:$B$10,"&lt;"&amp;C4944,mdr_rate_cleaned!$F$2:$F$10,"&gt;="&amp;C4944)</f>
        <v>1</v>
      </c>
      <c r="G4944">
        <v>1.2E-2</v>
      </c>
      <c r="H4944">
        <v>31.18</v>
      </c>
      <c r="I4944" t="s">
        <v>15</v>
      </c>
      <c r="J4944" t="s">
        <v>15</v>
      </c>
      <c r="K4944">
        <v>5.61</v>
      </c>
      <c r="L4944">
        <v>0</v>
      </c>
    </row>
    <row r="4945" spans="1:12" x14ac:dyDescent="0.3">
      <c r="A4945" t="s">
        <v>4961</v>
      </c>
      <c r="B4945" t="s">
        <v>17</v>
      </c>
      <c r="C4945">
        <v>6597</v>
      </c>
      <c r="D4945">
        <v>105.55</v>
      </c>
      <c r="E4945">
        <v>19</v>
      </c>
      <c r="F4945">
        <f>COUNTIFS(mdr_rate_cleaned!$A$2:$A$10,B4945,mdr_rate_cleaned!$B$2:$B$10,"&lt;"&amp;C4945,mdr_rate_cleaned!$F$2:$F$10,"&gt;="&amp;C4945)</f>
        <v>1</v>
      </c>
      <c r="G4945">
        <v>1.6E-2</v>
      </c>
      <c r="H4945">
        <v>105.55</v>
      </c>
      <c r="I4945" t="s">
        <v>15</v>
      </c>
      <c r="J4945" t="s">
        <v>15</v>
      </c>
      <c r="K4945">
        <v>19</v>
      </c>
      <c r="L4945">
        <v>0</v>
      </c>
    </row>
    <row r="4946" spans="1:12" x14ac:dyDescent="0.3">
      <c r="A4946" t="s">
        <v>4962</v>
      </c>
      <c r="B4946" t="s">
        <v>39</v>
      </c>
      <c r="C4946">
        <v>5298</v>
      </c>
      <c r="D4946">
        <v>63.58</v>
      </c>
      <c r="E4946">
        <v>11.44</v>
      </c>
      <c r="F4946">
        <f>COUNTIFS(mdr_rate_cleaned!$A$2:$A$10,B4946,mdr_rate_cleaned!$B$2:$B$10,"&lt;"&amp;C4946,mdr_rate_cleaned!$F$2:$F$10,"&gt;="&amp;C4946)</f>
        <v>1</v>
      </c>
      <c r="G4946">
        <v>1.2E-2</v>
      </c>
      <c r="H4946">
        <v>63.58</v>
      </c>
      <c r="I4946" t="s">
        <v>15</v>
      </c>
      <c r="J4946" t="s">
        <v>15</v>
      </c>
      <c r="K4946">
        <v>11.44</v>
      </c>
      <c r="L4946">
        <v>0</v>
      </c>
    </row>
    <row r="4947" spans="1:12" x14ac:dyDescent="0.3">
      <c r="A4947" t="s">
        <v>4963</v>
      </c>
      <c r="B4947" t="s">
        <v>17</v>
      </c>
      <c r="C4947">
        <v>4998</v>
      </c>
      <c r="D4947">
        <v>79.97</v>
      </c>
      <c r="E4947">
        <v>14.39</v>
      </c>
      <c r="F4947">
        <f>COUNTIFS(mdr_rate_cleaned!$A$2:$A$10,B4947,mdr_rate_cleaned!$B$2:$B$10,"&lt;"&amp;C4947,mdr_rate_cleaned!$F$2:$F$10,"&gt;="&amp;C4947)</f>
        <v>1</v>
      </c>
      <c r="G4947">
        <v>1.6E-2</v>
      </c>
      <c r="H4947">
        <v>79.97</v>
      </c>
      <c r="I4947" t="s">
        <v>15</v>
      </c>
      <c r="J4947" t="s">
        <v>15</v>
      </c>
      <c r="K4947">
        <v>14.39</v>
      </c>
      <c r="L4947">
        <v>0</v>
      </c>
    </row>
    <row r="4948" spans="1:12" x14ac:dyDescent="0.3">
      <c r="A4948" t="s">
        <v>4964</v>
      </c>
      <c r="B4948" t="s">
        <v>21</v>
      </c>
      <c r="C4948">
        <v>2998</v>
      </c>
      <c r="D4948">
        <v>8.99</v>
      </c>
      <c r="E4948">
        <v>1.62</v>
      </c>
      <c r="F4948">
        <f>COUNTIFS(mdr_rate_cleaned!$A$2:$A$10,B4948,mdr_rate_cleaned!$B$2:$B$10,"&lt;"&amp;C4948,mdr_rate_cleaned!$F$2:$F$10,"&gt;="&amp;C4948)</f>
        <v>1</v>
      </c>
      <c r="G4948">
        <v>3.0000000000000001E-3</v>
      </c>
      <c r="H4948">
        <v>8.99</v>
      </c>
      <c r="I4948" t="s">
        <v>15</v>
      </c>
      <c r="J4948" t="s">
        <v>15</v>
      </c>
      <c r="K4948">
        <v>1.62</v>
      </c>
      <c r="L4948">
        <v>0</v>
      </c>
    </row>
    <row r="4949" spans="1:12" x14ac:dyDescent="0.3">
      <c r="A4949" t="s">
        <v>4965</v>
      </c>
      <c r="B4949" t="s">
        <v>21</v>
      </c>
      <c r="C4949">
        <v>1398</v>
      </c>
      <c r="D4949">
        <v>0</v>
      </c>
      <c r="E4949">
        <v>0</v>
      </c>
      <c r="F4949">
        <f>COUNTIFS(mdr_rate_cleaned!$A$2:$A$10,B4949,mdr_rate_cleaned!$B$2:$B$10,"&lt;"&amp;C4949,mdr_rate_cleaned!$F$2:$F$10,"&gt;="&amp;C4949)</f>
        <v>1</v>
      </c>
      <c r="G4949">
        <v>0</v>
      </c>
      <c r="H4949">
        <v>0</v>
      </c>
      <c r="I4949" t="s">
        <v>15</v>
      </c>
      <c r="J4949" t="s">
        <v>15</v>
      </c>
      <c r="K4949">
        <v>0</v>
      </c>
      <c r="L4949">
        <v>0</v>
      </c>
    </row>
    <row r="4950" spans="1:12" x14ac:dyDescent="0.3">
      <c r="A4950" t="s">
        <v>4966</v>
      </c>
      <c r="B4950" t="s">
        <v>21</v>
      </c>
      <c r="C4950">
        <v>8798</v>
      </c>
      <c r="D4950">
        <v>26.39</v>
      </c>
      <c r="E4950">
        <v>4.75</v>
      </c>
      <c r="F4950">
        <f>COUNTIFS(mdr_rate_cleaned!$A$2:$A$10,B4950,mdr_rate_cleaned!$B$2:$B$10,"&lt;"&amp;C4950,mdr_rate_cleaned!$F$2:$F$10,"&gt;="&amp;C4950)</f>
        <v>1</v>
      </c>
      <c r="G4950">
        <v>3.0000000000000001E-3</v>
      </c>
      <c r="H4950">
        <v>26.39</v>
      </c>
      <c r="I4950" t="s">
        <v>15</v>
      </c>
      <c r="J4950" t="s">
        <v>15</v>
      </c>
      <c r="K4950">
        <v>4.75</v>
      </c>
      <c r="L4950">
        <v>0</v>
      </c>
    </row>
    <row r="4951" spans="1:12" x14ac:dyDescent="0.3">
      <c r="A4951" t="s">
        <v>4967</v>
      </c>
      <c r="B4951" t="s">
        <v>17</v>
      </c>
      <c r="C4951">
        <v>8297</v>
      </c>
      <c r="D4951">
        <v>132.75</v>
      </c>
      <c r="E4951">
        <v>23.9</v>
      </c>
      <c r="F4951">
        <f>COUNTIFS(mdr_rate_cleaned!$A$2:$A$10,B4951,mdr_rate_cleaned!$B$2:$B$10,"&lt;"&amp;C4951,mdr_rate_cleaned!$F$2:$F$10,"&gt;="&amp;C4951)</f>
        <v>1</v>
      </c>
      <c r="G4951">
        <v>1.6E-2</v>
      </c>
      <c r="H4951">
        <v>132.75</v>
      </c>
      <c r="I4951" t="s">
        <v>15</v>
      </c>
      <c r="J4951" t="s">
        <v>15</v>
      </c>
      <c r="K4951">
        <v>23.9</v>
      </c>
      <c r="L4951">
        <v>0</v>
      </c>
    </row>
    <row r="4952" spans="1:12" x14ac:dyDescent="0.3">
      <c r="A4952" t="s">
        <v>4968</v>
      </c>
      <c r="B4952" t="s">
        <v>21</v>
      </c>
      <c r="C4952">
        <v>7999</v>
      </c>
      <c r="D4952">
        <v>24</v>
      </c>
      <c r="E4952">
        <v>4.32</v>
      </c>
      <c r="F4952">
        <f>COUNTIFS(mdr_rate_cleaned!$A$2:$A$10,B4952,mdr_rate_cleaned!$B$2:$B$10,"&lt;"&amp;C4952,mdr_rate_cleaned!$F$2:$F$10,"&gt;="&amp;C4952)</f>
        <v>1</v>
      </c>
      <c r="G4952">
        <v>3.0000000000000001E-3</v>
      </c>
      <c r="H4952">
        <v>24</v>
      </c>
      <c r="I4952" t="s">
        <v>15</v>
      </c>
      <c r="J4952" t="s">
        <v>15</v>
      </c>
      <c r="K4952">
        <v>4.32</v>
      </c>
      <c r="L4952">
        <v>0</v>
      </c>
    </row>
    <row r="4953" spans="1:12" x14ac:dyDescent="0.3">
      <c r="A4953" t="s">
        <v>4969</v>
      </c>
      <c r="B4953" t="s">
        <v>21</v>
      </c>
      <c r="C4953">
        <v>9497</v>
      </c>
      <c r="D4953">
        <v>28.49</v>
      </c>
      <c r="E4953">
        <v>5.13</v>
      </c>
      <c r="F4953">
        <f>COUNTIFS(mdr_rate_cleaned!$A$2:$A$10,B4953,mdr_rate_cleaned!$B$2:$B$10,"&lt;"&amp;C4953,mdr_rate_cleaned!$F$2:$F$10,"&gt;="&amp;C4953)</f>
        <v>1</v>
      </c>
      <c r="G4953">
        <v>3.0000000000000001E-3</v>
      </c>
      <c r="H4953">
        <v>28.49</v>
      </c>
      <c r="I4953" t="s">
        <v>15</v>
      </c>
      <c r="J4953" t="s">
        <v>15</v>
      </c>
      <c r="K4953">
        <v>5.13</v>
      </c>
      <c r="L4953">
        <v>0</v>
      </c>
    </row>
    <row r="4954" spans="1:12" x14ac:dyDescent="0.3">
      <c r="A4954" t="s">
        <v>4970</v>
      </c>
      <c r="B4954" t="s">
        <v>21</v>
      </c>
      <c r="C4954">
        <v>599</v>
      </c>
      <c r="D4954">
        <v>0</v>
      </c>
      <c r="E4954">
        <v>0</v>
      </c>
      <c r="F4954">
        <f>COUNTIFS(mdr_rate_cleaned!$A$2:$A$10,B4954,mdr_rate_cleaned!$B$2:$B$10,"&lt;"&amp;C4954,mdr_rate_cleaned!$F$2:$F$10,"&gt;="&amp;C4954)</f>
        <v>1</v>
      </c>
      <c r="G4954">
        <v>0</v>
      </c>
      <c r="H4954">
        <v>0</v>
      </c>
      <c r="I4954" t="s">
        <v>15</v>
      </c>
      <c r="J4954" t="s">
        <v>15</v>
      </c>
      <c r="K4954">
        <v>0</v>
      </c>
      <c r="L4954">
        <v>0</v>
      </c>
    </row>
    <row r="4955" spans="1:12" x14ac:dyDescent="0.3">
      <c r="A4955" t="s">
        <v>4971</v>
      </c>
      <c r="B4955" t="s">
        <v>17</v>
      </c>
      <c r="C4955">
        <v>5998</v>
      </c>
      <c r="D4955">
        <v>95.97</v>
      </c>
      <c r="E4955">
        <v>17.27</v>
      </c>
      <c r="F4955">
        <f>COUNTIFS(mdr_rate_cleaned!$A$2:$A$10,B4955,mdr_rate_cleaned!$B$2:$B$10,"&lt;"&amp;C4955,mdr_rate_cleaned!$F$2:$F$10,"&gt;="&amp;C4955)</f>
        <v>1</v>
      </c>
      <c r="G4955">
        <v>1.6E-2</v>
      </c>
      <c r="H4955">
        <v>95.97</v>
      </c>
      <c r="I4955" t="s">
        <v>15</v>
      </c>
      <c r="J4955" t="s">
        <v>15</v>
      </c>
      <c r="K4955">
        <v>17.27</v>
      </c>
      <c r="L4955">
        <v>0</v>
      </c>
    </row>
    <row r="4956" spans="1:12" x14ac:dyDescent="0.3">
      <c r="A4956" t="s">
        <v>4972</v>
      </c>
      <c r="B4956" t="s">
        <v>17</v>
      </c>
      <c r="C4956">
        <v>12297</v>
      </c>
      <c r="D4956">
        <v>196.75</v>
      </c>
      <c r="E4956">
        <v>35.42</v>
      </c>
      <c r="F4956">
        <f>COUNTIFS(mdr_rate_cleaned!$A$2:$A$10,B4956,mdr_rate_cleaned!$B$2:$B$10,"&lt;"&amp;C4956,mdr_rate_cleaned!$F$2:$F$10,"&gt;="&amp;C4956)</f>
        <v>1</v>
      </c>
      <c r="G4956">
        <v>1.6E-2</v>
      </c>
      <c r="H4956">
        <v>196.75</v>
      </c>
      <c r="I4956" t="s">
        <v>15</v>
      </c>
      <c r="J4956" t="s">
        <v>15</v>
      </c>
      <c r="K4956">
        <v>35.42</v>
      </c>
      <c r="L4956">
        <v>0</v>
      </c>
    </row>
    <row r="4957" spans="1:12" x14ac:dyDescent="0.3">
      <c r="A4957" t="s">
        <v>4973</v>
      </c>
      <c r="B4957" t="s">
        <v>21</v>
      </c>
      <c r="C4957">
        <v>6797</v>
      </c>
      <c r="D4957">
        <v>20.39</v>
      </c>
      <c r="E4957">
        <v>3.67</v>
      </c>
      <c r="F4957">
        <f>COUNTIFS(mdr_rate_cleaned!$A$2:$A$10,B4957,mdr_rate_cleaned!$B$2:$B$10,"&lt;"&amp;C4957,mdr_rate_cleaned!$F$2:$F$10,"&gt;="&amp;C4957)</f>
        <v>1</v>
      </c>
      <c r="G4957">
        <v>3.0000000000000001E-3</v>
      </c>
      <c r="H4957">
        <v>20.39</v>
      </c>
      <c r="I4957" t="s">
        <v>15</v>
      </c>
      <c r="J4957" t="s">
        <v>15</v>
      </c>
      <c r="K4957">
        <v>3.67</v>
      </c>
      <c r="L4957">
        <v>0</v>
      </c>
    </row>
    <row r="4958" spans="1:12" x14ac:dyDescent="0.3">
      <c r="A4958" t="s">
        <v>4974</v>
      </c>
      <c r="B4958" t="s">
        <v>21</v>
      </c>
      <c r="C4958">
        <v>1148</v>
      </c>
      <c r="D4958">
        <v>0</v>
      </c>
      <c r="E4958">
        <v>0</v>
      </c>
      <c r="F4958">
        <f>COUNTIFS(mdr_rate_cleaned!$A$2:$A$10,B4958,mdr_rate_cleaned!$B$2:$B$10,"&lt;"&amp;C4958,mdr_rate_cleaned!$F$2:$F$10,"&gt;="&amp;C4958)</f>
        <v>1</v>
      </c>
      <c r="G4958">
        <v>0</v>
      </c>
      <c r="H4958">
        <v>0</v>
      </c>
      <c r="I4958" t="s">
        <v>15</v>
      </c>
      <c r="J4958" t="s">
        <v>15</v>
      </c>
      <c r="K4958">
        <v>0</v>
      </c>
      <c r="L4958">
        <v>0</v>
      </c>
    </row>
    <row r="4959" spans="1:12" x14ac:dyDescent="0.3">
      <c r="A4959" t="s">
        <v>4975</v>
      </c>
      <c r="B4959" t="s">
        <v>21</v>
      </c>
      <c r="C4959">
        <v>3998</v>
      </c>
      <c r="D4959">
        <v>11.99</v>
      </c>
      <c r="E4959">
        <v>2.16</v>
      </c>
      <c r="F4959">
        <f>COUNTIFS(mdr_rate_cleaned!$A$2:$A$10,B4959,mdr_rate_cleaned!$B$2:$B$10,"&lt;"&amp;C4959,mdr_rate_cleaned!$F$2:$F$10,"&gt;="&amp;C4959)</f>
        <v>1</v>
      </c>
      <c r="G4959">
        <v>3.0000000000000001E-3</v>
      </c>
      <c r="H4959">
        <v>11.99</v>
      </c>
      <c r="I4959" t="s">
        <v>15</v>
      </c>
      <c r="J4959" t="s">
        <v>15</v>
      </c>
      <c r="K4959">
        <v>2.16</v>
      </c>
      <c r="L4959">
        <v>0</v>
      </c>
    </row>
    <row r="4960" spans="1:12" x14ac:dyDescent="0.3">
      <c r="A4960" t="s">
        <v>4976</v>
      </c>
      <c r="B4960" t="s">
        <v>17</v>
      </c>
      <c r="C4960">
        <v>7998</v>
      </c>
      <c r="D4960">
        <v>127.97</v>
      </c>
      <c r="E4960">
        <v>23.03</v>
      </c>
      <c r="F4960">
        <f>COUNTIFS(mdr_rate_cleaned!$A$2:$A$10,B4960,mdr_rate_cleaned!$B$2:$B$10,"&lt;"&amp;C4960,mdr_rate_cleaned!$F$2:$F$10,"&gt;="&amp;C4960)</f>
        <v>1</v>
      </c>
      <c r="G4960">
        <v>1.6E-2</v>
      </c>
      <c r="H4960">
        <v>127.97</v>
      </c>
      <c r="I4960" t="s">
        <v>15</v>
      </c>
      <c r="J4960" t="s">
        <v>15</v>
      </c>
      <c r="K4960">
        <v>23.03</v>
      </c>
      <c r="L4960">
        <v>0</v>
      </c>
    </row>
    <row r="4961" spans="1:12" x14ac:dyDescent="0.3">
      <c r="A4961" t="s">
        <v>4977</v>
      </c>
      <c r="B4961" t="s">
        <v>17</v>
      </c>
      <c r="C4961">
        <v>1299</v>
      </c>
      <c r="D4961">
        <v>23.38</v>
      </c>
      <c r="E4961">
        <v>4.21</v>
      </c>
      <c r="F4961">
        <f>COUNTIFS(mdr_rate_cleaned!$A$2:$A$10,B4961,mdr_rate_cleaned!$B$2:$B$10,"&lt;"&amp;C4961,mdr_rate_cleaned!$F$2:$F$10,"&gt;="&amp;C4961)</f>
        <v>1</v>
      </c>
      <c r="G4961">
        <v>1.7999999999999999E-2</v>
      </c>
      <c r="H4961">
        <v>23.38</v>
      </c>
      <c r="I4961" t="s">
        <v>15</v>
      </c>
      <c r="J4961" t="s">
        <v>15</v>
      </c>
      <c r="K4961">
        <v>4.21</v>
      </c>
      <c r="L4961">
        <v>0</v>
      </c>
    </row>
    <row r="4962" spans="1:12" x14ac:dyDescent="0.3">
      <c r="A4962" t="s">
        <v>4978</v>
      </c>
      <c r="B4962" t="s">
        <v>17</v>
      </c>
      <c r="C4962">
        <v>2798</v>
      </c>
      <c r="D4962">
        <v>44.77</v>
      </c>
      <c r="E4962">
        <v>8.06</v>
      </c>
      <c r="F4962">
        <f>COUNTIFS(mdr_rate_cleaned!$A$2:$A$10,B4962,mdr_rate_cleaned!$B$2:$B$10,"&lt;"&amp;C4962,mdr_rate_cleaned!$F$2:$F$10,"&gt;="&amp;C4962)</f>
        <v>1</v>
      </c>
      <c r="G4962">
        <v>1.6E-2</v>
      </c>
      <c r="H4962">
        <v>44.77</v>
      </c>
      <c r="I4962" t="s">
        <v>15</v>
      </c>
      <c r="J4962" t="s">
        <v>15</v>
      </c>
      <c r="K4962">
        <v>8.06</v>
      </c>
      <c r="L4962">
        <v>0</v>
      </c>
    </row>
    <row r="4963" spans="1:12" x14ac:dyDescent="0.3">
      <c r="A4963" t="s">
        <v>4979</v>
      </c>
      <c r="B4963" t="s">
        <v>21</v>
      </c>
      <c r="C4963">
        <v>4298</v>
      </c>
      <c r="D4963">
        <v>12.89</v>
      </c>
      <c r="E4963">
        <v>2.3199999999999998</v>
      </c>
      <c r="F4963">
        <f>COUNTIFS(mdr_rate_cleaned!$A$2:$A$10,B4963,mdr_rate_cleaned!$B$2:$B$10,"&lt;"&amp;C4963,mdr_rate_cleaned!$F$2:$F$10,"&gt;="&amp;C4963)</f>
        <v>1</v>
      </c>
      <c r="G4963">
        <v>3.0000000000000001E-3</v>
      </c>
      <c r="H4963">
        <v>12.89</v>
      </c>
      <c r="I4963" t="s">
        <v>15</v>
      </c>
      <c r="J4963" t="s">
        <v>15</v>
      </c>
      <c r="K4963">
        <v>2.3199999999999998</v>
      </c>
      <c r="L4963">
        <v>0</v>
      </c>
    </row>
    <row r="4964" spans="1:12" x14ac:dyDescent="0.3">
      <c r="A4964" t="s">
        <v>4980</v>
      </c>
      <c r="B4964" t="s">
        <v>39</v>
      </c>
      <c r="C4964">
        <v>4798</v>
      </c>
      <c r="D4964">
        <v>57.58</v>
      </c>
      <c r="E4964">
        <v>10.36</v>
      </c>
      <c r="F4964">
        <f>COUNTIFS(mdr_rate_cleaned!$A$2:$A$10,B4964,mdr_rate_cleaned!$B$2:$B$10,"&lt;"&amp;C4964,mdr_rate_cleaned!$F$2:$F$10,"&gt;="&amp;C4964)</f>
        <v>1</v>
      </c>
      <c r="G4964">
        <v>1.2E-2</v>
      </c>
      <c r="H4964">
        <v>57.58</v>
      </c>
      <c r="I4964" t="s">
        <v>15</v>
      </c>
      <c r="J4964" t="s">
        <v>15</v>
      </c>
      <c r="K4964">
        <v>10.36</v>
      </c>
      <c r="L4964">
        <v>0</v>
      </c>
    </row>
    <row r="4965" spans="1:12" x14ac:dyDescent="0.3">
      <c r="A4965" t="s">
        <v>4981</v>
      </c>
      <c r="B4965" t="s">
        <v>17</v>
      </c>
      <c r="C4965">
        <v>1799</v>
      </c>
      <c r="D4965">
        <v>32.380000000000003</v>
      </c>
      <c r="E4965">
        <v>5.83</v>
      </c>
      <c r="F4965">
        <f>COUNTIFS(mdr_rate_cleaned!$A$2:$A$10,B4965,mdr_rate_cleaned!$B$2:$B$10,"&lt;"&amp;C4965,mdr_rate_cleaned!$F$2:$F$10,"&gt;="&amp;C4965)</f>
        <v>1</v>
      </c>
      <c r="G4965">
        <v>1.7999999999999999E-2</v>
      </c>
      <c r="H4965">
        <v>32.380000000000003</v>
      </c>
      <c r="I4965" t="s">
        <v>15</v>
      </c>
      <c r="J4965" t="s">
        <v>15</v>
      </c>
      <c r="K4965">
        <v>5.83</v>
      </c>
      <c r="L4965">
        <v>0</v>
      </c>
    </row>
    <row r="4966" spans="1:12" x14ac:dyDescent="0.3">
      <c r="A4966" t="s">
        <v>4982</v>
      </c>
      <c r="B4966" t="s">
        <v>21</v>
      </c>
      <c r="C4966">
        <v>4999</v>
      </c>
      <c r="D4966">
        <v>15</v>
      </c>
      <c r="E4966">
        <v>2.7</v>
      </c>
      <c r="F4966">
        <f>COUNTIFS(mdr_rate_cleaned!$A$2:$A$10,B4966,mdr_rate_cleaned!$B$2:$B$10,"&lt;"&amp;C4966,mdr_rate_cleaned!$F$2:$F$10,"&gt;="&amp;C4966)</f>
        <v>1</v>
      </c>
      <c r="G4966">
        <v>3.0000000000000001E-3</v>
      </c>
      <c r="H4966">
        <v>15</v>
      </c>
      <c r="I4966" t="s">
        <v>15</v>
      </c>
      <c r="J4966" t="s">
        <v>15</v>
      </c>
      <c r="K4966">
        <v>2.7</v>
      </c>
      <c r="L4966">
        <v>0</v>
      </c>
    </row>
    <row r="4967" spans="1:12" x14ac:dyDescent="0.3">
      <c r="A4967" t="s">
        <v>4983</v>
      </c>
      <c r="B4967" t="s">
        <v>21</v>
      </c>
      <c r="C4967">
        <v>1499</v>
      </c>
      <c r="D4967">
        <v>0</v>
      </c>
      <c r="E4967">
        <v>0</v>
      </c>
      <c r="F4967">
        <f>COUNTIFS(mdr_rate_cleaned!$A$2:$A$10,B4967,mdr_rate_cleaned!$B$2:$B$10,"&lt;"&amp;C4967,mdr_rate_cleaned!$F$2:$F$10,"&gt;="&amp;C4967)</f>
        <v>1</v>
      </c>
      <c r="G4967">
        <v>0</v>
      </c>
      <c r="H4967">
        <v>0</v>
      </c>
      <c r="I4967" t="s">
        <v>15</v>
      </c>
      <c r="J4967" t="s">
        <v>15</v>
      </c>
      <c r="K4967">
        <v>0</v>
      </c>
      <c r="L4967">
        <v>0</v>
      </c>
    </row>
    <row r="4968" spans="1:12" x14ac:dyDescent="0.3">
      <c r="A4968" t="s">
        <v>4984</v>
      </c>
      <c r="B4968" t="s">
        <v>21</v>
      </c>
      <c r="C4968">
        <v>4999</v>
      </c>
      <c r="D4968">
        <v>15</v>
      </c>
      <c r="E4968">
        <v>2.7</v>
      </c>
      <c r="F4968">
        <f>COUNTIFS(mdr_rate_cleaned!$A$2:$A$10,B4968,mdr_rate_cleaned!$B$2:$B$10,"&lt;"&amp;C4968,mdr_rate_cleaned!$F$2:$F$10,"&gt;="&amp;C4968)</f>
        <v>1</v>
      </c>
      <c r="G4968">
        <v>3.0000000000000001E-3</v>
      </c>
      <c r="H4968">
        <v>15</v>
      </c>
      <c r="I4968" t="s">
        <v>15</v>
      </c>
      <c r="J4968" t="s">
        <v>15</v>
      </c>
      <c r="K4968">
        <v>2.7</v>
      </c>
      <c r="L4968">
        <v>0</v>
      </c>
    </row>
    <row r="4969" spans="1:12" x14ac:dyDescent="0.3">
      <c r="A4969" t="s">
        <v>4985</v>
      </c>
      <c r="B4969" t="s">
        <v>13</v>
      </c>
      <c r="C4969">
        <v>3499</v>
      </c>
      <c r="D4969">
        <v>59.48</v>
      </c>
      <c r="E4969">
        <v>10.71</v>
      </c>
      <c r="F4969">
        <f>COUNTIFS(mdr_rate_cleaned!$A$2:$A$10,B4969,mdr_rate_cleaned!$B$2:$B$10,"&lt;"&amp;C4969,mdr_rate_cleaned!$F$2:$F$10,"&gt;="&amp;C4969)</f>
        <v>1</v>
      </c>
      <c r="G4969">
        <v>1.7000000000000001E-2</v>
      </c>
      <c r="H4969">
        <v>59.48</v>
      </c>
      <c r="I4969" t="s">
        <v>15</v>
      </c>
      <c r="J4969" t="s">
        <v>15</v>
      </c>
      <c r="K4969">
        <v>10.71</v>
      </c>
      <c r="L4969">
        <v>0</v>
      </c>
    </row>
    <row r="4970" spans="1:12" x14ac:dyDescent="0.3">
      <c r="A4970" t="s">
        <v>4986</v>
      </c>
      <c r="B4970" t="s">
        <v>13</v>
      </c>
      <c r="C4970">
        <v>3598</v>
      </c>
      <c r="D4970">
        <v>61.17</v>
      </c>
      <c r="E4970">
        <v>11.01</v>
      </c>
      <c r="F4970">
        <f>COUNTIFS(mdr_rate_cleaned!$A$2:$A$10,B4970,mdr_rate_cleaned!$B$2:$B$10,"&lt;"&amp;C4970,mdr_rate_cleaned!$F$2:$F$10,"&gt;="&amp;C4970)</f>
        <v>1</v>
      </c>
      <c r="G4970">
        <v>1.7000000000000001E-2</v>
      </c>
      <c r="H4970">
        <v>61.17</v>
      </c>
      <c r="I4970" t="s">
        <v>15</v>
      </c>
      <c r="J4970" t="s">
        <v>15</v>
      </c>
      <c r="K4970">
        <v>11.01</v>
      </c>
      <c r="L4970">
        <v>0</v>
      </c>
    </row>
    <row r="4971" spans="1:12" x14ac:dyDescent="0.3">
      <c r="A4971" t="s">
        <v>4987</v>
      </c>
      <c r="B4971" t="s">
        <v>21</v>
      </c>
      <c r="C4971">
        <v>499</v>
      </c>
      <c r="D4971">
        <v>0</v>
      </c>
      <c r="E4971">
        <v>0</v>
      </c>
      <c r="F4971">
        <f>COUNTIFS(mdr_rate_cleaned!$A$2:$A$10,B4971,mdr_rate_cleaned!$B$2:$B$10,"&lt;"&amp;C4971,mdr_rate_cleaned!$F$2:$F$10,"&gt;="&amp;C4971)</f>
        <v>1</v>
      </c>
      <c r="G4971">
        <v>0</v>
      </c>
      <c r="H4971">
        <v>0</v>
      </c>
      <c r="I4971" t="s">
        <v>15</v>
      </c>
      <c r="J4971" t="s">
        <v>15</v>
      </c>
      <c r="K4971">
        <v>0</v>
      </c>
      <c r="L4971">
        <v>0</v>
      </c>
    </row>
    <row r="4972" spans="1:12" x14ac:dyDescent="0.3">
      <c r="A4972" t="s">
        <v>4988</v>
      </c>
      <c r="B4972" t="s">
        <v>21</v>
      </c>
      <c r="C4972">
        <v>6397</v>
      </c>
      <c r="D4972">
        <v>19.190000000000001</v>
      </c>
      <c r="E4972">
        <v>3.45</v>
      </c>
      <c r="F4972">
        <f>COUNTIFS(mdr_rate_cleaned!$A$2:$A$10,B4972,mdr_rate_cleaned!$B$2:$B$10,"&lt;"&amp;C4972,mdr_rate_cleaned!$F$2:$F$10,"&gt;="&amp;C4972)</f>
        <v>1</v>
      </c>
      <c r="G4972">
        <v>3.0000000000000001E-3</v>
      </c>
      <c r="H4972">
        <v>19.190000000000001</v>
      </c>
      <c r="I4972" t="s">
        <v>15</v>
      </c>
      <c r="J4972" t="s">
        <v>15</v>
      </c>
      <c r="K4972">
        <v>3.45</v>
      </c>
      <c r="L4972">
        <v>0</v>
      </c>
    </row>
    <row r="4973" spans="1:12" x14ac:dyDescent="0.3">
      <c r="A4973" t="s">
        <v>4989</v>
      </c>
      <c r="B4973" t="s">
        <v>21</v>
      </c>
      <c r="C4973">
        <v>7999</v>
      </c>
      <c r="D4973">
        <v>24</v>
      </c>
      <c r="E4973">
        <v>4.32</v>
      </c>
      <c r="F4973">
        <f>COUNTIFS(mdr_rate_cleaned!$A$2:$A$10,B4973,mdr_rate_cleaned!$B$2:$B$10,"&lt;"&amp;C4973,mdr_rate_cleaned!$F$2:$F$10,"&gt;="&amp;C4973)</f>
        <v>1</v>
      </c>
      <c r="G4973">
        <v>3.0000000000000001E-3</v>
      </c>
      <c r="H4973">
        <v>24</v>
      </c>
      <c r="I4973" t="s">
        <v>15</v>
      </c>
      <c r="J4973" t="s">
        <v>15</v>
      </c>
      <c r="K4973">
        <v>4.32</v>
      </c>
      <c r="L4973">
        <v>0</v>
      </c>
    </row>
    <row r="4974" spans="1:12" x14ac:dyDescent="0.3">
      <c r="A4974" t="s">
        <v>4990</v>
      </c>
      <c r="B4974" t="s">
        <v>13</v>
      </c>
      <c r="C4974">
        <v>12497</v>
      </c>
      <c r="D4974">
        <v>212.45</v>
      </c>
      <c r="E4974">
        <v>38.24</v>
      </c>
      <c r="F4974">
        <f>COUNTIFS(mdr_rate_cleaned!$A$2:$A$10,B4974,mdr_rate_cleaned!$B$2:$B$10,"&lt;"&amp;C4974,mdr_rate_cleaned!$F$2:$F$10,"&gt;="&amp;C4974)</f>
        <v>1</v>
      </c>
      <c r="G4974">
        <v>1.7000000000000001E-2</v>
      </c>
      <c r="H4974">
        <v>212.45</v>
      </c>
      <c r="I4974" t="s">
        <v>15</v>
      </c>
      <c r="J4974" t="s">
        <v>15</v>
      </c>
      <c r="K4974">
        <v>38.24</v>
      </c>
      <c r="L4974">
        <v>0</v>
      </c>
    </row>
    <row r="4975" spans="1:12" x14ac:dyDescent="0.3">
      <c r="A4975" t="s">
        <v>4991</v>
      </c>
      <c r="B4975" t="s">
        <v>21</v>
      </c>
      <c r="C4975">
        <v>299</v>
      </c>
      <c r="D4975">
        <v>0</v>
      </c>
      <c r="E4975">
        <v>0</v>
      </c>
      <c r="F4975">
        <f>COUNTIFS(mdr_rate_cleaned!$A$2:$A$10,B4975,mdr_rate_cleaned!$B$2:$B$10,"&lt;"&amp;C4975,mdr_rate_cleaned!$F$2:$F$10,"&gt;="&amp;C4975)</f>
        <v>1</v>
      </c>
      <c r="G4975">
        <v>0</v>
      </c>
      <c r="H4975">
        <v>0</v>
      </c>
      <c r="I4975" t="s">
        <v>15</v>
      </c>
      <c r="J4975" t="s">
        <v>15</v>
      </c>
      <c r="K4975">
        <v>0</v>
      </c>
      <c r="L4975">
        <v>0</v>
      </c>
    </row>
    <row r="4976" spans="1:12" x14ac:dyDescent="0.3">
      <c r="A4976" t="s">
        <v>4992</v>
      </c>
      <c r="B4976" t="s">
        <v>21</v>
      </c>
      <c r="C4976">
        <v>4999</v>
      </c>
      <c r="D4976">
        <v>15</v>
      </c>
      <c r="E4976">
        <v>2.7</v>
      </c>
      <c r="F4976">
        <f>COUNTIFS(mdr_rate_cleaned!$A$2:$A$10,B4976,mdr_rate_cleaned!$B$2:$B$10,"&lt;"&amp;C4976,mdr_rate_cleaned!$F$2:$F$10,"&gt;="&amp;C4976)</f>
        <v>1</v>
      </c>
      <c r="G4976">
        <v>3.0000000000000001E-3</v>
      </c>
      <c r="H4976">
        <v>15</v>
      </c>
      <c r="I4976" t="s">
        <v>15</v>
      </c>
      <c r="J4976" t="s">
        <v>15</v>
      </c>
      <c r="K4976">
        <v>2.7</v>
      </c>
      <c r="L4976">
        <v>0</v>
      </c>
    </row>
    <row r="4977" spans="1:12" x14ac:dyDescent="0.3">
      <c r="A4977" t="s">
        <v>4993</v>
      </c>
      <c r="B4977" t="s">
        <v>21</v>
      </c>
      <c r="C4977">
        <v>599</v>
      </c>
      <c r="D4977">
        <v>0</v>
      </c>
      <c r="E4977">
        <v>0</v>
      </c>
      <c r="F4977">
        <f>COUNTIFS(mdr_rate_cleaned!$A$2:$A$10,B4977,mdr_rate_cleaned!$B$2:$B$10,"&lt;"&amp;C4977,mdr_rate_cleaned!$F$2:$F$10,"&gt;="&amp;C4977)</f>
        <v>1</v>
      </c>
      <c r="G4977">
        <v>0</v>
      </c>
      <c r="H4977">
        <v>0</v>
      </c>
      <c r="I4977" t="s">
        <v>15</v>
      </c>
      <c r="J4977" t="s">
        <v>15</v>
      </c>
      <c r="K4977">
        <v>0</v>
      </c>
      <c r="L4977">
        <v>0</v>
      </c>
    </row>
    <row r="4978" spans="1:12" x14ac:dyDescent="0.3">
      <c r="A4978" t="s">
        <v>4994</v>
      </c>
      <c r="B4978" t="s">
        <v>39</v>
      </c>
      <c r="C4978">
        <v>1798</v>
      </c>
      <c r="D4978">
        <v>26.97</v>
      </c>
      <c r="E4978">
        <v>4.8499999999999996</v>
      </c>
      <c r="F4978">
        <f>COUNTIFS(mdr_rate_cleaned!$A$2:$A$10,B4978,mdr_rate_cleaned!$B$2:$B$10,"&lt;"&amp;C4978,mdr_rate_cleaned!$F$2:$F$10,"&gt;="&amp;C4978)</f>
        <v>1</v>
      </c>
      <c r="G4978">
        <v>1.4999999999999999E-2</v>
      </c>
      <c r="H4978">
        <v>26.97</v>
      </c>
      <c r="I4978" t="s">
        <v>15</v>
      </c>
      <c r="J4978" t="s">
        <v>15</v>
      </c>
      <c r="K4978">
        <v>4.8499999999999996</v>
      </c>
      <c r="L4978">
        <v>0</v>
      </c>
    </row>
    <row r="4979" spans="1:12" x14ac:dyDescent="0.3">
      <c r="A4979" t="s">
        <v>4995</v>
      </c>
      <c r="B4979" t="s">
        <v>21</v>
      </c>
      <c r="C4979">
        <v>999</v>
      </c>
      <c r="D4979">
        <v>0</v>
      </c>
      <c r="E4979">
        <v>0</v>
      </c>
      <c r="F4979">
        <f>COUNTIFS(mdr_rate_cleaned!$A$2:$A$10,B4979,mdr_rate_cleaned!$B$2:$B$10,"&lt;"&amp;C4979,mdr_rate_cleaned!$F$2:$F$10,"&gt;="&amp;C4979)</f>
        <v>1</v>
      </c>
      <c r="G4979">
        <v>0</v>
      </c>
      <c r="H4979">
        <v>0</v>
      </c>
      <c r="I4979" t="s">
        <v>15</v>
      </c>
      <c r="J4979" t="s">
        <v>15</v>
      </c>
      <c r="K4979">
        <v>0</v>
      </c>
      <c r="L4979">
        <v>0</v>
      </c>
    </row>
    <row r="4980" spans="1:12" x14ac:dyDescent="0.3">
      <c r="A4980" t="s">
        <v>4996</v>
      </c>
      <c r="B4980" t="s">
        <v>21</v>
      </c>
      <c r="C4980">
        <v>499</v>
      </c>
      <c r="D4980">
        <v>0</v>
      </c>
      <c r="E4980">
        <v>0</v>
      </c>
      <c r="F4980">
        <f>COUNTIFS(mdr_rate_cleaned!$A$2:$A$10,B4980,mdr_rate_cleaned!$B$2:$B$10,"&lt;"&amp;C4980,mdr_rate_cleaned!$F$2:$F$10,"&gt;="&amp;C4980)</f>
        <v>1</v>
      </c>
      <c r="G4980">
        <v>0</v>
      </c>
      <c r="H4980">
        <v>0</v>
      </c>
      <c r="I4980" t="s">
        <v>15</v>
      </c>
      <c r="J4980" t="s">
        <v>15</v>
      </c>
      <c r="K4980">
        <v>0</v>
      </c>
      <c r="L4980">
        <v>0</v>
      </c>
    </row>
    <row r="4981" spans="1:12" x14ac:dyDescent="0.3">
      <c r="A4981" t="s">
        <v>4997</v>
      </c>
      <c r="B4981" t="s">
        <v>39</v>
      </c>
      <c r="C4981">
        <v>599</v>
      </c>
      <c r="D4981">
        <v>8.99</v>
      </c>
      <c r="E4981">
        <v>1.62</v>
      </c>
      <c r="F4981">
        <f>COUNTIFS(mdr_rate_cleaned!$A$2:$A$10,B4981,mdr_rate_cleaned!$B$2:$B$10,"&lt;"&amp;C4981,mdr_rate_cleaned!$F$2:$F$10,"&gt;="&amp;C4981)</f>
        <v>1</v>
      </c>
      <c r="G4981">
        <v>1.4999999999999999E-2</v>
      </c>
      <c r="H4981">
        <v>8.99</v>
      </c>
      <c r="I4981" t="s">
        <v>15</v>
      </c>
      <c r="J4981" t="s">
        <v>15</v>
      </c>
      <c r="K4981">
        <v>1.62</v>
      </c>
      <c r="L4981">
        <v>0</v>
      </c>
    </row>
    <row r="4982" spans="1:12" x14ac:dyDescent="0.3">
      <c r="A4982" t="s">
        <v>4998</v>
      </c>
      <c r="B4982" t="s">
        <v>21</v>
      </c>
      <c r="C4982">
        <v>7999</v>
      </c>
      <c r="D4982">
        <v>24</v>
      </c>
      <c r="E4982">
        <v>4.32</v>
      </c>
      <c r="F4982">
        <f>COUNTIFS(mdr_rate_cleaned!$A$2:$A$10,B4982,mdr_rate_cleaned!$B$2:$B$10,"&lt;"&amp;C4982,mdr_rate_cleaned!$F$2:$F$10,"&gt;="&amp;C4982)</f>
        <v>1</v>
      </c>
      <c r="G4982">
        <v>3.0000000000000001E-3</v>
      </c>
      <c r="H4982">
        <v>24</v>
      </c>
      <c r="I4982" t="s">
        <v>15</v>
      </c>
      <c r="J4982" t="s">
        <v>15</v>
      </c>
      <c r="K4982">
        <v>4.32</v>
      </c>
      <c r="L4982">
        <v>0</v>
      </c>
    </row>
    <row r="4983" spans="1:12" x14ac:dyDescent="0.3">
      <c r="A4983" t="s">
        <v>4999</v>
      </c>
      <c r="B4983" t="s">
        <v>21</v>
      </c>
      <c r="C4983">
        <v>499</v>
      </c>
      <c r="D4983">
        <v>0</v>
      </c>
      <c r="E4983">
        <v>0</v>
      </c>
      <c r="F4983">
        <f>COUNTIFS(mdr_rate_cleaned!$A$2:$A$10,B4983,mdr_rate_cleaned!$B$2:$B$10,"&lt;"&amp;C4983,mdr_rate_cleaned!$F$2:$F$10,"&gt;="&amp;C4983)</f>
        <v>1</v>
      </c>
      <c r="G4983">
        <v>0</v>
      </c>
      <c r="H4983">
        <v>0</v>
      </c>
      <c r="I4983" t="s">
        <v>15</v>
      </c>
      <c r="J4983" t="s">
        <v>15</v>
      </c>
      <c r="K4983">
        <v>0</v>
      </c>
      <c r="L4983">
        <v>0</v>
      </c>
    </row>
    <row r="4984" spans="1:12" x14ac:dyDescent="0.3">
      <c r="A4984" t="s">
        <v>5000</v>
      </c>
      <c r="B4984" t="s">
        <v>21</v>
      </c>
      <c r="C4984">
        <v>7397</v>
      </c>
      <c r="D4984">
        <v>22.19</v>
      </c>
      <c r="E4984">
        <v>3.99</v>
      </c>
      <c r="F4984">
        <f>COUNTIFS(mdr_rate_cleaned!$A$2:$A$10,B4984,mdr_rate_cleaned!$B$2:$B$10,"&lt;"&amp;C4984,mdr_rate_cleaned!$F$2:$F$10,"&gt;="&amp;C4984)</f>
        <v>1</v>
      </c>
      <c r="G4984">
        <v>3.0000000000000001E-3</v>
      </c>
      <c r="H4984">
        <v>22.19</v>
      </c>
      <c r="I4984" t="s">
        <v>15</v>
      </c>
      <c r="J4984" t="s">
        <v>15</v>
      </c>
      <c r="K4984">
        <v>3.99</v>
      </c>
      <c r="L4984">
        <v>0</v>
      </c>
    </row>
    <row r="4985" spans="1:12" x14ac:dyDescent="0.3">
      <c r="A4985" t="s">
        <v>5001</v>
      </c>
      <c r="B4985" t="s">
        <v>17</v>
      </c>
      <c r="C4985">
        <v>2499</v>
      </c>
      <c r="D4985">
        <v>39.979999999999997</v>
      </c>
      <c r="E4985">
        <v>7.2</v>
      </c>
      <c r="F4985">
        <f>COUNTIFS(mdr_rate_cleaned!$A$2:$A$10,B4985,mdr_rate_cleaned!$B$2:$B$10,"&lt;"&amp;C4985,mdr_rate_cleaned!$F$2:$F$10,"&gt;="&amp;C4985)</f>
        <v>1</v>
      </c>
      <c r="G4985">
        <v>1.6E-2</v>
      </c>
      <c r="H4985">
        <v>39.979999999999997</v>
      </c>
      <c r="I4985" t="s">
        <v>15</v>
      </c>
      <c r="J4985" t="s">
        <v>15</v>
      </c>
      <c r="K4985">
        <v>7.2</v>
      </c>
      <c r="L4985">
        <v>0</v>
      </c>
    </row>
    <row r="4986" spans="1:12" x14ac:dyDescent="0.3">
      <c r="A4986" t="s">
        <v>5002</v>
      </c>
      <c r="B4986" t="s">
        <v>13</v>
      </c>
      <c r="C4986">
        <v>599</v>
      </c>
      <c r="D4986">
        <v>11.38</v>
      </c>
      <c r="E4986">
        <v>2.0499999999999998</v>
      </c>
      <c r="F4986">
        <f>COUNTIFS(mdr_rate_cleaned!$A$2:$A$10,B4986,mdr_rate_cleaned!$B$2:$B$10,"&lt;"&amp;C4986,mdr_rate_cleaned!$F$2:$F$10,"&gt;="&amp;C4986)</f>
        <v>1</v>
      </c>
      <c r="G4986">
        <v>1.9E-2</v>
      </c>
      <c r="H4986">
        <v>11.38</v>
      </c>
      <c r="I4986" t="s">
        <v>15</v>
      </c>
      <c r="J4986" t="s">
        <v>15</v>
      </c>
      <c r="K4986">
        <v>2.0499999999999998</v>
      </c>
      <c r="L4986">
        <v>0</v>
      </c>
    </row>
    <row r="4987" spans="1:12" x14ac:dyDescent="0.3">
      <c r="A4987" t="s">
        <v>5003</v>
      </c>
      <c r="B4987" t="s">
        <v>39</v>
      </c>
      <c r="C4987">
        <v>648</v>
      </c>
      <c r="D4987">
        <v>9.7200000000000006</v>
      </c>
      <c r="E4987">
        <v>1.75</v>
      </c>
      <c r="F4987">
        <f>COUNTIFS(mdr_rate_cleaned!$A$2:$A$10,B4987,mdr_rate_cleaned!$B$2:$B$10,"&lt;"&amp;C4987,mdr_rate_cleaned!$F$2:$F$10,"&gt;="&amp;C4987)</f>
        <v>1</v>
      </c>
      <c r="G4987">
        <v>1.4999999999999999E-2</v>
      </c>
      <c r="H4987">
        <v>9.7200000000000006</v>
      </c>
      <c r="I4987" t="s">
        <v>15</v>
      </c>
      <c r="J4987" t="s">
        <v>15</v>
      </c>
      <c r="K4987">
        <v>1.75</v>
      </c>
      <c r="L4987">
        <v>0</v>
      </c>
    </row>
    <row r="4988" spans="1:12" x14ac:dyDescent="0.3">
      <c r="A4988" t="s">
        <v>5004</v>
      </c>
      <c r="B4988" t="s">
        <v>17</v>
      </c>
      <c r="C4988">
        <v>299</v>
      </c>
      <c r="D4988">
        <v>5.38</v>
      </c>
      <c r="E4988">
        <v>0.97</v>
      </c>
      <c r="F4988">
        <f>COUNTIFS(mdr_rate_cleaned!$A$2:$A$10,B4988,mdr_rate_cleaned!$B$2:$B$10,"&lt;"&amp;C4988,mdr_rate_cleaned!$F$2:$F$10,"&gt;="&amp;C4988)</f>
        <v>1</v>
      </c>
      <c r="G4988">
        <v>1.7999999999999999E-2</v>
      </c>
      <c r="H4988">
        <v>5.38</v>
      </c>
      <c r="I4988" t="s">
        <v>15</v>
      </c>
      <c r="J4988" t="s">
        <v>15</v>
      </c>
      <c r="K4988">
        <v>0.97</v>
      </c>
      <c r="L4988">
        <v>0</v>
      </c>
    </row>
    <row r="4989" spans="1:12" x14ac:dyDescent="0.3">
      <c r="A4989" t="s">
        <v>5005</v>
      </c>
      <c r="B4989" t="s">
        <v>21</v>
      </c>
      <c r="C4989">
        <v>4999</v>
      </c>
      <c r="D4989">
        <v>15</v>
      </c>
      <c r="E4989">
        <v>2.7</v>
      </c>
      <c r="F4989">
        <f>COUNTIFS(mdr_rate_cleaned!$A$2:$A$10,B4989,mdr_rate_cleaned!$B$2:$B$10,"&lt;"&amp;C4989,mdr_rate_cleaned!$F$2:$F$10,"&gt;="&amp;C4989)</f>
        <v>1</v>
      </c>
      <c r="G4989">
        <v>3.0000000000000001E-3</v>
      </c>
      <c r="H4989">
        <v>15</v>
      </c>
      <c r="I4989" t="s">
        <v>15</v>
      </c>
      <c r="J4989" t="s">
        <v>15</v>
      </c>
      <c r="K4989">
        <v>2.7</v>
      </c>
      <c r="L4989">
        <v>0</v>
      </c>
    </row>
    <row r="4990" spans="1:12" x14ac:dyDescent="0.3">
      <c r="A4990" t="s">
        <v>5006</v>
      </c>
      <c r="B4990" t="s">
        <v>17</v>
      </c>
      <c r="C4990">
        <v>1998</v>
      </c>
      <c r="D4990">
        <v>35.96</v>
      </c>
      <c r="E4990">
        <v>6.47</v>
      </c>
      <c r="F4990">
        <f>COUNTIFS(mdr_rate_cleaned!$A$2:$A$10,B4990,mdr_rate_cleaned!$B$2:$B$10,"&lt;"&amp;C4990,mdr_rate_cleaned!$F$2:$F$10,"&gt;="&amp;C4990)</f>
        <v>1</v>
      </c>
      <c r="G4990">
        <v>1.7999999999999999E-2</v>
      </c>
      <c r="H4990">
        <v>35.96</v>
      </c>
      <c r="I4990" t="s">
        <v>15</v>
      </c>
      <c r="J4990" t="s">
        <v>15</v>
      </c>
      <c r="K4990">
        <v>6.47</v>
      </c>
      <c r="L4990">
        <v>0</v>
      </c>
    </row>
    <row r="4991" spans="1:12" x14ac:dyDescent="0.3">
      <c r="A4991" t="s">
        <v>5007</v>
      </c>
      <c r="B4991" t="s">
        <v>13</v>
      </c>
      <c r="C4991">
        <v>4999</v>
      </c>
      <c r="D4991">
        <v>84.98</v>
      </c>
      <c r="E4991">
        <v>15.3</v>
      </c>
      <c r="F4991">
        <f>COUNTIFS(mdr_rate_cleaned!$A$2:$A$10,B4991,mdr_rate_cleaned!$B$2:$B$10,"&lt;"&amp;C4991,mdr_rate_cleaned!$F$2:$F$10,"&gt;="&amp;C4991)</f>
        <v>1</v>
      </c>
      <c r="G4991">
        <v>1.7000000000000001E-2</v>
      </c>
      <c r="H4991">
        <v>84.98</v>
      </c>
      <c r="I4991" t="s">
        <v>15</v>
      </c>
      <c r="J4991" t="s">
        <v>15</v>
      </c>
      <c r="K4991">
        <v>15.3</v>
      </c>
      <c r="L4991">
        <v>0</v>
      </c>
    </row>
    <row r="4992" spans="1:12" x14ac:dyDescent="0.3">
      <c r="A4992" t="s">
        <v>5008</v>
      </c>
      <c r="B4992" t="s">
        <v>17</v>
      </c>
      <c r="C4992">
        <v>1499</v>
      </c>
      <c r="D4992">
        <v>26.98</v>
      </c>
      <c r="E4992">
        <v>4.8600000000000003</v>
      </c>
      <c r="F4992">
        <f>COUNTIFS(mdr_rate_cleaned!$A$2:$A$10,B4992,mdr_rate_cleaned!$B$2:$B$10,"&lt;"&amp;C4992,mdr_rate_cleaned!$F$2:$F$10,"&gt;="&amp;C4992)</f>
        <v>1</v>
      </c>
      <c r="G4992">
        <v>1.7999999999999999E-2</v>
      </c>
      <c r="H4992">
        <v>26.98</v>
      </c>
      <c r="I4992" t="s">
        <v>15</v>
      </c>
      <c r="J4992" t="s">
        <v>15</v>
      </c>
      <c r="K4992">
        <v>4.8600000000000003</v>
      </c>
      <c r="L4992">
        <v>0</v>
      </c>
    </row>
    <row r="4993" spans="1:12" x14ac:dyDescent="0.3">
      <c r="A4993" t="s">
        <v>5009</v>
      </c>
      <c r="B4993" t="s">
        <v>21</v>
      </c>
      <c r="C4993">
        <v>3298</v>
      </c>
      <c r="D4993">
        <v>9.89</v>
      </c>
      <c r="E4993">
        <v>1.78</v>
      </c>
      <c r="F4993">
        <f>COUNTIFS(mdr_rate_cleaned!$A$2:$A$10,B4993,mdr_rate_cleaned!$B$2:$B$10,"&lt;"&amp;C4993,mdr_rate_cleaned!$F$2:$F$10,"&gt;="&amp;C4993)</f>
        <v>1</v>
      </c>
      <c r="G4993">
        <v>3.0000000000000001E-3</v>
      </c>
      <c r="H4993">
        <v>9.89</v>
      </c>
      <c r="I4993" t="s">
        <v>15</v>
      </c>
      <c r="J4993" t="s">
        <v>15</v>
      </c>
      <c r="K4993">
        <v>1.78</v>
      </c>
      <c r="L4993">
        <v>0</v>
      </c>
    </row>
    <row r="4994" spans="1:12" x14ac:dyDescent="0.3">
      <c r="A4994" t="s">
        <v>5010</v>
      </c>
      <c r="B4994" t="s">
        <v>21</v>
      </c>
      <c r="C4994">
        <v>599</v>
      </c>
      <c r="D4994">
        <v>0</v>
      </c>
      <c r="E4994">
        <v>0</v>
      </c>
      <c r="F4994">
        <f>COUNTIFS(mdr_rate_cleaned!$A$2:$A$10,B4994,mdr_rate_cleaned!$B$2:$B$10,"&lt;"&amp;C4994,mdr_rate_cleaned!$F$2:$F$10,"&gt;="&amp;C4994)</f>
        <v>1</v>
      </c>
      <c r="G4994">
        <v>0</v>
      </c>
      <c r="H4994">
        <v>0</v>
      </c>
      <c r="I4994" t="s">
        <v>15</v>
      </c>
      <c r="J4994" t="s">
        <v>15</v>
      </c>
      <c r="K4994">
        <v>0</v>
      </c>
      <c r="L4994">
        <v>0</v>
      </c>
    </row>
    <row r="4995" spans="1:12" x14ac:dyDescent="0.3">
      <c r="A4995" t="s">
        <v>5011</v>
      </c>
      <c r="B4995" t="s">
        <v>17</v>
      </c>
      <c r="C4995">
        <v>4098</v>
      </c>
      <c r="D4995">
        <v>65.569999999999993</v>
      </c>
      <c r="E4995">
        <v>11.8</v>
      </c>
      <c r="F4995">
        <f>COUNTIFS(mdr_rate_cleaned!$A$2:$A$10,B4995,mdr_rate_cleaned!$B$2:$B$10,"&lt;"&amp;C4995,mdr_rate_cleaned!$F$2:$F$10,"&gt;="&amp;C4995)</f>
        <v>1</v>
      </c>
      <c r="G4995">
        <v>1.6E-2</v>
      </c>
      <c r="H4995">
        <v>65.569999999999993</v>
      </c>
      <c r="I4995" t="s">
        <v>15</v>
      </c>
      <c r="J4995" t="s">
        <v>15</v>
      </c>
      <c r="K4995">
        <v>11.8</v>
      </c>
      <c r="L4995">
        <v>0</v>
      </c>
    </row>
    <row r="4996" spans="1:12" x14ac:dyDescent="0.3">
      <c r="A4996" t="s">
        <v>5012</v>
      </c>
      <c r="B4996" t="s">
        <v>13</v>
      </c>
      <c r="C4996">
        <v>3298</v>
      </c>
      <c r="D4996">
        <v>56.07</v>
      </c>
      <c r="E4996">
        <v>10.09</v>
      </c>
      <c r="F4996">
        <f>COUNTIFS(mdr_rate_cleaned!$A$2:$A$10,B4996,mdr_rate_cleaned!$B$2:$B$10,"&lt;"&amp;C4996,mdr_rate_cleaned!$F$2:$F$10,"&gt;="&amp;C4996)</f>
        <v>1</v>
      </c>
      <c r="G4996">
        <v>1.7000000000000001E-2</v>
      </c>
      <c r="H4996">
        <v>56.07</v>
      </c>
      <c r="I4996" t="s">
        <v>15</v>
      </c>
      <c r="J4996" t="s">
        <v>15</v>
      </c>
      <c r="K4996">
        <v>10.09</v>
      </c>
      <c r="L4996">
        <v>0</v>
      </c>
    </row>
    <row r="4997" spans="1:12" x14ac:dyDescent="0.3">
      <c r="A4997" t="s">
        <v>5013</v>
      </c>
      <c r="B4997" t="s">
        <v>17</v>
      </c>
      <c r="C4997">
        <v>349</v>
      </c>
      <c r="D4997">
        <v>6.28</v>
      </c>
      <c r="E4997">
        <v>1.1299999999999999</v>
      </c>
      <c r="F4997">
        <f>COUNTIFS(mdr_rate_cleaned!$A$2:$A$10,B4997,mdr_rate_cleaned!$B$2:$B$10,"&lt;"&amp;C4997,mdr_rate_cleaned!$F$2:$F$10,"&gt;="&amp;C4997)</f>
        <v>1</v>
      </c>
      <c r="G4997">
        <v>1.7999999999999999E-2</v>
      </c>
      <c r="H4997">
        <v>6.28</v>
      </c>
      <c r="I4997" t="s">
        <v>15</v>
      </c>
      <c r="J4997" t="s">
        <v>15</v>
      </c>
      <c r="K4997">
        <v>1.1299999999999999</v>
      </c>
      <c r="L4997">
        <v>0</v>
      </c>
    </row>
    <row r="4998" spans="1:12" x14ac:dyDescent="0.3">
      <c r="A4998" t="s">
        <v>5014</v>
      </c>
      <c r="B4998" t="s">
        <v>21</v>
      </c>
      <c r="C4998">
        <v>2999</v>
      </c>
      <c r="D4998">
        <v>9</v>
      </c>
      <c r="E4998">
        <v>1.62</v>
      </c>
      <c r="F4998">
        <f>COUNTIFS(mdr_rate_cleaned!$A$2:$A$10,B4998,mdr_rate_cleaned!$B$2:$B$10,"&lt;"&amp;C4998,mdr_rate_cleaned!$F$2:$F$10,"&gt;="&amp;C4998)</f>
        <v>1</v>
      </c>
      <c r="G4998">
        <v>3.0000000000000001E-3</v>
      </c>
      <c r="H4998">
        <v>9</v>
      </c>
      <c r="I4998" t="s">
        <v>15</v>
      </c>
      <c r="J4998" t="s">
        <v>15</v>
      </c>
      <c r="K4998">
        <v>1.62</v>
      </c>
      <c r="L4998">
        <v>0</v>
      </c>
    </row>
    <row r="4999" spans="1:12" x14ac:dyDescent="0.3">
      <c r="A4999" t="s">
        <v>5015</v>
      </c>
      <c r="B4999" t="s">
        <v>13</v>
      </c>
      <c r="C4999">
        <v>3998</v>
      </c>
      <c r="D4999">
        <v>67.97</v>
      </c>
      <c r="E4999">
        <v>12.23</v>
      </c>
      <c r="F4999">
        <f>COUNTIFS(mdr_rate_cleaned!$A$2:$A$10,B4999,mdr_rate_cleaned!$B$2:$B$10,"&lt;"&amp;C4999,mdr_rate_cleaned!$F$2:$F$10,"&gt;="&amp;C4999)</f>
        <v>1</v>
      </c>
      <c r="G4999">
        <v>1.7000000000000001E-2</v>
      </c>
      <c r="H4999">
        <v>67.97</v>
      </c>
      <c r="I4999" t="s">
        <v>15</v>
      </c>
      <c r="J4999" t="s">
        <v>15</v>
      </c>
      <c r="K4999">
        <v>12.23</v>
      </c>
      <c r="L4999">
        <v>0</v>
      </c>
    </row>
    <row r="5000" spans="1:12" x14ac:dyDescent="0.3">
      <c r="A5000" t="s">
        <v>5016</v>
      </c>
      <c r="B5000" t="s">
        <v>13</v>
      </c>
      <c r="C5000">
        <v>8798</v>
      </c>
      <c r="D5000">
        <v>149.57</v>
      </c>
      <c r="E5000">
        <v>26.92</v>
      </c>
      <c r="F5000">
        <f>COUNTIFS(mdr_rate_cleaned!$A$2:$A$10,B5000,mdr_rate_cleaned!$B$2:$B$10,"&lt;"&amp;C5000,mdr_rate_cleaned!$F$2:$F$10,"&gt;="&amp;C5000)</f>
        <v>1</v>
      </c>
      <c r="G5000">
        <v>1.7000000000000001E-2</v>
      </c>
      <c r="H5000">
        <v>149.57</v>
      </c>
      <c r="I5000" t="s">
        <v>15</v>
      </c>
      <c r="J5000" t="s">
        <v>15</v>
      </c>
      <c r="K5000">
        <v>26.92</v>
      </c>
      <c r="L5000">
        <v>0</v>
      </c>
    </row>
    <row r="5001" spans="1:12" x14ac:dyDescent="0.3">
      <c r="A5001" t="s">
        <v>5017</v>
      </c>
      <c r="B5001" t="s">
        <v>17</v>
      </c>
      <c r="C5001">
        <v>3598</v>
      </c>
      <c r="D5001">
        <v>57.57</v>
      </c>
      <c r="E5001">
        <v>10.36</v>
      </c>
      <c r="F5001">
        <f>COUNTIFS(mdr_rate_cleaned!$A$2:$A$10,B5001,mdr_rate_cleaned!$B$2:$B$10,"&lt;"&amp;C5001,mdr_rate_cleaned!$F$2:$F$10,"&gt;="&amp;C5001)</f>
        <v>1</v>
      </c>
      <c r="G5001">
        <v>1.6E-2</v>
      </c>
      <c r="H5001">
        <v>57.57</v>
      </c>
      <c r="I5001" t="s">
        <v>15</v>
      </c>
      <c r="J5001" t="s">
        <v>15</v>
      </c>
      <c r="K5001">
        <v>10.36</v>
      </c>
      <c r="L5001">
        <v>0</v>
      </c>
    </row>
    <row r="5002" spans="1:12" x14ac:dyDescent="0.3">
      <c r="A5002" t="s">
        <v>5018</v>
      </c>
      <c r="B5002" t="s">
        <v>21</v>
      </c>
      <c r="C5002">
        <v>4999</v>
      </c>
      <c r="D5002">
        <v>15</v>
      </c>
      <c r="E5002">
        <v>2.7</v>
      </c>
      <c r="F5002">
        <f>COUNTIFS(mdr_rate_cleaned!$A$2:$A$10,B5002,mdr_rate_cleaned!$B$2:$B$10,"&lt;"&amp;C5002,mdr_rate_cleaned!$F$2:$F$10,"&gt;="&amp;C5002)</f>
        <v>1</v>
      </c>
      <c r="G5002">
        <v>3.0000000000000001E-3</v>
      </c>
      <c r="H5002">
        <v>15</v>
      </c>
      <c r="I5002" t="s">
        <v>15</v>
      </c>
      <c r="J5002" t="s">
        <v>15</v>
      </c>
      <c r="K5002">
        <v>2.7</v>
      </c>
      <c r="L5002">
        <v>0</v>
      </c>
    </row>
    <row r="5003" spans="1:12" x14ac:dyDescent="0.3">
      <c r="A5003" t="s">
        <v>5019</v>
      </c>
      <c r="B5003" t="s">
        <v>21</v>
      </c>
      <c r="C5003">
        <v>10397</v>
      </c>
      <c r="D5003">
        <v>31.19</v>
      </c>
      <c r="E5003">
        <v>5.61</v>
      </c>
      <c r="F5003">
        <f>COUNTIFS(mdr_rate_cleaned!$A$2:$A$10,B5003,mdr_rate_cleaned!$B$2:$B$10,"&lt;"&amp;C5003,mdr_rate_cleaned!$F$2:$F$10,"&gt;="&amp;C5003)</f>
        <v>1</v>
      </c>
      <c r="G5003">
        <v>3.0000000000000001E-3</v>
      </c>
      <c r="H5003">
        <v>31.19</v>
      </c>
      <c r="I5003" t="s">
        <v>15</v>
      </c>
      <c r="J5003" t="s">
        <v>15</v>
      </c>
      <c r="K5003">
        <v>5.61</v>
      </c>
      <c r="L5003">
        <v>0</v>
      </c>
    </row>
    <row r="5004" spans="1:12" x14ac:dyDescent="0.3">
      <c r="A5004" t="s">
        <v>5020</v>
      </c>
      <c r="B5004" t="s">
        <v>17</v>
      </c>
      <c r="C5004">
        <v>3798</v>
      </c>
      <c r="D5004">
        <v>60.77</v>
      </c>
      <c r="E5004">
        <v>10.94</v>
      </c>
      <c r="F5004">
        <f>COUNTIFS(mdr_rate_cleaned!$A$2:$A$10,B5004,mdr_rate_cleaned!$B$2:$B$10,"&lt;"&amp;C5004,mdr_rate_cleaned!$F$2:$F$10,"&gt;="&amp;C5004)</f>
        <v>1</v>
      </c>
      <c r="G5004">
        <v>1.6E-2</v>
      </c>
      <c r="H5004">
        <v>60.77</v>
      </c>
      <c r="I5004" t="s">
        <v>15</v>
      </c>
      <c r="J5004" t="s">
        <v>15</v>
      </c>
      <c r="K5004">
        <v>10.94</v>
      </c>
      <c r="L5004">
        <v>0</v>
      </c>
    </row>
    <row r="5005" spans="1:12" x14ac:dyDescent="0.3">
      <c r="A5005" t="s">
        <v>5021</v>
      </c>
      <c r="B5005" t="s">
        <v>21</v>
      </c>
      <c r="C5005">
        <v>599</v>
      </c>
      <c r="D5005">
        <v>0</v>
      </c>
      <c r="E5005">
        <v>0</v>
      </c>
      <c r="F5005">
        <f>COUNTIFS(mdr_rate_cleaned!$A$2:$A$10,B5005,mdr_rate_cleaned!$B$2:$B$10,"&lt;"&amp;C5005,mdr_rate_cleaned!$F$2:$F$10,"&gt;="&amp;C5005)</f>
        <v>1</v>
      </c>
      <c r="G5005">
        <v>0</v>
      </c>
      <c r="H5005">
        <v>0</v>
      </c>
      <c r="I5005" t="s">
        <v>15</v>
      </c>
      <c r="J5005" t="s">
        <v>15</v>
      </c>
      <c r="K5005">
        <v>0</v>
      </c>
      <c r="L5005">
        <v>0</v>
      </c>
    </row>
    <row r="5006" spans="1:12" x14ac:dyDescent="0.3">
      <c r="A5006" t="s">
        <v>5022</v>
      </c>
      <c r="B5006" t="s">
        <v>21</v>
      </c>
      <c r="C5006">
        <v>3598</v>
      </c>
      <c r="D5006">
        <v>10.79</v>
      </c>
      <c r="E5006">
        <v>1.94</v>
      </c>
      <c r="F5006">
        <f>COUNTIFS(mdr_rate_cleaned!$A$2:$A$10,B5006,mdr_rate_cleaned!$B$2:$B$10,"&lt;"&amp;C5006,mdr_rate_cleaned!$F$2:$F$10,"&gt;="&amp;C5006)</f>
        <v>1</v>
      </c>
      <c r="G5006">
        <v>3.0000000000000001E-3</v>
      </c>
      <c r="H5006">
        <v>10.79</v>
      </c>
      <c r="I5006" t="s">
        <v>15</v>
      </c>
      <c r="J5006" t="s">
        <v>15</v>
      </c>
      <c r="K5006">
        <v>1.94</v>
      </c>
      <c r="L5006">
        <v>0</v>
      </c>
    </row>
    <row r="5007" spans="1:12" x14ac:dyDescent="0.3">
      <c r="A5007" t="s">
        <v>5023</v>
      </c>
      <c r="B5007" t="s">
        <v>21</v>
      </c>
      <c r="C5007">
        <v>1348</v>
      </c>
      <c r="D5007">
        <v>0</v>
      </c>
      <c r="E5007">
        <v>0</v>
      </c>
      <c r="F5007">
        <f>COUNTIFS(mdr_rate_cleaned!$A$2:$A$10,B5007,mdr_rate_cleaned!$B$2:$B$10,"&lt;"&amp;C5007,mdr_rate_cleaned!$F$2:$F$10,"&gt;="&amp;C5007)</f>
        <v>1</v>
      </c>
      <c r="G5007">
        <v>0</v>
      </c>
      <c r="H5007">
        <v>0</v>
      </c>
      <c r="I5007" t="s">
        <v>15</v>
      </c>
      <c r="J5007" t="s">
        <v>15</v>
      </c>
      <c r="K5007">
        <v>0</v>
      </c>
      <c r="L5007">
        <v>0</v>
      </c>
    </row>
    <row r="5008" spans="1:12" x14ac:dyDescent="0.3">
      <c r="A5008" t="s">
        <v>5024</v>
      </c>
      <c r="B5008" t="s">
        <v>21</v>
      </c>
      <c r="C5008">
        <v>3798</v>
      </c>
      <c r="D5008">
        <v>11.39</v>
      </c>
      <c r="E5008">
        <v>2.0499999999999998</v>
      </c>
      <c r="F5008">
        <f>COUNTIFS(mdr_rate_cleaned!$A$2:$A$10,B5008,mdr_rate_cleaned!$B$2:$B$10,"&lt;"&amp;C5008,mdr_rate_cleaned!$F$2:$F$10,"&gt;="&amp;C5008)</f>
        <v>1</v>
      </c>
      <c r="G5008">
        <v>3.0000000000000001E-3</v>
      </c>
      <c r="H5008">
        <v>11.39</v>
      </c>
      <c r="I5008" t="s">
        <v>15</v>
      </c>
      <c r="J5008" t="s">
        <v>15</v>
      </c>
      <c r="K5008">
        <v>2.0499999999999998</v>
      </c>
      <c r="L5008">
        <v>0</v>
      </c>
    </row>
    <row r="5009" spans="1:12" x14ac:dyDescent="0.3">
      <c r="A5009" t="s">
        <v>5025</v>
      </c>
      <c r="B5009" t="s">
        <v>21</v>
      </c>
      <c r="C5009">
        <v>2499</v>
      </c>
      <c r="D5009">
        <v>7.5</v>
      </c>
      <c r="E5009">
        <v>1.35</v>
      </c>
      <c r="F5009">
        <f>COUNTIFS(mdr_rate_cleaned!$A$2:$A$10,B5009,mdr_rate_cleaned!$B$2:$B$10,"&lt;"&amp;C5009,mdr_rate_cleaned!$F$2:$F$10,"&gt;="&amp;C5009)</f>
        <v>1</v>
      </c>
      <c r="G5009">
        <v>3.0000000000000001E-3</v>
      </c>
      <c r="H5009">
        <v>7.5</v>
      </c>
      <c r="I5009" t="s">
        <v>15</v>
      </c>
      <c r="J5009" t="s">
        <v>15</v>
      </c>
      <c r="K5009">
        <v>1.35</v>
      </c>
      <c r="L5009">
        <v>0</v>
      </c>
    </row>
    <row r="5010" spans="1:12" x14ac:dyDescent="0.3">
      <c r="A5010" t="s">
        <v>5026</v>
      </c>
      <c r="B5010" t="s">
        <v>39</v>
      </c>
      <c r="C5010">
        <v>799</v>
      </c>
      <c r="D5010">
        <v>11.99</v>
      </c>
      <c r="E5010">
        <v>2.16</v>
      </c>
      <c r="F5010">
        <f>COUNTIFS(mdr_rate_cleaned!$A$2:$A$10,B5010,mdr_rate_cleaned!$B$2:$B$10,"&lt;"&amp;C5010,mdr_rate_cleaned!$F$2:$F$10,"&gt;="&amp;C5010)</f>
        <v>1</v>
      </c>
      <c r="G5010">
        <v>1.4999999999999999E-2</v>
      </c>
      <c r="H5010">
        <v>11.99</v>
      </c>
      <c r="I5010" t="s">
        <v>15</v>
      </c>
      <c r="J5010" t="s">
        <v>15</v>
      </c>
      <c r="K5010">
        <v>2.16</v>
      </c>
      <c r="L5010">
        <v>0</v>
      </c>
    </row>
    <row r="5011" spans="1:12" x14ac:dyDescent="0.3">
      <c r="A5011" t="s">
        <v>5027</v>
      </c>
      <c r="B5011" t="s">
        <v>17</v>
      </c>
      <c r="C5011">
        <v>4798</v>
      </c>
      <c r="D5011">
        <v>76.77</v>
      </c>
      <c r="E5011">
        <v>13.82</v>
      </c>
      <c r="F5011">
        <f>COUNTIFS(mdr_rate_cleaned!$A$2:$A$10,B5011,mdr_rate_cleaned!$B$2:$B$10,"&lt;"&amp;C5011,mdr_rate_cleaned!$F$2:$F$10,"&gt;="&amp;C5011)</f>
        <v>1</v>
      </c>
      <c r="G5011">
        <v>1.6E-2</v>
      </c>
      <c r="H5011">
        <v>76.77</v>
      </c>
      <c r="I5011" t="s">
        <v>15</v>
      </c>
      <c r="J5011" t="s">
        <v>15</v>
      </c>
      <c r="K5011">
        <v>13.82</v>
      </c>
      <c r="L5011">
        <v>0</v>
      </c>
    </row>
    <row r="5012" spans="1:12" x14ac:dyDescent="0.3">
      <c r="A5012" t="s">
        <v>5028</v>
      </c>
      <c r="B5012" t="s">
        <v>21</v>
      </c>
      <c r="C5012">
        <v>1299</v>
      </c>
      <c r="D5012">
        <v>0</v>
      </c>
      <c r="E5012">
        <v>0</v>
      </c>
      <c r="F5012">
        <f>COUNTIFS(mdr_rate_cleaned!$A$2:$A$10,B5012,mdr_rate_cleaned!$B$2:$B$10,"&lt;"&amp;C5012,mdr_rate_cleaned!$F$2:$F$10,"&gt;="&amp;C5012)</f>
        <v>1</v>
      </c>
      <c r="G5012">
        <v>0</v>
      </c>
      <c r="H5012">
        <v>0</v>
      </c>
      <c r="I5012" t="s">
        <v>15</v>
      </c>
      <c r="J5012" t="s">
        <v>15</v>
      </c>
      <c r="K5012">
        <v>0</v>
      </c>
      <c r="L5012">
        <v>0</v>
      </c>
    </row>
    <row r="5013" spans="1:12" x14ac:dyDescent="0.3">
      <c r="A5013" t="s">
        <v>5029</v>
      </c>
      <c r="B5013" t="s">
        <v>17</v>
      </c>
      <c r="C5013">
        <v>349</v>
      </c>
      <c r="D5013">
        <v>6.28</v>
      </c>
      <c r="E5013">
        <v>1.1299999999999999</v>
      </c>
      <c r="F5013">
        <f>COUNTIFS(mdr_rate_cleaned!$A$2:$A$10,B5013,mdr_rate_cleaned!$B$2:$B$10,"&lt;"&amp;C5013,mdr_rate_cleaned!$F$2:$F$10,"&gt;="&amp;C5013)</f>
        <v>1</v>
      </c>
      <c r="G5013">
        <v>1.7999999999999999E-2</v>
      </c>
      <c r="H5013">
        <v>6.28</v>
      </c>
      <c r="I5013" t="s">
        <v>15</v>
      </c>
      <c r="J5013" t="s">
        <v>15</v>
      </c>
      <c r="K5013">
        <v>1.1299999999999999</v>
      </c>
      <c r="L5013">
        <v>0</v>
      </c>
    </row>
    <row r="5014" spans="1:12" x14ac:dyDescent="0.3">
      <c r="A5014" t="s">
        <v>5030</v>
      </c>
      <c r="B5014" t="s">
        <v>13</v>
      </c>
      <c r="C5014">
        <v>1299</v>
      </c>
      <c r="D5014">
        <v>24.68</v>
      </c>
      <c r="E5014">
        <v>4.4400000000000004</v>
      </c>
      <c r="F5014">
        <f>COUNTIFS(mdr_rate_cleaned!$A$2:$A$10,B5014,mdr_rate_cleaned!$B$2:$B$10,"&lt;"&amp;C5014,mdr_rate_cleaned!$F$2:$F$10,"&gt;="&amp;C5014)</f>
        <v>1</v>
      </c>
      <c r="G5014">
        <v>1.9E-2</v>
      </c>
      <c r="H5014">
        <v>24.68</v>
      </c>
      <c r="I5014" t="s">
        <v>15</v>
      </c>
      <c r="J5014" t="s">
        <v>15</v>
      </c>
      <c r="K5014">
        <v>4.4400000000000004</v>
      </c>
      <c r="L5014">
        <v>0</v>
      </c>
    </row>
    <row r="5015" spans="1:12" x14ac:dyDescent="0.3">
      <c r="A5015" t="s">
        <v>5031</v>
      </c>
      <c r="B5015" t="s">
        <v>21</v>
      </c>
      <c r="C5015">
        <v>4197</v>
      </c>
      <c r="D5015">
        <v>12.59</v>
      </c>
      <c r="E5015">
        <v>2.27</v>
      </c>
      <c r="F5015">
        <f>COUNTIFS(mdr_rate_cleaned!$A$2:$A$10,B5015,mdr_rate_cleaned!$B$2:$B$10,"&lt;"&amp;C5015,mdr_rate_cleaned!$F$2:$F$10,"&gt;="&amp;C5015)</f>
        <v>1</v>
      </c>
      <c r="G5015">
        <v>3.0000000000000001E-3</v>
      </c>
      <c r="H5015">
        <v>12.59</v>
      </c>
      <c r="I5015" t="s">
        <v>15</v>
      </c>
      <c r="J5015" t="s">
        <v>15</v>
      </c>
      <c r="K5015">
        <v>2.27</v>
      </c>
      <c r="L5015">
        <v>0</v>
      </c>
    </row>
    <row r="5016" spans="1:12" x14ac:dyDescent="0.3">
      <c r="A5016" t="s">
        <v>5032</v>
      </c>
      <c r="B5016" t="s">
        <v>17</v>
      </c>
      <c r="C5016">
        <v>6998</v>
      </c>
      <c r="D5016">
        <v>111.97</v>
      </c>
      <c r="E5016">
        <v>20.149999999999999</v>
      </c>
      <c r="F5016">
        <f>COUNTIFS(mdr_rate_cleaned!$A$2:$A$10,B5016,mdr_rate_cleaned!$B$2:$B$10,"&lt;"&amp;C5016,mdr_rate_cleaned!$F$2:$F$10,"&gt;="&amp;C5016)</f>
        <v>1</v>
      </c>
      <c r="G5016">
        <v>1.6E-2</v>
      </c>
      <c r="H5016">
        <v>111.97</v>
      </c>
      <c r="I5016" t="s">
        <v>15</v>
      </c>
      <c r="J5016" t="s">
        <v>15</v>
      </c>
      <c r="K5016">
        <v>20.149999999999999</v>
      </c>
      <c r="L5016">
        <v>0</v>
      </c>
    </row>
    <row r="5017" spans="1:12" x14ac:dyDescent="0.3">
      <c r="A5017" t="s">
        <v>5033</v>
      </c>
      <c r="B5017" t="s">
        <v>21</v>
      </c>
      <c r="C5017">
        <v>299</v>
      </c>
      <c r="D5017">
        <v>0</v>
      </c>
      <c r="E5017">
        <v>0</v>
      </c>
      <c r="F5017">
        <f>COUNTIFS(mdr_rate_cleaned!$A$2:$A$10,B5017,mdr_rate_cleaned!$B$2:$B$10,"&lt;"&amp;C5017,mdr_rate_cleaned!$F$2:$F$10,"&gt;="&amp;C5017)</f>
        <v>1</v>
      </c>
      <c r="G5017">
        <v>0</v>
      </c>
      <c r="H5017">
        <v>0</v>
      </c>
      <c r="I5017" t="s">
        <v>15</v>
      </c>
      <c r="J5017" t="s">
        <v>15</v>
      </c>
      <c r="K5017">
        <v>0</v>
      </c>
      <c r="L5017">
        <v>0</v>
      </c>
    </row>
    <row r="5018" spans="1:12" x14ac:dyDescent="0.3">
      <c r="A5018" t="s">
        <v>5034</v>
      </c>
      <c r="B5018" t="s">
        <v>21</v>
      </c>
      <c r="C5018">
        <v>349</v>
      </c>
      <c r="D5018">
        <v>0</v>
      </c>
      <c r="E5018">
        <v>0</v>
      </c>
      <c r="F5018">
        <f>COUNTIFS(mdr_rate_cleaned!$A$2:$A$10,B5018,mdr_rate_cleaned!$B$2:$B$10,"&lt;"&amp;C5018,mdr_rate_cleaned!$F$2:$F$10,"&gt;="&amp;C5018)</f>
        <v>1</v>
      </c>
      <c r="G5018">
        <v>0</v>
      </c>
      <c r="H5018">
        <v>0</v>
      </c>
      <c r="I5018" t="s">
        <v>15</v>
      </c>
      <c r="J5018" t="s">
        <v>15</v>
      </c>
      <c r="K5018">
        <v>0</v>
      </c>
      <c r="L5018">
        <v>0</v>
      </c>
    </row>
    <row r="5019" spans="1:12" x14ac:dyDescent="0.3">
      <c r="A5019" t="s">
        <v>5035</v>
      </c>
      <c r="B5019" t="s">
        <v>17</v>
      </c>
      <c r="C5019">
        <v>8998</v>
      </c>
      <c r="D5019">
        <v>143.97</v>
      </c>
      <c r="E5019">
        <v>25.91</v>
      </c>
      <c r="F5019">
        <f>COUNTIFS(mdr_rate_cleaned!$A$2:$A$10,B5019,mdr_rate_cleaned!$B$2:$B$10,"&lt;"&amp;C5019,mdr_rate_cleaned!$F$2:$F$10,"&gt;="&amp;C5019)</f>
        <v>1</v>
      </c>
      <c r="G5019">
        <v>1.6E-2</v>
      </c>
      <c r="H5019">
        <v>143.97</v>
      </c>
      <c r="I5019" t="s">
        <v>15</v>
      </c>
      <c r="J5019" t="s">
        <v>15</v>
      </c>
      <c r="K5019">
        <v>25.91</v>
      </c>
      <c r="L5019">
        <v>0</v>
      </c>
    </row>
    <row r="5020" spans="1:12" x14ac:dyDescent="0.3">
      <c r="A5020" t="s">
        <v>5036</v>
      </c>
      <c r="B5020" t="s">
        <v>17</v>
      </c>
      <c r="C5020">
        <v>5498</v>
      </c>
      <c r="D5020">
        <v>87.97</v>
      </c>
      <c r="E5020">
        <v>15.83</v>
      </c>
      <c r="F5020">
        <f>COUNTIFS(mdr_rate_cleaned!$A$2:$A$10,B5020,mdr_rate_cleaned!$B$2:$B$10,"&lt;"&amp;C5020,mdr_rate_cleaned!$F$2:$F$10,"&gt;="&amp;C5020)</f>
        <v>1</v>
      </c>
      <c r="G5020">
        <v>1.6E-2</v>
      </c>
      <c r="H5020">
        <v>87.97</v>
      </c>
      <c r="I5020" t="s">
        <v>15</v>
      </c>
      <c r="J5020" t="s">
        <v>15</v>
      </c>
      <c r="K5020">
        <v>15.83</v>
      </c>
      <c r="L5020">
        <v>0</v>
      </c>
    </row>
    <row r="5021" spans="1:12" x14ac:dyDescent="0.3">
      <c r="A5021" t="s">
        <v>5037</v>
      </c>
      <c r="B5021" t="s">
        <v>17</v>
      </c>
      <c r="C5021">
        <v>499</v>
      </c>
      <c r="D5021">
        <v>8.98</v>
      </c>
      <c r="E5021">
        <v>1.62</v>
      </c>
      <c r="F5021">
        <f>COUNTIFS(mdr_rate_cleaned!$A$2:$A$10,B5021,mdr_rate_cleaned!$B$2:$B$10,"&lt;"&amp;C5021,mdr_rate_cleaned!$F$2:$F$10,"&gt;="&amp;C5021)</f>
        <v>1</v>
      </c>
      <c r="G5021">
        <v>1.7999999999999999E-2</v>
      </c>
      <c r="H5021">
        <v>8.98</v>
      </c>
      <c r="I5021" t="s">
        <v>15</v>
      </c>
      <c r="J5021" t="s">
        <v>15</v>
      </c>
      <c r="K5021">
        <v>1.62</v>
      </c>
      <c r="L5021">
        <v>0</v>
      </c>
    </row>
    <row r="5022" spans="1:12" x14ac:dyDescent="0.3">
      <c r="A5022" t="s">
        <v>5038</v>
      </c>
      <c r="B5022" t="s">
        <v>21</v>
      </c>
      <c r="C5022">
        <v>7999</v>
      </c>
      <c r="D5022">
        <v>24</v>
      </c>
      <c r="E5022">
        <v>4.32</v>
      </c>
      <c r="F5022">
        <f>COUNTIFS(mdr_rate_cleaned!$A$2:$A$10,B5022,mdr_rate_cleaned!$B$2:$B$10,"&lt;"&amp;C5022,mdr_rate_cleaned!$F$2:$F$10,"&gt;="&amp;C5022)</f>
        <v>1</v>
      </c>
      <c r="G5022">
        <v>3.0000000000000001E-3</v>
      </c>
      <c r="H5022">
        <v>24</v>
      </c>
      <c r="I5022" t="s">
        <v>15</v>
      </c>
      <c r="J5022" t="s">
        <v>15</v>
      </c>
      <c r="K5022">
        <v>4.32</v>
      </c>
      <c r="L5022">
        <v>0</v>
      </c>
    </row>
    <row r="5023" spans="1:12" x14ac:dyDescent="0.3">
      <c r="A5023" t="s">
        <v>5039</v>
      </c>
      <c r="B5023" t="s">
        <v>21</v>
      </c>
      <c r="C5023">
        <v>599</v>
      </c>
      <c r="D5023">
        <v>0</v>
      </c>
      <c r="E5023">
        <v>0</v>
      </c>
      <c r="F5023">
        <f>COUNTIFS(mdr_rate_cleaned!$A$2:$A$10,B5023,mdr_rate_cleaned!$B$2:$B$10,"&lt;"&amp;C5023,mdr_rate_cleaned!$F$2:$F$10,"&gt;="&amp;C5023)</f>
        <v>1</v>
      </c>
      <c r="G5023">
        <v>0</v>
      </c>
      <c r="H5023">
        <v>0</v>
      </c>
      <c r="I5023" t="s">
        <v>15</v>
      </c>
      <c r="J5023" t="s">
        <v>15</v>
      </c>
      <c r="K5023">
        <v>0</v>
      </c>
      <c r="L5023">
        <v>0</v>
      </c>
    </row>
    <row r="5024" spans="1:12" x14ac:dyDescent="0.3">
      <c r="A5024" t="s">
        <v>5040</v>
      </c>
      <c r="B5024" t="s">
        <v>21</v>
      </c>
      <c r="C5024">
        <v>349</v>
      </c>
      <c r="D5024">
        <v>0</v>
      </c>
      <c r="E5024">
        <v>0</v>
      </c>
      <c r="F5024">
        <f>COUNTIFS(mdr_rate_cleaned!$A$2:$A$10,B5024,mdr_rate_cleaned!$B$2:$B$10,"&lt;"&amp;C5024,mdr_rate_cleaned!$F$2:$F$10,"&gt;="&amp;C5024)</f>
        <v>1</v>
      </c>
      <c r="G5024">
        <v>0</v>
      </c>
      <c r="H5024">
        <v>0</v>
      </c>
      <c r="I5024" t="s">
        <v>15</v>
      </c>
      <c r="J5024" t="s">
        <v>15</v>
      </c>
      <c r="K5024">
        <v>0</v>
      </c>
      <c r="L5024">
        <v>0</v>
      </c>
    </row>
    <row r="5025" spans="1:12" x14ac:dyDescent="0.3">
      <c r="A5025" t="s">
        <v>5041</v>
      </c>
      <c r="B5025" t="s">
        <v>13</v>
      </c>
      <c r="C5025">
        <v>4798</v>
      </c>
      <c r="D5025">
        <v>81.569999999999993</v>
      </c>
      <c r="E5025">
        <v>14.68</v>
      </c>
      <c r="F5025">
        <f>COUNTIFS(mdr_rate_cleaned!$A$2:$A$10,B5025,mdr_rate_cleaned!$B$2:$B$10,"&lt;"&amp;C5025,mdr_rate_cleaned!$F$2:$F$10,"&gt;="&amp;C5025)</f>
        <v>1</v>
      </c>
      <c r="G5025">
        <v>1.7000000000000001E-2</v>
      </c>
      <c r="H5025">
        <v>81.569999999999993</v>
      </c>
      <c r="I5025" t="s">
        <v>15</v>
      </c>
      <c r="J5025" t="s">
        <v>15</v>
      </c>
      <c r="K5025">
        <v>14.68</v>
      </c>
      <c r="L5025">
        <v>0</v>
      </c>
    </row>
    <row r="5026" spans="1:12" x14ac:dyDescent="0.3">
      <c r="A5026" t="s">
        <v>5042</v>
      </c>
      <c r="B5026" t="s">
        <v>21</v>
      </c>
      <c r="C5026">
        <v>2097</v>
      </c>
      <c r="D5026">
        <v>6.29</v>
      </c>
      <c r="E5026">
        <v>1.1299999999999999</v>
      </c>
      <c r="F5026">
        <f>COUNTIFS(mdr_rate_cleaned!$A$2:$A$10,B5026,mdr_rate_cleaned!$B$2:$B$10,"&lt;"&amp;C5026,mdr_rate_cleaned!$F$2:$F$10,"&gt;="&amp;C5026)</f>
        <v>1</v>
      </c>
      <c r="G5026">
        <v>3.0000000000000001E-3</v>
      </c>
      <c r="H5026">
        <v>6.29</v>
      </c>
      <c r="I5026" t="s">
        <v>15</v>
      </c>
      <c r="J5026" t="s">
        <v>15</v>
      </c>
      <c r="K5026">
        <v>1.1299999999999999</v>
      </c>
      <c r="L5026">
        <v>0</v>
      </c>
    </row>
    <row r="5027" spans="1:12" x14ac:dyDescent="0.3">
      <c r="A5027" t="s">
        <v>5043</v>
      </c>
      <c r="B5027" t="s">
        <v>39</v>
      </c>
      <c r="C5027">
        <v>2298</v>
      </c>
      <c r="D5027">
        <v>27.58</v>
      </c>
      <c r="E5027">
        <v>4.96</v>
      </c>
      <c r="F5027">
        <f>COUNTIFS(mdr_rate_cleaned!$A$2:$A$10,B5027,mdr_rate_cleaned!$B$2:$B$10,"&lt;"&amp;C5027,mdr_rate_cleaned!$F$2:$F$10,"&gt;="&amp;C5027)</f>
        <v>1</v>
      </c>
      <c r="G5027">
        <v>1.2E-2</v>
      </c>
      <c r="H5027">
        <v>27.58</v>
      </c>
      <c r="I5027" t="s">
        <v>15</v>
      </c>
      <c r="J5027" t="s">
        <v>15</v>
      </c>
      <c r="K5027">
        <v>4.96</v>
      </c>
      <c r="L5027">
        <v>0</v>
      </c>
    </row>
    <row r="5028" spans="1:12" x14ac:dyDescent="0.3">
      <c r="A5028" t="s">
        <v>5044</v>
      </c>
      <c r="B5028" t="s">
        <v>21</v>
      </c>
      <c r="C5028">
        <v>3848</v>
      </c>
      <c r="D5028">
        <v>11.54</v>
      </c>
      <c r="E5028">
        <v>2.08</v>
      </c>
      <c r="F5028">
        <f>COUNTIFS(mdr_rate_cleaned!$A$2:$A$10,B5028,mdr_rate_cleaned!$B$2:$B$10,"&lt;"&amp;C5028,mdr_rate_cleaned!$F$2:$F$10,"&gt;="&amp;C5028)</f>
        <v>1</v>
      </c>
      <c r="G5028">
        <v>3.0000000000000001E-3</v>
      </c>
      <c r="H5028">
        <v>11.54</v>
      </c>
      <c r="I5028" t="s">
        <v>15</v>
      </c>
      <c r="J5028" t="s">
        <v>15</v>
      </c>
      <c r="K5028">
        <v>2.08</v>
      </c>
      <c r="L5028">
        <v>0</v>
      </c>
    </row>
    <row r="5029" spans="1:12" x14ac:dyDescent="0.3">
      <c r="A5029" t="s">
        <v>5045</v>
      </c>
      <c r="B5029" t="s">
        <v>21</v>
      </c>
      <c r="C5029">
        <v>16597</v>
      </c>
      <c r="D5029">
        <v>49.79</v>
      </c>
      <c r="E5029">
        <v>8.9600000000000009</v>
      </c>
      <c r="F5029">
        <f>COUNTIFS(mdr_rate_cleaned!$A$2:$A$10,B5029,mdr_rate_cleaned!$B$2:$B$10,"&lt;"&amp;C5029,mdr_rate_cleaned!$F$2:$F$10,"&gt;="&amp;C5029)</f>
        <v>1</v>
      </c>
      <c r="G5029">
        <v>3.0000000000000001E-3</v>
      </c>
      <c r="H5029">
        <v>49.79</v>
      </c>
      <c r="I5029" t="s">
        <v>15</v>
      </c>
      <c r="J5029" t="s">
        <v>15</v>
      </c>
      <c r="K5029">
        <v>8.9600000000000009</v>
      </c>
      <c r="L5029">
        <v>0</v>
      </c>
    </row>
    <row r="5030" spans="1:12" x14ac:dyDescent="0.3">
      <c r="A5030" t="s">
        <v>5046</v>
      </c>
      <c r="B5030" t="s">
        <v>21</v>
      </c>
      <c r="C5030">
        <v>299</v>
      </c>
      <c r="D5030">
        <v>0</v>
      </c>
      <c r="E5030">
        <v>0</v>
      </c>
      <c r="F5030">
        <f>COUNTIFS(mdr_rate_cleaned!$A$2:$A$10,B5030,mdr_rate_cleaned!$B$2:$B$10,"&lt;"&amp;C5030,mdr_rate_cleaned!$F$2:$F$10,"&gt;="&amp;C5030)</f>
        <v>1</v>
      </c>
      <c r="G5030">
        <v>0</v>
      </c>
      <c r="H5030">
        <v>0</v>
      </c>
      <c r="I5030" t="s">
        <v>15</v>
      </c>
      <c r="J5030" t="s">
        <v>15</v>
      </c>
      <c r="K5030">
        <v>0</v>
      </c>
      <c r="L5030">
        <v>0</v>
      </c>
    </row>
    <row r="5031" spans="1:12" x14ac:dyDescent="0.3">
      <c r="A5031" t="s">
        <v>5047</v>
      </c>
      <c r="B5031" t="s">
        <v>21</v>
      </c>
      <c r="C5031">
        <v>2098</v>
      </c>
      <c r="D5031">
        <v>6.29</v>
      </c>
      <c r="E5031">
        <v>1.1299999999999999</v>
      </c>
      <c r="F5031">
        <f>COUNTIFS(mdr_rate_cleaned!$A$2:$A$10,B5031,mdr_rate_cleaned!$B$2:$B$10,"&lt;"&amp;C5031,mdr_rate_cleaned!$F$2:$F$10,"&gt;="&amp;C5031)</f>
        <v>1</v>
      </c>
      <c r="G5031">
        <v>3.0000000000000001E-3</v>
      </c>
      <c r="H5031">
        <v>6.29</v>
      </c>
      <c r="I5031" t="s">
        <v>15</v>
      </c>
      <c r="J5031" t="s">
        <v>15</v>
      </c>
      <c r="K5031">
        <v>1.1299999999999999</v>
      </c>
      <c r="L5031">
        <v>0</v>
      </c>
    </row>
    <row r="5032" spans="1:12" x14ac:dyDescent="0.3">
      <c r="A5032" t="s">
        <v>5048</v>
      </c>
      <c r="B5032" t="s">
        <v>13</v>
      </c>
      <c r="C5032">
        <v>1499</v>
      </c>
      <c r="D5032">
        <v>28.48</v>
      </c>
      <c r="E5032">
        <v>5.13</v>
      </c>
      <c r="F5032">
        <f>COUNTIFS(mdr_rate_cleaned!$A$2:$A$10,B5032,mdr_rate_cleaned!$B$2:$B$10,"&lt;"&amp;C5032,mdr_rate_cleaned!$F$2:$F$10,"&gt;="&amp;C5032)</f>
        <v>1</v>
      </c>
      <c r="G5032">
        <v>1.9E-2</v>
      </c>
      <c r="H5032">
        <v>28.48</v>
      </c>
      <c r="I5032" t="s">
        <v>15</v>
      </c>
      <c r="J5032" t="s">
        <v>15</v>
      </c>
      <c r="K5032">
        <v>5.13</v>
      </c>
      <c r="L5032">
        <v>0</v>
      </c>
    </row>
    <row r="5033" spans="1:12" x14ac:dyDescent="0.3">
      <c r="A5033" t="s">
        <v>5049</v>
      </c>
      <c r="B5033" t="s">
        <v>21</v>
      </c>
      <c r="C5033">
        <v>2998</v>
      </c>
      <c r="D5033">
        <v>8.99</v>
      </c>
      <c r="E5033">
        <v>1.62</v>
      </c>
      <c r="F5033">
        <f>COUNTIFS(mdr_rate_cleaned!$A$2:$A$10,B5033,mdr_rate_cleaned!$B$2:$B$10,"&lt;"&amp;C5033,mdr_rate_cleaned!$F$2:$F$10,"&gt;="&amp;C5033)</f>
        <v>1</v>
      </c>
      <c r="G5033">
        <v>3.0000000000000001E-3</v>
      </c>
      <c r="H5033">
        <v>8.99</v>
      </c>
      <c r="I5033" t="s">
        <v>15</v>
      </c>
      <c r="J5033" t="s">
        <v>15</v>
      </c>
      <c r="K5033">
        <v>1.62</v>
      </c>
      <c r="L5033">
        <v>0</v>
      </c>
    </row>
    <row r="5034" spans="1:12" x14ac:dyDescent="0.3">
      <c r="A5034" t="s">
        <v>5050</v>
      </c>
      <c r="B5034" t="s">
        <v>17</v>
      </c>
      <c r="C5034">
        <v>349</v>
      </c>
      <c r="D5034">
        <v>6.28</v>
      </c>
      <c r="E5034">
        <v>1.1299999999999999</v>
      </c>
      <c r="F5034">
        <f>COUNTIFS(mdr_rate_cleaned!$A$2:$A$10,B5034,mdr_rate_cleaned!$B$2:$B$10,"&lt;"&amp;C5034,mdr_rate_cleaned!$F$2:$F$10,"&gt;="&amp;C5034)</f>
        <v>1</v>
      </c>
      <c r="G5034">
        <v>1.7999999999999999E-2</v>
      </c>
      <c r="H5034">
        <v>6.28</v>
      </c>
      <c r="I5034" t="s">
        <v>15</v>
      </c>
      <c r="J5034" t="s">
        <v>15</v>
      </c>
      <c r="K5034">
        <v>1.1299999999999999</v>
      </c>
      <c r="L5034">
        <v>0</v>
      </c>
    </row>
    <row r="5035" spans="1:12" x14ac:dyDescent="0.3">
      <c r="A5035" t="s">
        <v>5051</v>
      </c>
      <c r="B5035" t="s">
        <v>21</v>
      </c>
      <c r="C5035">
        <v>7999</v>
      </c>
      <c r="D5035">
        <v>24</v>
      </c>
      <c r="E5035">
        <v>4.32</v>
      </c>
      <c r="F5035">
        <f>COUNTIFS(mdr_rate_cleaned!$A$2:$A$10,B5035,mdr_rate_cleaned!$B$2:$B$10,"&lt;"&amp;C5035,mdr_rate_cleaned!$F$2:$F$10,"&gt;="&amp;C5035)</f>
        <v>1</v>
      </c>
      <c r="G5035">
        <v>3.0000000000000001E-3</v>
      </c>
      <c r="H5035">
        <v>24</v>
      </c>
      <c r="I5035" t="s">
        <v>15</v>
      </c>
      <c r="J5035" t="s">
        <v>15</v>
      </c>
      <c r="K5035">
        <v>4.32</v>
      </c>
      <c r="L5035">
        <v>0</v>
      </c>
    </row>
    <row r="5036" spans="1:12" x14ac:dyDescent="0.3">
      <c r="A5036" t="s">
        <v>5052</v>
      </c>
      <c r="B5036" t="s">
        <v>17</v>
      </c>
      <c r="C5036">
        <v>2598</v>
      </c>
      <c r="D5036">
        <v>41.57</v>
      </c>
      <c r="E5036">
        <v>7.48</v>
      </c>
      <c r="F5036">
        <f>COUNTIFS(mdr_rate_cleaned!$A$2:$A$10,B5036,mdr_rate_cleaned!$B$2:$B$10,"&lt;"&amp;C5036,mdr_rate_cleaned!$F$2:$F$10,"&gt;="&amp;C5036)</f>
        <v>1</v>
      </c>
      <c r="G5036">
        <v>1.6E-2</v>
      </c>
      <c r="H5036">
        <v>41.57</v>
      </c>
      <c r="I5036" t="s">
        <v>15</v>
      </c>
      <c r="J5036" t="s">
        <v>15</v>
      </c>
      <c r="K5036">
        <v>7.48</v>
      </c>
      <c r="L5036">
        <v>0</v>
      </c>
    </row>
    <row r="5037" spans="1:12" x14ac:dyDescent="0.3">
      <c r="A5037" t="s">
        <v>5053</v>
      </c>
      <c r="B5037" t="s">
        <v>17</v>
      </c>
      <c r="C5037">
        <v>349</v>
      </c>
      <c r="D5037">
        <v>6.28</v>
      </c>
      <c r="E5037">
        <v>1.1299999999999999</v>
      </c>
      <c r="F5037">
        <f>COUNTIFS(mdr_rate_cleaned!$A$2:$A$10,B5037,mdr_rate_cleaned!$B$2:$B$10,"&lt;"&amp;C5037,mdr_rate_cleaned!$F$2:$F$10,"&gt;="&amp;C5037)</f>
        <v>1</v>
      </c>
      <c r="G5037">
        <v>1.7999999999999999E-2</v>
      </c>
      <c r="H5037">
        <v>6.28</v>
      </c>
      <c r="I5037" t="s">
        <v>15</v>
      </c>
      <c r="J5037" t="s">
        <v>15</v>
      </c>
      <c r="K5037">
        <v>1.1299999999999999</v>
      </c>
      <c r="L5037">
        <v>0</v>
      </c>
    </row>
    <row r="5038" spans="1:12" x14ac:dyDescent="0.3">
      <c r="A5038" t="s">
        <v>5054</v>
      </c>
      <c r="B5038" t="s">
        <v>21</v>
      </c>
      <c r="C5038">
        <v>2499</v>
      </c>
      <c r="D5038">
        <v>7.5</v>
      </c>
      <c r="E5038">
        <v>1.35</v>
      </c>
      <c r="F5038">
        <f>COUNTIFS(mdr_rate_cleaned!$A$2:$A$10,B5038,mdr_rate_cleaned!$B$2:$B$10,"&lt;"&amp;C5038,mdr_rate_cleaned!$F$2:$F$10,"&gt;="&amp;C5038)</f>
        <v>1</v>
      </c>
      <c r="G5038">
        <v>3.0000000000000001E-3</v>
      </c>
      <c r="H5038">
        <v>7.5</v>
      </c>
      <c r="I5038" t="s">
        <v>15</v>
      </c>
      <c r="J5038" t="s">
        <v>15</v>
      </c>
      <c r="K5038">
        <v>1.35</v>
      </c>
      <c r="L5038">
        <v>0</v>
      </c>
    </row>
    <row r="5039" spans="1:12" x14ac:dyDescent="0.3">
      <c r="A5039" t="s">
        <v>5055</v>
      </c>
      <c r="B5039" t="s">
        <v>17</v>
      </c>
      <c r="C5039">
        <v>4999</v>
      </c>
      <c r="D5039">
        <v>79.98</v>
      </c>
      <c r="E5039">
        <v>14.4</v>
      </c>
      <c r="F5039">
        <f>COUNTIFS(mdr_rate_cleaned!$A$2:$A$10,B5039,mdr_rate_cleaned!$B$2:$B$10,"&lt;"&amp;C5039,mdr_rate_cleaned!$F$2:$F$10,"&gt;="&amp;C5039)</f>
        <v>1</v>
      </c>
      <c r="G5039">
        <v>1.6E-2</v>
      </c>
      <c r="H5039">
        <v>79.98</v>
      </c>
      <c r="I5039" t="s">
        <v>15</v>
      </c>
      <c r="J5039" t="s">
        <v>15</v>
      </c>
      <c r="K5039">
        <v>14.4</v>
      </c>
      <c r="L5039">
        <v>0</v>
      </c>
    </row>
    <row r="5040" spans="1:12" x14ac:dyDescent="0.3">
      <c r="A5040" t="s">
        <v>5056</v>
      </c>
      <c r="B5040" t="s">
        <v>17</v>
      </c>
      <c r="C5040">
        <v>999</v>
      </c>
      <c r="D5040">
        <v>17.98</v>
      </c>
      <c r="E5040">
        <v>3.24</v>
      </c>
      <c r="F5040">
        <f>COUNTIFS(mdr_rate_cleaned!$A$2:$A$10,B5040,mdr_rate_cleaned!$B$2:$B$10,"&lt;"&amp;C5040,mdr_rate_cleaned!$F$2:$F$10,"&gt;="&amp;C5040)</f>
        <v>1</v>
      </c>
      <c r="G5040">
        <v>1.7999999999999999E-2</v>
      </c>
      <c r="H5040">
        <v>17.98</v>
      </c>
      <c r="I5040" t="s">
        <v>15</v>
      </c>
      <c r="J5040" t="s">
        <v>15</v>
      </c>
      <c r="K5040">
        <v>3.24</v>
      </c>
      <c r="L5040">
        <v>0</v>
      </c>
    </row>
    <row r="5041" spans="1:12" x14ac:dyDescent="0.3">
      <c r="A5041" t="s">
        <v>5057</v>
      </c>
      <c r="B5041" t="s">
        <v>17</v>
      </c>
      <c r="C5041">
        <v>1299</v>
      </c>
      <c r="D5041">
        <v>23.38</v>
      </c>
      <c r="E5041">
        <v>4.21</v>
      </c>
      <c r="F5041">
        <f>COUNTIFS(mdr_rate_cleaned!$A$2:$A$10,B5041,mdr_rate_cleaned!$B$2:$B$10,"&lt;"&amp;C5041,mdr_rate_cleaned!$F$2:$F$10,"&gt;="&amp;C5041)</f>
        <v>1</v>
      </c>
      <c r="G5041">
        <v>1.7999999999999999E-2</v>
      </c>
      <c r="H5041">
        <v>23.38</v>
      </c>
      <c r="I5041" t="s">
        <v>15</v>
      </c>
      <c r="J5041" t="s">
        <v>15</v>
      </c>
      <c r="K5041">
        <v>4.21</v>
      </c>
      <c r="L5041">
        <v>0</v>
      </c>
    </row>
    <row r="5042" spans="1:12" x14ac:dyDescent="0.3">
      <c r="A5042" t="s">
        <v>5058</v>
      </c>
      <c r="B5042" t="s">
        <v>21</v>
      </c>
      <c r="C5042">
        <v>3499</v>
      </c>
      <c r="D5042">
        <v>10.5</v>
      </c>
      <c r="E5042">
        <v>1.89</v>
      </c>
      <c r="F5042">
        <f>COUNTIFS(mdr_rate_cleaned!$A$2:$A$10,B5042,mdr_rate_cleaned!$B$2:$B$10,"&lt;"&amp;C5042,mdr_rate_cleaned!$F$2:$F$10,"&gt;="&amp;C5042)</f>
        <v>1</v>
      </c>
      <c r="G5042">
        <v>3.0000000000000001E-3</v>
      </c>
      <c r="H5042">
        <v>10.5</v>
      </c>
      <c r="I5042" t="s">
        <v>15</v>
      </c>
      <c r="J5042" t="s">
        <v>15</v>
      </c>
      <c r="K5042">
        <v>1.89</v>
      </c>
      <c r="L5042">
        <v>0</v>
      </c>
    </row>
    <row r="5043" spans="1:12" x14ac:dyDescent="0.3">
      <c r="A5043" t="s">
        <v>5059</v>
      </c>
      <c r="B5043" t="s">
        <v>39</v>
      </c>
      <c r="C5043">
        <v>3998</v>
      </c>
      <c r="D5043">
        <v>47.98</v>
      </c>
      <c r="E5043">
        <v>8.64</v>
      </c>
      <c r="F5043">
        <f>COUNTIFS(mdr_rate_cleaned!$A$2:$A$10,B5043,mdr_rate_cleaned!$B$2:$B$10,"&lt;"&amp;C5043,mdr_rate_cleaned!$F$2:$F$10,"&gt;="&amp;C5043)</f>
        <v>1</v>
      </c>
      <c r="G5043">
        <v>1.2E-2</v>
      </c>
      <c r="H5043">
        <v>47.98</v>
      </c>
      <c r="I5043" t="s">
        <v>15</v>
      </c>
      <c r="J5043" t="s">
        <v>15</v>
      </c>
      <c r="K5043">
        <v>8.64</v>
      </c>
      <c r="L5043">
        <v>0</v>
      </c>
    </row>
    <row r="5044" spans="1:12" x14ac:dyDescent="0.3">
      <c r="A5044" t="s">
        <v>5060</v>
      </c>
      <c r="B5044" t="s">
        <v>21</v>
      </c>
      <c r="C5044">
        <v>299</v>
      </c>
      <c r="D5044">
        <v>0</v>
      </c>
      <c r="E5044">
        <v>0</v>
      </c>
      <c r="F5044">
        <f>COUNTIFS(mdr_rate_cleaned!$A$2:$A$10,B5044,mdr_rate_cleaned!$B$2:$B$10,"&lt;"&amp;C5044,mdr_rate_cleaned!$F$2:$F$10,"&gt;="&amp;C5044)</f>
        <v>1</v>
      </c>
      <c r="G5044">
        <v>0</v>
      </c>
      <c r="H5044">
        <v>0</v>
      </c>
      <c r="I5044" t="s">
        <v>15</v>
      </c>
      <c r="J5044" t="s">
        <v>15</v>
      </c>
      <c r="K5044">
        <v>0</v>
      </c>
      <c r="L5044">
        <v>0</v>
      </c>
    </row>
    <row r="5045" spans="1:12" x14ac:dyDescent="0.3">
      <c r="A5045" t="s">
        <v>5061</v>
      </c>
      <c r="B5045" t="s">
        <v>13</v>
      </c>
      <c r="C5045">
        <v>8498</v>
      </c>
      <c r="D5045">
        <v>144.47</v>
      </c>
      <c r="E5045">
        <v>26</v>
      </c>
      <c r="F5045">
        <f>COUNTIFS(mdr_rate_cleaned!$A$2:$A$10,B5045,mdr_rate_cleaned!$B$2:$B$10,"&lt;"&amp;C5045,mdr_rate_cleaned!$F$2:$F$10,"&gt;="&amp;C5045)</f>
        <v>1</v>
      </c>
      <c r="G5045">
        <v>1.7000000000000001E-2</v>
      </c>
      <c r="H5045">
        <v>144.47</v>
      </c>
      <c r="I5045" t="s">
        <v>15</v>
      </c>
      <c r="J5045" t="s">
        <v>15</v>
      </c>
      <c r="K5045">
        <v>26</v>
      </c>
      <c r="L5045">
        <v>0</v>
      </c>
    </row>
    <row r="5046" spans="1:12" x14ac:dyDescent="0.3">
      <c r="A5046" t="s">
        <v>5062</v>
      </c>
      <c r="B5046" t="s">
        <v>13</v>
      </c>
      <c r="C5046">
        <v>349</v>
      </c>
      <c r="D5046">
        <v>6.63</v>
      </c>
      <c r="E5046">
        <v>1.19</v>
      </c>
      <c r="F5046">
        <f>COUNTIFS(mdr_rate_cleaned!$A$2:$A$10,B5046,mdr_rate_cleaned!$B$2:$B$10,"&lt;"&amp;C5046,mdr_rate_cleaned!$F$2:$F$10,"&gt;="&amp;C5046)</f>
        <v>1</v>
      </c>
      <c r="G5046">
        <v>1.9E-2</v>
      </c>
      <c r="H5046">
        <v>6.63</v>
      </c>
      <c r="I5046" t="s">
        <v>15</v>
      </c>
      <c r="J5046" t="s">
        <v>15</v>
      </c>
      <c r="K5046">
        <v>1.19</v>
      </c>
      <c r="L5046">
        <v>0</v>
      </c>
    </row>
    <row r="5047" spans="1:12" x14ac:dyDescent="0.3">
      <c r="A5047" t="s">
        <v>5063</v>
      </c>
      <c r="B5047" t="s">
        <v>21</v>
      </c>
      <c r="C5047">
        <v>8298</v>
      </c>
      <c r="D5047">
        <v>24.89</v>
      </c>
      <c r="E5047">
        <v>4.4800000000000004</v>
      </c>
      <c r="F5047">
        <f>COUNTIFS(mdr_rate_cleaned!$A$2:$A$10,B5047,mdr_rate_cleaned!$B$2:$B$10,"&lt;"&amp;C5047,mdr_rate_cleaned!$F$2:$F$10,"&gt;="&amp;C5047)</f>
        <v>1</v>
      </c>
      <c r="G5047">
        <v>3.0000000000000001E-3</v>
      </c>
      <c r="H5047">
        <v>24.89</v>
      </c>
      <c r="I5047" t="s">
        <v>15</v>
      </c>
      <c r="J5047" t="s">
        <v>15</v>
      </c>
      <c r="K5047">
        <v>4.4800000000000004</v>
      </c>
      <c r="L5047">
        <v>0</v>
      </c>
    </row>
    <row r="5048" spans="1:12" x14ac:dyDescent="0.3">
      <c r="A5048" t="s">
        <v>5064</v>
      </c>
      <c r="B5048" t="s">
        <v>21</v>
      </c>
      <c r="C5048">
        <v>2999</v>
      </c>
      <c r="D5048">
        <v>9</v>
      </c>
      <c r="E5048">
        <v>1.62</v>
      </c>
      <c r="F5048">
        <f>COUNTIFS(mdr_rate_cleaned!$A$2:$A$10,B5048,mdr_rate_cleaned!$B$2:$B$10,"&lt;"&amp;C5048,mdr_rate_cleaned!$F$2:$F$10,"&gt;="&amp;C5048)</f>
        <v>1</v>
      </c>
      <c r="G5048">
        <v>3.0000000000000001E-3</v>
      </c>
      <c r="H5048">
        <v>9</v>
      </c>
      <c r="I5048" t="s">
        <v>15</v>
      </c>
      <c r="J5048" t="s">
        <v>15</v>
      </c>
      <c r="K5048">
        <v>1.62</v>
      </c>
      <c r="L5048">
        <v>0</v>
      </c>
    </row>
    <row r="5049" spans="1:12" x14ac:dyDescent="0.3">
      <c r="A5049" t="s">
        <v>5065</v>
      </c>
      <c r="B5049" t="s">
        <v>17</v>
      </c>
      <c r="C5049">
        <v>7998</v>
      </c>
      <c r="D5049">
        <v>127.97</v>
      </c>
      <c r="E5049">
        <v>23.03</v>
      </c>
      <c r="F5049">
        <f>COUNTIFS(mdr_rate_cleaned!$A$2:$A$10,B5049,mdr_rate_cleaned!$B$2:$B$10,"&lt;"&amp;C5049,mdr_rate_cleaned!$F$2:$F$10,"&gt;="&amp;C5049)</f>
        <v>1</v>
      </c>
      <c r="G5049">
        <v>1.6E-2</v>
      </c>
      <c r="H5049">
        <v>127.97</v>
      </c>
      <c r="I5049" t="s">
        <v>15</v>
      </c>
      <c r="J5049" t="s">
        <v>15</v>
      </c>
      <c r="K5049">
        <v>23.03</v>
      </c>
      <c r="L5049">
        <v>0</v>
      </c>
    </row>
    <row r="5050" spans="1:12" x14ac:dyDescent="0.3">
      <c r="A5050" t="s">
        <v>5066</v>
      </c>
      <c r="B5050" t="s">
        <v>13</v>
      </c>
      <c r="C5050">
        <v>9147</v>
      </c>
      <c r="D5050">
        <v>155.5</v>
      </c>
      <c r="E5050">
        <v>27.99</v>
      </c>
      <c r="F5050">
        <f>COUNTIFS(mdr_rate_cleaned!$A$2:$A$10,B5050,mdr_rate_cleaned!$B$2:$B$10,"&lt;"&amp;C5050,mdr_rate_cleaned!$F$2:$F$10,"&gt;="&amp;C5050)</f>
        <v>1</v>
      </c>
      <c r="G5050">
        <v>1.7000000000000001E-2</v>
      </c>
      <c r="H5050">
        <v>155.5</v>
      </c>
      <c r="I5050" t="s">
        <v>15</v>
      </c>
      <c r="J5050" t="s">
        <v>15</v>
      </c>
      <c r="K5050">
        <v>27.99</v>
      </c>
      <c r="L5050">
        <v>0</v>
      </c>
    </row>
    <row r="5051" spans="1:12" x14ac:dyDescent="0.3">
      <c r="A5051" t="s">
        <v>5067</v>
      </c>
      <c r="B5051" t="s">
        <v>21</v>
      </c>
      <c r="C5051">
        <v>1499</v>
      </c>
      <c r="D5051">
        <v>0</v>
      </c>
      <c r="E5051">
        <v>0</v>
      </c>
      <c r="F5051">
        <f>COUNTIFS(mdr_rate_cleaned!$A$2:$A$10,B5051,mdr_rate_cleaned!$B$2:$B$10,"&lt;"&amp;C5051,mdr_rate_cleaned!$F$2:$F$10,"&gt;="&amp;C5051)</f>
        <v>1</v>
      </c>
      <c r="G5051">
        <v>0</v>
      </c>
      <c r="H5051">
        <v>0</v>
      </c>
      <c r="I5051" t="s">
        <v>15</v>
      </c>
      <c r="J5051" t="s">
        <v>15</v>
      </c>
      <c r="K5051">
        <v>0</v>
      </c>
      <c r="L5051">
        <v>0</v>
      </c>
    </row>
    <row r="5052" spans="1:12" x14ac:dyDescent="0.3">
      <c r="A5052" t="s">
        <v>5068</v>
      </c>
      <c r="B5052" t="s">
        <v>13</v>
      </c>
      <c r="C5052">
        <v>798</v>
      </c>
      <c r="D5052">
        <v>15.16</v>
      </c>
      <c r="E5052">
        <v>2.73</v>
      </c>
      <c r="F5052">
        <f>COUNTIFS(mdr_rate_cleaned!$A$2:$A$10,B5052,mdr_rate_cleaned!$B$2:$B$10,"&lt;"&amp;C5052,mdr_rate_cleaned!$F$2:$F$10,"&gt;="&amp;C5052)</f>
        <v>1</v>
      </c>
      <c r="G5052">
        <v>1.9E-2</v>
      </c>
      <c r="H5052">
        <v>15.16</v>
      </c>
      <c r="I5052" t="s">
        <v>15</v>
      </c>
      <c r="J5052" t="s">
        <v>15</v>
      </c>
      <c r="K5052">
        <v>2.73</v>
      </c>
      <c r="L5052">
        <v>0</v>
      </c>
    </row>
    <row r="5053" spans="1:12" x14ac:dyDescent="0.3">
      <c r="A5053" t="s">
        <v>5069</v>
      </c>
      <c r="B5053" t="s">
        <v>17</v>
      </c>
      <c r="C5053">
        <v>1799</v>
      </c>
      <c r="D5053">
        <v>32.380000000000003</v>
      </c>
      <c r="E5053">
        <v>5.83</v>
      </c>
      <c r="F5053">
        <f>COUNTIFS(mdr_rate_cleaned!$A$2:$A$10,B5053,mdr_rate_cleaned!$B$2:$B$10,"&lt;"&amp;C5053,mdr_rate_cleaned!$F$2:$F$10,"&gt;="&amp;C5053)</f>
        <v>1</v>
      </c>
      <c r="G5053">
        <v>1.7999999999999999E-2</v>
      </c>
      <c r="H5053">
        <v>32.380000000000003</v>
      </c>
      <c r="I5053" t="s">
        <v>15</v>
      </c>
      <c r="J5053" t="s">
        <v>15</v>
      </c>
      <c r="K5053">
        <v>5.83</v>
      </c>
      <c r="L5053">
        <v>0</v>
      </c>
    </row>
    <row r="5054" spans="1:12" x14ac:dyDescent="0.3">
      <c r="A5054" t="s">
        <v>5070</v>
      </c>
      <c r="B5054" t="s">
        <v>13</v>
      </c>
      <c r="C5054">
        <v>4397</v>
      </c>
      <c r="D5054">
        <v>74.75</v>
      </c>
      <c r="E5054">
        <v>13.46</v>
      </c>
      <c r="F5054">
        <f>COUNTIFS(mdr_rate_cleaned!$A$2:$A$10,B5054,mdr_rate_cleaned!$B$2:$B$10,"&lt;"&amp;C5054,mdr_rate_cleaned!$F$2:$F$10,"&gt;="&amp;C5054)</f>
        <v>1</v>
      </c>
      <c r="G5054">
        <v>1.7000000000000001E-2</v>
      </c>
      <c r="H5054">
        <v>74.75</v>
      </c>
      <c r="I5054" t="s">
        <v>15</v>
      </c>
      <c r="J5054" t="s">
        <v>15</v>
      </c>
      <c r="K5054">
        <v>13.46</v>
      </c>
      <c r="L5054">
        <v>0</v>
      </c>
    </row>
    <row r="5055" spans="1:12" x14ac:dyDescent="0.3">
      <c r="A5055" t="s">
        <v>5071</v>
      </c>
      <c r="B5055" t="s">
        <v>21</v>
      </c>
      <c r="C5055">
        <v>4999</v>
      </c>
      <c r="D5055">
        <v>15</v>
      </c>
      <c r="E5055">
        <v>2.7</v>
      </c>
      <c r="F5055">
        <f>COUNTIFS(mdr_rate_cleaned!$A$2:$A$10,B5055,mdr_rate_cleaned!$B$2:$B$10,"&lt;"&amp;C5055,mdr_rate_cleaned!$F$2:$F$10,"&gt;="&amp;C5055)</f>
        <v>1</v>
      </c>
      <c r="G5055">
        <v>3.0000000000000001E-3</v>
      </c>
      <c r="H5055">
        <v>15</v>
      </c>
      <c r="I5055" t="s">
        <v>15</v>
      </c>
      <c r="J5055" t="s">
        <v>15</v>
      </c>
      <c r="K5055">
        <v>2.7</v>
      </c>
      <c r="L5055">
        <v>0</v>
      </c>
    </row>
    <row r="5056" spans="1:12" x14ac:dyDescent="0.3">
      <c r="A5056" t="s">
        <v>5072</v>
      </c>
      <c r="B5056" t="s">
        <v>17</v>
      </c>
      <c r="C5056">
        <v>3998</v>
      </c>
      <c r="D5056">
        <v>63.97</v>
      </c>
      <c r="E5056">
        <v>11.51</v>
      </c>
      <c r="F5056">
        <f>COUNTIFS(mdr_rate_cleaned!$A$2:$A$10,B5056,mdr_rate_cleaned!$B$2:$B$10,"&lt;"&amp;C5056,mdr_rate_cleaned!$F$2:$F$10,"&gt;="&amp;C5056)</f>
        <v>1</v>
      </c>
      <c r="G5056">
        <v>1.6E-2</v>
      </c>
      <c r="H5056">
        <v>63.97</v>
      </c>
      <c r="I5056" t="s">
        <v>15</v>
      </c>
      <c r="J5056" t="s">
        <v>15</v>
      </c>
      <c r="K5056">
        <v>11.51</v>
      </c>
      <c r="L5056">
        <v>0</v>
      </c>
    </row>
    <row r="5057" spans="1:12" x14ac:dyDescent="0.3">
      <c r="A5057" t="s">
        <v>5073</v>
      </c>
      <c r="B5057" t="s">
        <v>21</v>
      </c>
      <c r="C5057">
        <v>2298</v>
      </c>
      <c r="D5057">
        <v>6.89</v>
      </c>
      <c r="E5057">
        <v>1.24</v>
      </c>
      <c r="F5057">
        <f>COUNTIFS(mdr_rate_cleaned!$A$2:$A$10,B5057,mdr_rate_cleaned!$B$2:$B$10,"&lt;"&amp;C5057,mdr_rate_cleaned!$F$2:$F$10,"&gt;="&amp;C5057)</f>
        <v>1</v>
      </c>
      <c r="G5057">
        <v>3.0000000000000001E-3</v>
      </c>
      <c r="H5057">
        <v>6.89</v>
      </c>
      <c r="I5057" t="s">
        <v>15</v>
      </c>
      <c r="J5057" t="s">
        <v>15</v>
      </c>
      <c r="K5057">
        <v>1.24</v>
      </c>
      <c r="L5057">
        <v>0</v>
      </c>
    </row>
    <row r="5058" spans="1:12" x14ac:dyDescent="0.3">
      <c r="A5058" t="s">
        <v>5074</v>
      </c>
      <c r="B5058" t="s">
        <v>21</v>
      </c>
      <c r="C5058">
        <v>349</v>
      </c>
      <c r="D5058">
        <v>0</v>
      </c>
      <c r="E5058">
        <v>0</v>
      </c>
      <c r="F5058">
        <f>COUNTIFS(mdr_rate_cleaned!$A$2:$A$10,B5058,mdr_rate_cleaned!$B$2:$B$10,"&lt;"&amp;C5058,mdr_rate_cleaned!$F$2:$F$10,"&gt;="&amp;C5058)</f>
        <v>1</v>
      </c>
      <c r="G5058">
        <v>0</v>
      </c>
      <c r="H5058">
        <v>0</v>
      </c>
      <c r="I5058" t="s">
        <v>15</v>
      </c>
      <c r="J5058" t="s">
        <v>15</v>
      </c>
      <c r="K5058">
        <v>0</v>
      </c>
      <c r="L5058">
        <v>0</v>
      </c>
    </row>
    <row r="5059" spans="1:12" x14ac:dyDescent="0.3">
      <c r="A5059" t="s">
        <v>5075</v>
      </c>
      <c r="B5059" t="s">
        <v>21</v>
      </c>
      <c r="C5059">
        <v>2798</v>
      </c>
      <c r="D5059">
        <v>8.39</v>
      </c>
      <c r="E5059">
        <v>1.51</v>
      </c>
      <c r="F5059">
        <f>COUNTIFS(mdr_rate_cleaned!$A$2:$A$10,B5059,mdr_rate_cleaned!$B$2:$B$10,"&lt;"&amp;C5059,mdr_rate_cleaned!$F$2:$F$10,"&gt;="&amp;C5059)</f>
        <v>1</v>
      </c>
      <c r="G5059">
        <v>3.0000000000000001E-3</v>
      </c>
      <c r="H5059">
        <v>8.39</v>
      </c>
      <c r="I5059" t="s">
        <v>15</v>
      </c>
      <c r="J5059" t="s">
        <v>15</v>
      </c>
      <c r="K5059">
        <v>1.51</v>
      </c>
      <c r="L5059">
        <v>0</v>
      </c>
    </row>
    <row r="5060" spans="1:12" x14ac:dyDescent="0.3">
      <c r="A5060" t="s">
        <v>5076</v>
      </c>
      <c r="B5060" t="s">
        <v>21</v>
      </c>
      <c r="C5060">
        <v>2999</v>
      </c>
      <c r="D5060">
        <v>9</v>
      </c>
      <c r="E5060">
        <v>1.62</v>
      </c>
      <c r="F5060">
        <f>COUNTIFS(mdr_rate_cleaned!$A$2:$A$10,B5060,mdr_rate_cleaned!$B$2:$B$10,"&lt;"&amp;C5060,mdr_rate_cleaned!$F$2:$F$10,"&gt;="&amp;C5060)</f>
        <v>1</v>
      </c>
      <c r="G5060">
        <v>3.0000000000000001E-3</v>
      </c>
      <c r="H5060">
        <v>9</v>
      </c>
      <c r="I5060" t="s">
        <v>15</v>
      </c>
      <c r="J5060" t="s">
        <v>15</v>
      </c>
      <c r="K5060">
        <v>1.62</v>
      </c>
      <c r="L5060">
        <v>0</v>
      </c>
    </row>
    <row r="5061" spans="1:12" x14ac:dyDescent="0.3">
      <c r="A5061" t="s">
        <v>5077</v>
      </c>
      <c r="B5061" t="s">
        <v>21</v>
      </c>
      <c r="C5061">
        <v>3499</v>
      </c>
      <c r="D5061">
        <v>10.5</v>
      </c>
      <c r="E5061">
        <v>1.89</v>
      </c>
      <c r="F5061">
        <f>COUNTIFS(mdr_rate_cleaned!$A$2:$A$10,B5061,mdr_rate_cleaned!$B$2:$B$10,"&lt;"&amp;C5061,mdr_rate_cleaned!$F$2:$F$10,"&gt;="&amp;C5061)</f>
        <v>1</v>
      </c>
      <c r="G5061">
        <v>3.0000000000000001E-3</v>
      </c>
      <c r="H5061">
        <v>10.5</v>
      </c>
      <c r="I5061" t="s">
        <v>15</v>
      </c>
      <c r="J5061" t="s">
        <v>15</v>
      </c>
      <c r="K5061">
        <v>1.89</v>
      </c>
      <c r="L5061">
        <v>0</v>
      </c>
    </row>
    <row r="5062" spans="1:12" x14ac:dyDescent="0.3">
      <c r="A5062" t="s">
        <v>5078</v>
      </c>
      <c r="B5062" t="s">
        <v>17</v>
      </c>
      <c r="C5062">
        <v>3848</v>
      </c>
      <c r="D5062">
        <v>61.57</v>
      </c>
      <c r="E5062">
        <v>11.08</v>
      </c>
      <c r="F5062">
        <f>COUNTIFS(mdr_rate_cleaned!$A$2:$A$10,B5062,mdr_rate_cleaned!$B$2:$B$10,"&lt;"&amp;C5062,mdr_rate_cleaned!$F$2:$F$10,"&gt;="&amp;C5062)</f>
        <v>1</v>
      </c>
      <c r="G5062">
        <v>1.6E-2</v>
      </c>
      <c r="H5062">
        <v>61.57</v>
      </c>
      <c r="I5062" t="s">
        <v>15</v>
      </c>
      <c r="J5062" t="s">
        <v>15</v>
      </c>
      <c r="K5062">
        <v>11.08</v>
      </c>
      <c r="L5062">
        <v>0</v>
      </c>
    </row>
    <row r="5063" spans="1:12" x14ac:dyDescent="0.3">
      <c r="A5063" t="s">
        <v>5079</v>
      </c>
      <c r="B5063" t="s">
        <v>21</v>
      </c>
      <c r="C5063">
        <v>1499</v>
      </c>
      <c r="D5063">
        <v>0</v>
      </c>
      <c r="E5063">
        <v>0</v>
      </c>
      <c r="F5063">
        <f>COUNTIFS(mdr_rate_cleaned!$A$2:$A$10,B5063,mdr_rate_cleaned!$B$2:$B$10,"&lt;"&amp;C5063,mdr_rate_cleaned!$F$2:$F$10,"&gt;="&amp;C5063)</f>
        <v>1</v>
      </c>
      <c r="G5063">
        <v>0</v>
      </c>
      <c r="H5063">
        <v>0</v>
      </c>
      <c r="I5063" t="s">
        <v>15</v>
      </c>
      <c r="J5063" t="s">
        <v>15</v>
      </c>
      <c r="K5063">
        <v>0</v>
      </c>
      <c r="L5063">
        <v>0</v>
      </c>
    </row>
    <row r="5064" spans="1:12" x14ac:dyDescent="0.3">
      <c r="A5064" t="s">
        <v>5080</v>
      </c>
      <c r="B5064" t="s">
        <v>21</v>
      </c>
      <c r="C5064">
        <v>1799</v>
      </c>
      <c r="D5064">
        <v>0</v>
      </c>
      <c r="E5064">
        <v>0</v>
      </c>
      <c r="F5064">
        <f>COUNTIFS(mdr_rate_cleaned!$A$2:$A$10,B5064,mdr_rate_cleaned!$B$2:$B$10,"&lt;"&amp;C5064,mdr_rate_cleaned!$F$2:$F$10,"&gt;="&amp;C5064)</f>
        <v>1</v>
      </c>
      <c r="G5064">
        <v>0</v>
      </c>
      <c r="H5064">
        <v>0</v>
      </c>
      <c r="I5064" t="s">
        <v>15</v>
      </c>
      <c r="J5064" t="s">
        <v>15</v>
      </c>
      <c r="K5064">
        <v>0</v>
      </c>
      <c r="L5064">
        <v>0</v>
      </c>
    </row>
    <row r="5065" spans="1:12" x14ac:dyDescent="0.3">
      <c r="A5065" t="s">
        <v>5081</v>
      </c>
      <c r="B5065" t="s">
        <v>21</v>
      </c>
      <c r="C5065">
        <v>1799</v>
      </c>
      <c r="D5065">
        <v>0</v>
      </c>
      <c r="E5065">
        <v>0</v>
      </c>
      <c r="F5065">
        <f>COUNTIFS(mdr_rate_cleaned!$A$2:$A$10,B5065,mdr_rate_cleaned!$B$2:$B$10,"&lt;"&amp;C5065,mdr_rate_cleaned!$F$2:$F$10,"&gt;="&amp;C5065)</f>
        <v>1</v>
      </c>
      <c r="G5065">
        <v>0</v>
      </c>
      <c r="H5065">
        <v>0</v>
      </c>
      <c r="I5065" t="s">
        <v>15</v>
      </c>
      <c r="J5065" t="s">
        <v>15</v>
      </c>
      <c r="K5065">
        <v>0</v>
      </c>
      <c r="L5065">
        <v>0</v>
      </c>
    </row>
    <row r="5066" spans="1:12" x14ac:dyDescent="0.3">
      <c r="A5066" t="s">
        <v>5082</v>
      </c>
      <c r="B5066" t="s">
        <v>21</v>
      </c>
      <c r="C5066">
        <v>499</v>
      </c>
      <c r="D5066">
        <v>0</v>
      </c>
      <c r="E5066">
        <v>0</v>
      </c>
      <c r="F5066">
        <f>COUNTIFS(mdr_rate_cleaned!$A$2:$A$10,B5066,mdr_rate_cleaned!$B$2:$B$10,"&lt;"&amp;C5066,mdr_rate_cleaned!$F$2:$F$10,"&gt;="&amp;C5066)</f>
        <v>1</v>
      </c>
      <c r="G5066">
        <v>0</v>
      </c>
      <c r="H5066">
        <v>0</v>
      </c>
      <c r="I5066" t="s">
        <v>15</v>
      </c>
      <c r="J5066" t="s">
        <v>15</v>
      </c>
      <c r="K5066">
        <v>0</v>
      </c>
      <c r="L5066">
        <v>0</v>
      </c>
    </row>
    <row r="5067" spans="1:12" x14ac:dyDescent="0.3">
      <c r="A5067" t="s">
        <v>5083</v>
      </c>
      <c r="B5067" t="s">
        <v>21</v>
      </c>
      <c r="C5067">
        <v>3498</v>
      </c>
      <c r="D5067">
        <v>10.49</v>
      </c>
      <c r="E5067">
        <v>1.89</v>
      </c>
      <c r="F5067">
        <f>COUNTIFS(mdr_rate_cleaned!$A$2:$A$10,B5067,mdr_rate_cleaned!$B$2:$B$10,"&lt;"&amp;C5067,mdr_rate_cleaned!$F$2:$F$10,"&gt;="&amp;C5067)</f>
        <v>1</v>
      </c>
      <c r="G5067">
        <v>3.0000000000000001E-3</v>
      </c>
      <c r="H5067">
        <v>10.49</v>
      </c>
      <c r="I5067" t="s">
        <v>15</v>
      </c>
      <c r="J5067" t="s">
        <v>15</v>
      </c>
      <c r="K5067">
        <v>1.89</v>
      </c>
      <c r="L5067">
        <v>0</v>
      </c>
    </row>
    <row r="5068" spans="1:12" x14ac:dyDescent="0.3">
      <c r="A5068" t="s">
        <v>5084</v>
      </c>
      <c r="B5068" t="s">
        <v>21</v>
      </c>
      <c r="C5068">
        <v>3298</v>
      </c>
      <c r="D5068">
        <v>9.89</v>
      </c>
      <c r="E5068">
        <v>1.78</v>
      </c>
      <c r="F5068">
        <f>COUNTIFS(mdr_rate_cleaned!$A$2:$A$10,B5068,mdr_rate_cleaned!$B$2:$B$10,"&lt;"&amp;C5068,mdr_rate_cleaned!$F$2:$F$10,"&gt;="&amp;C5068)</f>
        <v>1</v>
      </c>
      <c r="G5068">
        <v>3.0000000000000001E-3</v>
      </c>
      <c r="H5068">
        <v>9.89</v>
      </c>
      <c r="I5068" t="s">
        <v>15</v>
      </c>
      <c r="J5068" t="s">
        <v>15</v>
      </c>
      <c r="K5068">
        <v>1.78</v>
      </c>
      <c r="L5068">
        <v>0</v>
      </c>
    </row>
    <row r="5069" spans="1:12" x14ac:dyDescent="0.3">
      <c r="A5069" t="s">
        <v>5085</v>
      </c>
      <c r="B5069" t="s">
        <v>21</v>
      </c>
      <c r="C5069">
        <v>4298</v>
      </c>
      <c r="D5069">
        <v>12.89</v>
      </c>
      <c r="E5069">
        <v>2.3199999999999998</v>
      </c>
      <c r="F5069">
        <f>COUNTIFS(mdr_rate_cleaned!$A$2:$A$10,B5069,mdr_rate_cleaned!$B$2:$B$10,"&lt;"&amp;C5069,mdr_rate_cleaned!$F$2:$F$10,"&gt;="&amp;C5069)</f>
        <v>1</v>
      </c>
      <c r="G5069">
        <v>3.0000000000000001E-3</v>
      </c>
      <c r="H5069">
        <v>12.89</v>
      </c>
      <c r="I5069" t="s">
        <v>15</v>
      </c>
      <c r="J5069" t="s">
        <v>15</v>
      </c>
      <c r="K5069">
        <v>2.3199999999999998</v>
      </c>
      <c r="L5069">
        <v>0</v>
      </c>
    </row>
    <row r="5070" spans="1:12" x14ac:dyDescent="0.3">
      <c r="A5070" t="s">
        <v>5086</v>
      </c>
      <c r="B5070" t="s">
        <v>21</v>
      </c>
      <c r="C5070">
        <v>2098</v>
      </c>
      <c r="D5070">
        <v>6.29</v>
      </c>
      <c r="E5070">
        <v>1.1299999999999999</v>
      </c>
      <c r="F5070">
        <f>COUNTIFS(mdr_rate_cleaned!$A$2:$A$10,B5070,mdr_rate_cleaned!$B$2:$B$10,"&lt;"&amp;C5070,mdr_rate_cleaned!$F$2:$F$10,"&gt;="&amp;C5070)</f>
        <v>1</v>
      </c>
      <c r="G5070">
        <v>3.0000000000000001E-3</v>
      </c>
      <c r="H5070">
        <v>6.29</v>
      </c>
      <c r="I5070" t="s">
        <v>15</v>
      </c>
      <c r="J5070" t="s">
        <v>15</v>
      </c>
      <c r="K5070">
        <v>1.1299999999999999</v>
      </c>
      <c r="L5070">
        <v>0</v>
      </c>
    </row>
    <row r="5071" spans="1:12" x14ac:dyDescent="0.3">
      <c r="A5071" t="s">
        <v>5087</v>
      </c>
      <c r="B5071" t="s">
        <v>39</v>
      </c>
      <c r="C5071">
        <v>10498</v>
      </c>
      <c r="D5071">
        <v>94.48</v>
      </c>
      <c r="E5071">
        <v>17.010000000000002</v>
      </c>
      <c r="F5071">
        <f>COUNTIFS(mdr_rate_cleaned!$A$2:$A$10,B5071,mdr_rate_cleaned!$B$2:$B$10,"&lt;"&amp;C5071,mdr_rate_cleaned!$F$2:$F$10,"&gt;="&amp;C5071)</f>
        <v>1</v>
      </c>
      <c r="G5071">
        <v>8.9999999999999993E-3</v>
      </c>
      <c r="H5071">
        <v>94.48</v>
      </c>
      <c r="I5071" t="s">
        <v>15</v>
      </c>
      <c r="J5071" t="s">
        <v>15</v>
      </c>
      <c r="K5071">
        <v>17.010000000000002</v>
      </c>
      <c r="L5071">
        <v>0</v>
      </c>
    </row>
    <row r="5072" spans="1:12" x14ac:dyDescent="0.3">
      <c r="A5072" t="s">
        <v>5088</v>
      </c>
      <c r="B5072" t="s">
        <v>21</v>
      </c>
      <c r="C5072">
        <v>2798</v>
      </c>
      <c r="D5072">
        <v>8.39</v>
      </c>
      <c r="E5072">
        <v>1.51</v>
      </c>
      <c r="F5072">
        <f>COUNTIFS(mdr_rate_cleaned!$A$2:$A$10,B5072,mdr_rate_cleaned!$B$2:$B$10,"&lt;"&amp;C5072,mdr_rate_cleaned!$F$2:$F$10,"&gt;="&amp;C5072)</f>
        <v>1</v>
      </c>
      <c r="G5072">
        <v>3.0000000000000001E-3</v>
      </c>
      <c r="H5072">
        <v>8.39</v>
      </c>
      <c r="I5072" t="s">
        <v>15</v>
      </c>
      <c r="J5072" t="s">
        <v>15</v>
      </c>
      <c r="K5072">
        <v>1.51</v>
      </c>
      <c r="L5072">
        <v>0</v>
      </c>
    </row>
    <row r="5073" spans="1:12" x14ac:dyDescent="0.3">
      <c r="A5073" t="s">
        <v>5089</v>
      </c>
      <c r="B5073" t="s">
        <v>17</v>
      </c>
      <c r="C5073">
        <v>1799</v>
      </c>
      <c r="D5073">
        <v>32.380000000000003</v>
      </c>
      <c r="E5073">
        <v>5.83</v>
      </c>
      <c r="F5073">
        <f>COUNTIFS(mdr_rate_cleaned!$A$2:$A$10,B5073,mdr_rate_cleaned!$B$2:$B$10,"&lt;"&amp;C5073,mdr_rate_cleaned!$F$2:$F$10,"&gt;="&amp;C5073)</f>
        <v>1</v>
      </c>
      <c r="G5073">
        <v>1.7999999999999999E-2</v>
      </c>
      <c r="H5073">
        <v>32.380000000000003</v>
      </c>
      <c r="I5073" t="s">
        <v>15</v>
      </c>
      <c r="J5073" t="s">
        <v>15</v>
      </c>
      <c r="K5073">
        <v>5.83</v>
      </c>
      <c r="L5073">
        <v>0</v>
      </c>
    </row>
    <row r="5074" spans="1:12" x14ac:dyDescent="0.3">
      <c r="A5074" t="s">
        <v>5090</v>
      </c>
      <c r="B5074" t="s">
        <v>21</v>
      </c>
      <c r="C5074">
        <v>1799</v>
      </c>
      <c r="D5074">
        <v>0</v>
      </c>
      <c r="E5074">
        <v>0</v>
      </c>
      <c r="F5074">
        <f>COUNTIFS(mdr_rate_cleaned!$A$2:$A$10,B5074,mdr_rate_cleaned!$B$2:$B$10,"&lt;"&amp;C5074,mdr_rate_cleaned!$F$2:$F$10,"&gt;="&amp;C5074)</f>
        <v>1</v>
      </c>
      <c r="G5074">
        <v>0</v>
      </c>
      <c r="H5074">
        <v>0</v>
      </c>
      <c r="I5074" t="s">
        <v>15</v>
      </c>
      <c r="J5074" t="s">
        <v>15</v>
      </c>
      <c r="K5074">
        <v>0</v>
      </c>
      <c r="L5074">
        <v>0</v>
      </c>
    </row>
    <row r="5075" spans="1:12" x14ac:dyDescent="0.3">
      <c r="A5075" t="s">
        <v>5091</v>
      </c>
      <c r="B5075" t="s">
        <v>21</v>
      </c>
      <c r="C5075">
        <v>9298</v>
      </c>
      <c r="D5075">
        <v>27.89</v>
      </c>
      <c r="E5075">
        <v>5.0199999999999996</v>
      </c>
      <c r="F5075">
        <f>COUNTIFS(mdr_rate_cleaned!$A$2:$A$10,B5075,mdr_rate_cleaned!$B$2:$B$10,"&lt;"&amp;C5075,mdr_rate_cleaned!$F$2:$F$10,"&gt;="&amp;C5075)</f>
        <v>1</v>
      </c>
      <c r="G5075">
        <v>3.0000000000000001E-3</v>
      </c>
      <c r="H5075">
        <v>27.89</v>
      </c>
      <c r="I5075" t="s">
        <v>15</v>
      </c>
      <c r="J5075" t="s">
        <v>15</v>
      </c>
      <c r="K5075">
        <v>5.0199999999999996</v>
      </c>
      <c r="L5075">
        <v>0</v>
      </c>
    </row>
    <row r="5076" spans="1:12" x14ac:dyDescent="0.3">
      <c r="A5076" t="s">
        <v>5092</v>
      </c>
      <c r="B5076" t="s">
        <v>21</v>
      </c>
      <c r="C5076">
        <v>4498</v>
      </c>
      <c r="D5076">
        <v>13.49</v>
      </c>
      <c r="E5076">
        <v>2.4300000000000002</v>
      </c>
      <c r="F5076">
        <f>COUNTIFS(mdr_rate_cleaned!$A$2:$A$10,B5076,mdr_rate_cleaned!$B$2:$B$10,"&lt;"&amp;C5076,mdr_rate_cleaned!$F$2:$F$10,"&gt;="&amp;C5076)</f>
        <v>1</v>
      </c>
      <c r="G5076">
        <v>3.0000000000000001E-3</v>
      </c>
      <c r="H5076">
        <v>13.49</v>
      </c>
      <c r="I5076" t="s">
        <v>15</v>
      </c>
      <c r="J5076" t="s">
        <v>15</v>
      </c>
      <c r="K5076">
        <v>2.4300000000000002</v>
      </c>
      <c r="L5076">
        <v>0</v>
      </c>
    </row>
    <row r="5077" spans="1:12" x14ac:dyDescent="0.3">
      <c r="A5077" t="s">
        <v>5093</v>
      </c>
      <c r="B5077" t="s">
        <v>21</v>
      </c>
      <c r="C5077">
        <v>3499</v>
      </c>
      <c r="D5077">
        <v>10.5</v>
      </c>
      <c r="E5077">
        <v>1.89</v>
      </c>
      <c r="F5077">
        <f>COUNTIFS(mdr_rate_cleaned!$A$2:$A$10,B5077,mdr_rate_cleaned!$B$2:$B$10,"&lt;"&amp;C5077,mdr_rate_cleaned!$F$2:$F$10,"&gt;="&amp;C5077)</f>
        <v>1</v>
      </c>
      <c r="G5077">
        <v>3.0000000000000001E-3</v>
      </c>
      <c r="H5077">
        <v>10.5</v>
      </c>
      <c r="I5077" t="s">
        <v>15</v>
      </c>
      <c r="J5077" t="s">
        <v>15</v>
      </c>
      <c r="K5077">
        <v>1.89</v>
      </c>
      <c r="L5077">
        <v>0</v>
      </c>
    </row>
    <row r="5078" spans="1:12" x14ac:dyDescent="0.3">
      <c r="A5078" t="s">
        <v>5094</v>
      </c>
      <c r="B5078" t="s">
        <v>17</v>
      </c>
      <c r="C5078">
        <v>2499</v>
      </c>
      <c r="D5078">
        <v>39.979999999999997</v>
      </c>
      <c r="E5078">
        <v>7.2</v>
      </c>
      <c r="F5078">
        <f>COUNTIFS(mdr_rate_cleaned!$A$2:$A$10,B5078,mdr_rate_cleaned!$B$2:$B$10,"&lt;"&amp;C5078,mdr_rate_cleaned!$F$2:$F$10,"&gt;="&amp;C5078)</f>
        <v>1</v>
      </c>
      <c r="G5078">
        <v>1.6E-2</v>
      </c>
      <c r="H5078">
        <v>39.979999999999997</v>
      </c>
      <c r="I5078" t="s">
        <v>15</v>
      </c>
      <c r="J5078" t="s">
        <v>15</v>
      </c>
      <c r="K5078">
        <v>7.2</v>
      </c>
      <c r="L5078">
        <v>0</v>
      </c>
    </row>
    <row r="5079" spans="1:12" x14ac:dyDescent="0.3">
      <c r="A5079" t="s">
        <v>5095</v>
      </c>
      <c r="B5079" t="s">
        <v>17</v>
      </c>
      <c r="C5079">
        <v>2098</v>
      </c>
      <c r="D5079">
        <v>33.57</v>
      </c>
      <c r="E5079">
        <v>6.04</v>
      </c>
      <c r="F5079">
        <f>COUNTIFS(mdr_rate_cleaned!$A$2:$A$10,B5079,mdr_rate_cleaned!$B$2:$B$10,"&lt;"&amp;C5079,mdr_rate_cleaned!$F$2:$F$10,"&gt;="&amp;C5079)</f>
        <v>1</v>
      </c>
      <c r="G5079">
        <v>1.6E-2</v>
      </c>
      <c r="H5079">
        <v>33.57</v>
      </c>
      <c r="I5079" t="s">
        <v>15</v>
      </c>
      <c r="J5079" t="s">
        <v>15</v>
      </c>
      <c r="K5079">
        <v>6.04</v>
      </c>
      <c r="L5079">
        <v>0</v>
      </c>
    </row>
    <row r="5080" spans="1:12" x14ac:dyDescent="0.3">
      <c r="A5080" t="s">
        <v>5096</v>
      </c>
      <c r="B5080" t="s">
        <v>17</v>
      </c>
      <c r="C5080">
        <v>10997</v>
      </c>
      <c r="D5080">
        <v>175.95</v>
      </c>
      <c r="E5080">
        <v>31.67</v>
      </c>
      <c r="F5080">
        <f>COUNTIFS(mdr_rate_cleaned!$A$2:$A$10,B5080,mdr_rate_cleaned!$B$2:$B$10,"&lt;"&amp;C5080,mdr_rate_cleaned!$F$2:$F$10,"&gt;="&amp;C5080)</f>
        <v>1</v>
      </c>
      <c r="G5080">
        <v>1.6E-2</v>
      </c>
      <c r="H5080">
        <v>175.95</v>
      </c>
      <c r="I5080" t="s">
        <v>15</v>
      </c>
      <c r="J5080" t="s">
        <v>15</v>
      </c>
      <c r="K5080">
        <v>31.67</v>
      </c>
      <c r="L5080">
        <v>0</v>
      </c>
    </row>
    <row r="5081" spans="1:12" x14ac:dyDescent="0.3">
      <c r="A5081" t="s">
        <v>5097</v>
      </c>
      <c r="B5081" t="s">
        <v>21</v>
      </c>
      <c r="C5081">
        <v>1998</v>
      </c>
      <c r="D5081">
        <v>0</v>
      </c>
      <c r="E5081">
        <v>0</v>
      </c>
      <c r="F5081">
        <f>COUNTIFS(mdr_rate_cleaned!$A$2:$A$10,B5081,mdr_rate_cleaned!$B$2:$B$10,"&lt;"&amp;C5081,mdr_rate_cleaned!$F$2:$F$10,"&gt;="&amp;C5081)</f>
        <v>1</v>
      </c>
      <c r="G5081">
        <v>0</v>
      </c>
      <c r="H5081">
        <v>0</v>
      </c>
      <c r="I5081" t="s">
        <v>15</v>
      </c>
      <c r="J5081" t="s">
        <v>15</v>
      </c>
      <c r="K5081">
        <v>0</v>
      </c>
      <c r="L5081">
        <v>0</v>
      </c>
    </row>
    <row r="5082" spans="1:12" x14ac:dyDescent="0.3">
      <c r="A5082" t="s">
        <v>5098</v>
      </c>
      <c r="B5082" t="s">
        <v>13</v>
      </c>
      <c r="C5082">
        <v>7999</v>
      </c>
      <c r="D5082">
        <v>135.97999999999999</v>
      </c>
      <c r="E5082">
        <v>24.48</v>
      </c>
      <c r="F5082">
        <f>COUNTIFS(mdr_rate_cleaned!$A$2:$A$10,B5082,mdr_rate_cleaned!$B$2:$B$10,"&lt;"&amp;C5082,mdr_rate_cleaned!$F$2:$F$10,"&gt;="&amp;C5082)</f>
        <v>1</v>
      </c>
      <c r="G5082">
        <v>1.7000000000000001E-2</v>
      </c>
      <c r="H5082">
        <v>135.97999999999999</v>
      </c>
      <c r="I5082" t="s">
        <v>15</v>
      </c>
      <c r="J5082" t="s">
        <v>15</v>
      </c>
      <c r="K5082">
        <v>24.48</v>
      </c>
      <c r="L5082">
        <v>0</v>
      </c>
    </row>
    <row r="5083" spans="1:12" x14ac:dyDescent="0.3">
      <c r="A5083" t="s">
        <v>5099</v>
      </c>
      <c r="B5083" t="s">
        <v>17</v>
      </c>
      <c r="C5083">
        <v>4498</v>
      </c>
      <c r="D5083">
        <v>71.97</v>
      </c>
      <c r="E5083">
        <v>12.95</v>
      </c>
      <c r="F5083">
        <f>COUNTIFS(mdr_rate_cleaned!$A$2:$A$10,B5083,mdr_rate_cleaned!$B$2:$B$10,"&lt;"&amp;C5083,mdr_rate_cleaned!$F$2:$F$10,"&gt;="&amp;C5083)</f>
        <v>1</v>
      </c>
      <c r="G5083">
        <v>1.6E-2</v>
      </c>
      <c r="H5083">
        <v>71.97</v>
      </c>
      <c r="I5083" t="s">
        <v>15</v>
      </c>
      <c r="J5083" t="s">
        <v>15</v>
      </c>
      <c r="K5083">
        <v>12.95</v>
      </c>
      <c r="L5083">
        <v>0</v>
      </c>
    </row>
    <row r="5084" spans="1:12" x14ac:dyDescent="0.3">
      <c r="A5084" t="s">
        <v>5100</v>
      </c>
      <c r="B5084" t="s">
        <v>17</v>
      </c>
      <c r="C5084">
        <v>1799</v>
      </c>
      <c r="D5084">
        <v>32.380000000000003</v>
      </c>
      <c r="E5084">
        <v>5.83</v>
      </c>
      <c r="F5084">
        <f>COUNTIFS(mdr_rate_cleaned!$A$2:$A$10,B5084,mdr_rate_cleaned!$B$2:$B$10,"&lt;"&amp;C5084,mdr_rate_cleaned!$F$2:$F$10,"&gt;="&amp;C5084)</f>
        <v>1</v>
      </c>
      <c r="G5084">
        <v>1.7999999999999999E-2</v>
      </c>
      <c r="H5084">
        <v>32.380000000000003</v>
      </c>
      <c r="I5084" t="s">
        <v>15</v>
      </c>
      <c r="J5084" t="s">
        <v>15</v>
      </c>
      <c r="K5084">
        <v>5.83</v>
      </c>
      <c r="L5084">
        <v>0</v>
      </c>
    </row>
    <row r="5085" spans="1:12" x14ac:dyDescent="0.3">
      <c r="A5085" t="s">
        <v>5101</v>
      </c>
      <c r="B5085" t="s">
        <v>39</v>
      </c>
      <c r="C5085">
        <v>3499</v>
      </c>
      <c r="D5085">
        <v>41.99</v>
      </c>
      <c r="E5085">
        <v>7.56</v>
      </c>
      <c r="F5085">
        <f>COUNTIFS(mdr_rate_cleaned!$A$2:$A$10,B5085,mdr_rate_cleaned!$B$2:$B$10,"&lt;"&amp;C5085,mdr_rate_cleaned!$F$2:$F$10,"&gt;="&amp;C5085)</f>
        <v>1</v>
      </c>
      <c r="G5085">
        <v>1.2E-2</v>
      </c>
      <c r="H5085">
        <v>41.99</v>
      </c>
      <c r="I5085" t="s">
        <v>15</v>
      </c>
      <c r="J5085" t="s">
        <v>15</v>
      </c>
      <c r="K5085">
        <v>7.56</v>
      </c>
      <c r="L5085">
        <v>0</v>
      </c>
    </row>
    <row r="5086" spans="1:12" x14ac:dyDescent="0.3">
      <c r="A5086" t="s">
        <v>5102</v>
      </c>
      <c r="B5086" t="s">
        <v>13</v>
      </c>
      <c r="C5086">
        <v>8498</v>
      </c>
      <c r="D5086">
        <v>144.47</v>
      </c>
      <c r="E5086">
        <v>26</v>
      </c>
      <c r="F5086">
        <f>COUNTIFS(mdr_rate_cleaned!$A$2:$A$10,B5086,mdr_rate_cleaned!$B$2:$B$10,"&lt;"&amp;C5086,mdr_rate_cleaned!$F$2:$F$10,"&gt;="&amp;C5086)</f>
        <v>1</v>
      </c>
      <c r="G5086">
        <v>1.7000000000000001E-2</v>
      </c>
      <c r="H5086">
        <v>144.47</v>
      </c>
      <c r="I5086" t="s">
        <v>15</v>
      </c>
      <c r="J5086" t="s">
        <v>15</v>
      </c>
      <c r="K5086">
        <v>26</v>
      </c>
      <c r="L5086">
        <v>0</v>
      </c>
    </row>
    <row r="5087" spans="1:12" x14ac:dyDescent="0.3">
      <c r="A5087" t="s">
        <v>5103</v>
      </c>
      <c r="B5087" t="s">
        <v>21</v>
      </c>
      <c r="C5087">
        <v>8798</v>
      </c>
      <c r="D5087">
        <v>26.39</v>
      </c>
      <c r="E5087">
        <v>4.75</v>
      </c>
      <c r="F5087">
        <f>COUNTIFS(mdr_rate_cleaned!$A$2:$A$10,B5087,mdr_rate_cleaned!$B$2:$B$10,"&lt;"&amp;C5087,mdr_rate_cleaned!$F$2:$F$10,"&gt;="&amp;C5087)</f>
        <v>1</v>
      </c>
      <c r="G5087">
        <v>3.0000000000000001E-3</v>
      </c>
      <c r="H5087">
        <v>26.39</v>
      </c>
      <c r="I5087" t="s">
        <v>15</v>
      </c>
      <c r="J5087" t="s">
        <v>15</v>
      </c>
      <c r="K5087">
        <v>4.75</v>
      </c>
      <c r="L5087">
        <v>0</v>
      </c>
    </row>
    <row r="5088" spans="1:12" x14ac:dyDescent="0.3">
      <c r="A5088" t="s">
        <v>5104</v>
      </c>
      <c r="B5088" t="s">
        <v>39</v>
      </c>
      <c r="C5088">
        <v>3798</v>
      </c>
      <c r="D5088">
        <v>45.58</v>
      </c>
      <c r="E5088">
        <v>8.1999999999999993</v>
      </c>
      <c r="F5088">
        <f>COUNTIFS(mdr_rate_cleaned!$A$2:$A$10,B5088,mdr_rate_cleaned!$B$2:$B$10,"&lt;"&amp;C5088,mdr_rate_cleaned!$F$2:$F$10,"&gt;="&amp;C5088)</f>
        <v>1</v>
      </c>
      <c r="G5088">
        <v>1.2E-2</v>
      </c>
      <c r="H5088">
        <v>45.58</v>
      </c>
      <c r="I5088" t="s">
        <v>15</v>
      </c>
      <c r="J5088" t="s">
        <v>15</v>
      </c>
      <c r="K5088">
        <v>8.1999999999999993</v>
      </c>
      <c r="L5088">
        <v>0</v>
      </c>
    </row>
    <row r="5089" spans="1:12" x14ac:dyDescent="0.3">
      <c r="A5089" t="s">
        <v>5105</v>
      </c>
      <c r="B5089" t="s">
        <v>21</v>
      </c>
      <c r="C5089">
        <v>2499</v>
      </c>
      <c r="D5089">
        <v>7.5</v>
      </c>
      <c r="E5089">
        <v>1.35</v>
      </c>
      <c r="F5089">
        <f>COUNTIFS(mdr_rate_cleaned!$A$2:$A$10,B5089,mdr_rate_cleaned!$B$2:$B$10,"&lt;"&amp;C5089,mdr_rate_cleaned!$F$2:$F$10,"&gt;="&amp;C5089)</f>
        <v>1</v>
      </c>
      <c r="G5089">
        <v>3.0000000000000001E-3</v>
      </c>
      <c r="H5089">
        <v>7.5</v>
      </c>
      <c r="I5089" t="s">
        <v>15</v>
      </c>
      <c r="J5089" t="s">
        <v>15</v>
      </c>
      <c r="K5089">
        <v>1.35</v>
      </c>
      <c r="L5089">
        <v>0</v>
      </c>
    </row>
    <row r="5090" spans="1:12" x14ac:dyDescent="0.3">
      <c r="A5090" t="s">
        <v>5106</v>
      </c>
      <c r="B5090" t="s">
        <v>21</v>
      </c>
      <c r="C5090">
        <v>1647</v>
      </c>
      <c r="D5090">
        <v>0</v>
      </c>
      <c r="E5090">
        <v>0</v>
      </c>
      <c r="F5090">
        <f>COUNTIFS(mdr_rate_cleaned!$A$2:$A$10,B5090,mdr_rate_cleaned!$B$2:$B$10,"&lt;"&amp;C5090,mdr_rate_cleaned!$F$2:$F$10,"&gt;="&amp;C5090)</f>
        <v>1</v>
      </c>
      <c r="G5090">
        <v>0</v>
      </c>
      <c r="H5090">
        <v>0</v>
      </c>
      <c r="I5090" t="s">
        <v>15</v>
      </c>
      <c r="J5090" t="s">
        <v>15</v>
      </c>
      <c r="K5090">
        <v>0</v>
      </c>
      <c r="L5090">
        <v>0</v>
      </c>
    </row>
    <row r="5091" spans="1:12" x14ac:dyDescent="0.3">
      <c r="A5091" t="s">
        <v>5107</v>
      </c>
      <c r="B5091" t="s">
        <v>21</v>
      </c>
      <c r="C5091">
        <v>5598</v>
      </c>
      <c r="D5091">
        <v>16.79</v>
      </c>
      <c r="E5091">
        <v>3.02</v>
      </c>
      <c r="F5091">
        <f>COUNTIFS(mdr_rate_cleaned!$A$2:$A$10,B5091,mdr_rate_cleaned!$B$2:$B$10,"&lt;"&amp;C5091,mdr_rate_cleaned!$F$2:$F$10,"&gt;="&amp;C5091)</f>
        <v>1</v>
      </c>
      <c r="G5091">
        <v>3.0000000000000001E-3</v>
      </c>
      <c r="H5091">
        <v>16.79</v>
      </c>
      <c r="I5091" t="s">
        <v>15</v>
      </c>
      <c r="J5091" t="s">
        <v>15</v>
      </c>
      <c r="K5091">
        <v>3.02</v>
      </c>
      <c r="L5091">
        <v>0</v>
      </c>
    </row>
    <row r="5092" spans="1:12" x14ac:dyDescent="0.3">
      <c r="A5092" t="s">
        <v>5108</v>
      </c>
      <c r="B5092" t="s">
        <v>17</v>
      </c>
      <c r="C5092">
        <v>4999</v>
      </c>
      <c r="D5092">
        <v>79.98</v>
      </c>
      <c r="E5092">
        <v>14.4</v>
      </c>
      <c r="F5092">
        <f>COUNTIFS(mdr_rate_cleaned!$A$2:$A$10,B5092,mdr_rate_cleaned!$B$2:$B$10,"&lt;"&amp;C5092,mdr_rate_cleaned!$F$2:$F$10,"&gt;="&amp;C5092)</f>
        <v>1</v>
      </c>
      <c r="G5092">
        <v>1.6E-2</v>
      </c>
      <c r="H5092">
        <v>79.98</v>
      </c>
      <c r="I5092" t="s">
        <v>15</v>
      </c>
      <c r="J5092" t="s">
        <v>15</v>
      </c>
      <c r="K5092">
        <v>14.4</v>
      </c>
      <c r="L5092">
        <v>0</v>
      </c>
    </row>
    <row r="5093" spans="1:12" x14ac:dyDescent="0.3">
      <c r="A5093" t="s">
        <v>5109</v>
      </c>
      <c r="B5093" t="s">
        <v>21</v>
      </c>
      <c r="C5093">
        <v>1799</v>
      </c>
      <c r="D5093">
        <v>0</v>
      </c>
      <c r="E5093">
        <v>0</v>
      </c>
      <c r="F5093">
        <f>COUNTIFS(mdr_rate_cleaned!$A$2:$A$10,B5093,mdr_rate_cleaned!$B$2:$B$10,"&lt;"&amp;C5093,mdr_rate_cleaned!$F$2:$F$10,"&gt;="&amp;C5093)</f>
        <v>1</v>
      </c>
      <c r="G5093">
        <v>0</v>
      </c>
      <c r="H5093">
        <v>0</v>
      </c>
      <c r="I5093" t="s">
        <v>15</v>
      </c>
      <c r="J5093" t="s">
        <v>15</v>
      </c>
      <c r="K5093">
        <v>0</v>
      </c>
      <c r="L5093">
        <v>0</v>
      </c>
    </row>
    <row r="5094" spans="1:12" x14ac:dyDescent="0.3">
      <c r="A5094" t="s">
        <v>5110</v>
      </c>
      <c r="B5094" t="s">
        <v>39</v>
      </c>
      <c r="C5094">
        <v>1799</v>
      </c>
      <c r="D5094">
        <v>26.99</v>
      </c>
      <c r="E5094">
        <v>4.8600000000000003</v>
      </c>
      <c r="F5094">
        <f>COUNTIFS(mdr_rate_cleaned!$A$2:$A$10,B5094,mdr_rate_cleaned!$B$2:$B$10,"&lt;"&amp;C5094,mdr_rate_cleaned!$F$2:$F$10,"&gt;="&amp;C5094)</f>
        <v>1</v>
      </c>
      <c r="G5094">
        <v>1.4999999999999999E-2</v>
      </c>
      <c r="H5094">
        <v>26.99</v>
      </c>
      <c r="I5094" t="s">
        <v>15</v>
      </c>
      <c r="J5094" t="s">
        <v>15</v>
      </c>
      <c r="K5094">
        <v>4.8600000000000003</v>
      </c>
      <c r="L5094">
        <v>0</v>
      </c>
    </row>
    <row r="5095" spans="1:12" x14ac:dyDescent="0.3">
      <c r="A5095" t="s">
        <v>5111</v>
      </c>
      <c r="B5095" t="s">
        <v>21</v>
      </c>
      <c r="C5095">
        <v>799</v>
      </c>
      <c r="D5095">
        <v>0</v>
      </c>
      <c r="E5095">
        <v>0</v>
      </c>
      <c r="F5095">
        <f>COUNTIFS(mdr_rate_cleaned!$A$2:$A$10,B5095,mdr_rate_cleaned!$B$2:$B$10,"&lt;"&amp;C5095,mdr_rate_cleaned!$F$2:$F$10,"&gt;="&amp;C5095)</f>
        <v>1</v>
      </c>
      <c r="G5095">
        <v>0</v>
      </c>
      <c r="H5095">
        <v>0</v>
      </c>
      <c r="I5095" t="s">
        <v>15</v>
      </c>
      <c r="J5095" t="s">
        <v>15</v>
      </c>
      <c r="K5095">
        <v>0</v>
      </c>
      <c r="L5095">
        <v>0</v>
      </c>
    </row>
    <row r="5096" spans="1:12" x14ac:dyDescent="0.3">
      <c r="A5096" t="s">
        <v>5112</v>
      </c>
      <c r="B5096" t="s">
        <v>17</v>
      </c>
      <c r="C5096">
        <v>1499</v>
      </c>
      <c r="D5096">
        <v>26.98</v>
      </c>
      <c r="E5096">
        <v>4.8600000000000003</v>
      </c>
      <c r="F5096">
        <f>COUNTIFS(mdr_rate_cleaned!$A$2:$A$10,B5096,mdr_rate_cleaned!$B$2:$B$10,"&lt;"&amp;C5096,mdr_rate_cleaned!$F$2:$F$10,"&gt;="&amp;C5096)</f>
        <v>1</v>
      </c>
      <c r="G5096">
        <v>1.7999999999999999E-2</v>
      </c>
      <c r="H5096">
        <v>26.98</v>
      </c>
      <c r="I5096" t="s">
        <v>15</v>
      </c>
      <c r="J5096" t="s">
        <v>15</v>
      </c>
      <c r="K5096">
        <v>4.8600000000000003</v>
      </c>
      <c r="L5096">
        <v>0</v>
      </c>
    </row>
    <row r="5097" spans="1:12" x14ac:dyDescent="0.3">
      <c r="A5097" t="s">
        <v>5113</v>
      </c>
      <c r="B5097" t="s">
        <v>17</v>
      </c>
      <c r="C5097">
        <v>349</v>
      </c>
      <c r="D5097">
        <v>6.28</v>
      </c>
      <c r="E5097">
        <v>1.1299999999999999</v>
      </c>
      <c r="F5097">
        <f>COUNTIFS(mdr_rate_cleaned!$A$2:$A$10,B5097,mdr_rate_cleaned!$B$2:$B$10,"&lt;"&amp;C5097,mdr_rate_cleaned!$F$2:$F$10,"&gt;="&amp;C5097)</f>
        <v>1</v>
      </c>
      <c r="G5097">
        <v>1.7999999999999999E-2</v>
      </c>
      <c r="H5097">
        <v>6.28</v>
      </c>
      <c r="I5097" t="s">
        <v>15</v>
      </c>
      <c r="J5097" t="s">
        <v>15</v>
      </c>
      <c r="K5097">
        <v>1.1299999999999999</v>
      </c>
      <c r="L5097">
        <v>0</v>
      </c>
    </row>
    <row r="5098" spans="1:12" x14ac:dyDescent="0.3">
      <c r="A5098" t="s">
        <v>5114</v>
      </c>
      <c r="B5098" t="s">
        <v>17</v>
      </c>
      <c r="C5098">
        <v>1197</v>
      </c>
      <c r="D5098">
        <v>21.55</v>
      </c>
      <c r="E5098">
        <v>3.88</v>
      </c>
      <c r="F5098">
        <f>COUNTIFS(mdr_rate_cleaned!$A$2:$A$10,B5098,mdr_rate_cleaned!$B$2:$B$10,"&lt;"&amp;C5098,mdr_rate_cleaned!$F$2:$F$10,"&gt;="&amp;C5098)</f>
        <v>1</v>
      </c>
      <c r="G5098">
        <v>1.7999999999999999E-2</v>
      </c>
      <c r="H5098">
        <v>21.55</v>
      </c>
      <c r="I5098" t="s">
        <v>15</v>
      </c>
      <c r="J5098" t="s">
        <v>15</v>
      </c>
      <c r="K5098">
        <v>3.88</v>
      </c>
      <c r="L5098">
        <v>0</v>
      </c>
    </row>
    <row r="5099" spans="1:12" x14ac:dyDescent="0.3">
      <c r="A5099" t="s">
        <v>5115</v>
      </c>
      <c r="B5099" t="s">
        <v>13</v>
      </c>
      <c r="C5099">
        <v>3499</v>
      </c>
      <c r="D5099">
        <v>59.48</v>
      </c>
      <c r="E5099">
        <v>10.71</v>
      </c>
      <c r="F5099">
        <f>COUNTIFS(mdr_rate_cleaned!$A$2:$A$10,B5099,mdr_rate_cleaned!$B$2:$B$10,"&lt;"&amp;C5099,mdr_rate_cleaned!$F$2:$F$10,"&gt;="&amp;C5099)</f>
        <v>1</v>
      </c>
      <c r="G5099">
        <v>1.7000000000000001E-2</v>
      </c>
      <c r="H5099">
        <v>59.48</v>
      </c>
      <c r="I5099" t="s">
        <v>15</v>
      </c>
      <c r="J5099" t="s">
        <v>15</v>
      </c>
      <c r="K5099">
        <v>10.71</v>
      </c>
      <c r="L5099">
        <v>0</v>
      </c>
    </row>
    <row r="5100" spans="1:12" x14ac:dyDescent="0.3">
      <c r="A5100" t="s">
        <v>5116</v>
      </c>
      <c r="B5100" t="s">
        <v>21</v>
      </c>
      <c r="C5100">
        <v>6498</v>
      </c>
      <c r="D5100">
        <v>19.489999999999998</v>
      </c>
      <c r="E5100">
        <v>3.51</v>
      </c>
      <c r="F5100">
        <f>COUNTIFS(mdr_rate_cleaned!$A$2:$A$10,B5100,mdr_rate_cleaned!$B$2:$B$10,"&lt;"&amp;C5100,mdr_rate_cleaned!$F$2:$F$10,"&gt;="&amp;C5100)</f>
        <v>1</v>
      </c>
      <c r="G5100">
        <v>3.0000000000000001E-3</v>
      </c>
      <c r="H5100">
        <v>19.489999999999998</v>
      </c>
      <c r="I5100" t="s">
        <v>15</v>
      </c>
      <c r="J5100" t="s">
        <v>15</v>
      </c>
      <c r="K5100">
        <v>3.51</v>
      </c>
      <c r="L5100">
        <v>0</v>
      </c>
    </row>
    <row r="5101" spans="1:12" x14ac:dyDescent="0.3">
      <c r="A5101" t="s">
        <v>5117</v>
      </c>
      <c r="B5101" t="s">
        <v>17</v>
      </c>
      <c r="C5101">
        <v>3348</v>
      </c>
      <c r="D5101">
        <v>53.57</v>
      </c>
      <c r="E5101">
        <v>9.64</v>
      </c>
      <c r="F5101">
        <f>COUNTIFS(mdr_rate_cleaned!$A$2:$A$10,B5101,mdr_rate_cleaned!$B$2:$B$10,"&lt;"&amp;C5101,mdr_rate_cleaned!$F$2:$F$10,"&gt;="&amp;C5101)</f>
        <v>1</v>
      </c>
      <c r="G5101">
        <v>1.6E-2</v>
      </c>
      <c r="H5101">
        <v>53.57</v>
      </c>
      <c r="I5101" t="s">
        <v>15</v>
      </c>
      <c r="J5101" t="s">
        <v>15</v>
      </c>
      <c r="K5101">
        <v>9.64</v>
      </c>
      <c r="L5101">
        <v>0</v>
      </c>
    </row>
    <row r="5102" spans="1:12" x14ac:dyDescent="0.3">
      <c r="A5102" t="s">
        <v>5118</v>
      </c>
      <c r="B5102" t="s">
        <v>17</v>
      </c>
      <c r="C5102">
        <v>4999</v>
      </c>
      <c r="D5102">
        <v>79.98</v>
      </c>
      <c r="E5102">
        <v>14.4</v>
      </c>
      <c r="F5102">
        <f>COUNTIFS(mdr_rate_cleaned!$A$2:$A$10,B5102,mdr_rate_cleaned!$B$2:$B$10,"&lt;"&amp;C5102,mdr_rate_cleaned!$F$2:$F$10,"&gt;="&amp;C5102)</f>
        <v>1</v>
      </c>
      <c r="G5102">
        <v>1.6E-2</v>
      </c>
      <c r="H5102">
        <v>79.98</v>
      </c>
      <c r="I5102" t="s">
        <v>15</v>
      </c>
      <c r="J5102" t="s">
        <v>15</v>
      </c>
      <c r="K5102">
        <v>14.4</v>
      </c>
      <c r="L5102">
        <v>0</v>
      </c>
    </row>
    <row r="5103" spans="1:12" x14ac:dyDescent="0.3">
      <c r="A5103" t="s">
        <v>5119</v>
      </c>
      <c r="B5103" t="s">
        <v>17</v>
      </c>
      <c r="C5103">
        <v>2999</v>
      </c>
      <c r="D5103">
        <v>47.98</v>
      </c>
      <c r="E5103">
        <v>8.64</v>
      </c>
      <c r="F5103">
        <f>COUNTIFS(mdr_rate_cleaned!$A$2:$A$10,B5103,mdr_rate_cleaned!$B$2:$B$10,"&lt;"&amp;C5103,mdr_rate_cleaned!$F$2:$F$10,"&gt;="&amp;C5103)</f>
        <v>1</v>
      </c>
      <c r="G5103">
        <v>1.6E-2</v>
      </c>
      <c r="H5103">
        <v>47.98</v>
      </c>
      <c r="I5103" t="s">
        <v>15</v>
      </c>
      <c r="J5103" t="s">
        <v>15</v>
      </c>
      <c r="K5103">
        <v>8.64</v>
      </c>
      <c r="L5103">
        <v>0</v>
      </c>
    </row>
    <row r="5104" spans="1:12" x14ac:dyDescent="0.3">
      <c r="A5104" t="s">
        <v>5120</v>
      </c>
      <c r="B5104" t="s">
        <v>21</v>
      </c>
      <c r="C5104">
        <v>5998</v>
      </c>
      <c r="D5104">
        <v>17.989999999999998</v>
      </c>
      <c r="E5104">
        <v>3.24</v>
      </c>
      <c r="F5104">
        <f>COUNTIFS(mdr_rate_cleaned!$A$2:$A$10,B5104,mdr_rate_cleaned!$B$2:$B$10,"&lt;"&amp;C5104,mdr_rate_cleaned!$F$2:$F$10,"&gt;="&amp;C5104)</f>
        <v>1</v>
      </c>
      <c r="G5104">
        <v>3.0000000000000001E-3</v>
      </c>
      <c r="H5104">
        <v>17.989999999999998</v>
      </c>
      <c r="I5104" t="s">
        <v>15</v>
      </c>
      <c r="J5104" t="s">
        <v>15</v>
      </c>
      <c r="K5104">
        <v>3.24</v>
      </c>
      <c r="L5104">
        <v>0</v>
      </c>
    </row>
    <row r="5105" spans="1:12" x14ac:dyDescent="0.3">
      <c r="A5105" t="s">
        <v>5121</v>
      </c>
      <c r="B5105" t="s">
        <v>21</v>
      </c>
      <c r="C5105">
        <v>7999</v>
      </c>
      <c r="D5105">
        <v>24</v>
      </c>
      <c r="E5105">
        <v>4.32</v>
      </c>
      <c r="F5105">
        <f>COUNTIFS(mdr_rate_cleaned!$A$2:$A$10,B5105,mdr_rate_cleaned!$B$2:$B$10,"&lt;"&amp;C5105,mdr_rate_cleaned!$F$2:$F$10,"&gt;="&amp;C5105)</f>
        <v>1</v>
      </c>
      <c r="G5105">
        <v>3.0000000000000001E-3</v>
      </c>
      <c r="H5105">
        <v>24</v>
      </c>
      <c r="I5105" t="s">
        <v>15</v>
      </c>
      <c r="J5105" t="s">
        <v>15</v>
      </c>
      <c r="K5105">
        <v>4.32</v>
      </c>
      <c r="L5105">
        <v>0</v>
      </c>
    </row>
    <row r="5106" spans="1:12" x14ac:dyDescent="0.3">
      <c r="A5106" t="s">
        <v>5122</v>
      </c>
      <c r="B5106" t="s">
        <v>39</v>
      </c>
      <c r="C5106">
        <v>4999</v>
      </c>
      <c r="D5106">
        <v>59.99</v>
      </c>
      <c r="E5106">
        <v>10.8</v>
      </c>
      <c r="F5106">
        <f>COUNTIFS(mdr_rate_cleaned!$A$2:$A$10,B5106,mdr_rate_cleaned!$B$2:$B$10,"&lt;"&amp;C5106,mdr_rate_cleaned!$F$2:$F$10,"&gt;="&amp;C5106)</f>
        <v>1</v>
      </c>
      <c r="G5106">
        <v>1.2E-2</v>
      </c>
      <c r="H5106">
        <v>59.99</v>
      </c>
      <c r="I5106" t="s">
        <v>15</v>
      </c>
      <c r="J5106" t="s">
        <v>15</v>
      </c>
      <c r="K5106">
        <v>10.8</v>
      </c>
      <c r="L5106">
        <v>0</v>
      </c>
    </row>
    <row r="5107" spans="1:12" x14ac:dyDescent="0.3">
      <c r="A5107" t="s">
        <v>5123</v>
      </c>
      <c r="B5107" t="s">
        <v>21</v>
      </c>
      <c r="C5107">
        <v>2999</v>
      </c>
      <c r="D5107">
        <v>9</v>
      </c>
      <c r="E5107">
        <v>1.62</v>
      </c>
      <c r="F5107">
        <f>COUNTIFS(mdr_rate_cleaned!$A$2:$A$10,B5107,mdr_rate_cleaned!$B$2:$B$10,"&lt;"&amp;C5107,mdr_rate_cleaned!$F$2:$F$10,"&gt;="&amp;C5107)</f>
        <v>1</v>
      </c>
      <c r="G5107">
        <v>3.0000000000000001E-3</v>
      </c>
      <c r="H5107">
        <v>9</v>
      </c>
      <c r="I5107" t="s">
        <v>15</v>
      </c>
      <c r="J5107" t="s">
        <v>15</v>
      </c>
      <c r="K5107">
        <v>1.62</v>
      </c>
      <c r="L5107">
        <v>0</v>
      </c>
    </row>
    <row r="5108" spans="1:12" x14ac:dyDescent="0.3">
      <c r="A5108" t="s">
        <v>5124</v>
      </c>
      <c r="B5108" t="s">
        <v>21</v>
      </c>
      <c r="C5108">
        <v>349</v>
      </c>
      <c r="D5108">
        <v>0</v>
      </c>
      <c r="E5108">
        <v>0</v>
      </c>
      <c r="F5108">
        <f>COUNTIFS(mdr_rate_cleaned!$A$2:$A$10,B5108,mdr_rate_cleaned!$B$2:$B$10,"&lt;"&amp;C5108,mdr_rate_cleaned!$F$2:$F$10,"&gt;="&amp;C5108)</f>
        <v>1</v>
      </c>
      <c r="G5108">
        <v>0</v>
      </c>
      <c r="H5108">
        <v>0</v>
      </c>
      <c r="I5108" t="s">
        <v>15</v>
      </c>
      <c r="J5108" t="s">
        <v>15</v>
      </c>
      <c r="K5108">
        <v>0</v>
      </c>
      <c r="L5108">
        <v>0</v>
      </c>
    </row>
    <row r="5109" spans="1:12" x14ac:dyDescent="0.3">
      <c r="A5109" t="s">
        <v>5125</v>
      </c>
      <c r="B5109" t="s">
        <v>17</v>
      </c>
      <c r="C5109">
        <v>599</v>
      </c>
      <c r="D5109">
        <v>10.78</v>
      </c>
      <c r="E5109">
        <v>1.94</v>
      </c>
      <c r="F5109">
        <f>COUNTIFS(mdr_rate_cleaned!$A$2:$A$10,B5109,mdr_rate_cleaned!$B$2:$B$10,"&lt;"&amp;C5109,mdr_rate_cleaned!$F$2:$F$10,"&gt;="&amp;C5109)</f>
        <v>1</v>
      </c>
      <c r="G5109">
        <v>1.7999999999999999E-2</v>
      </c>
      <c r="H5109">
        <v>10.78</v>
      </c>
      <c r="I5109" t="s">
        <v>15</v>
      </c>
      <c r="J5109" t="s">
        <v>15</v>
      </c>
      <c r="K5109">
        <v>1.94</v>
      </c>
      <c r="L5109">
        <v>0</v>
      </c>
    </row>
    <row r="5110" spans="1:12" x14ac:dyDescent="0.3">
      <c r="A5110" t="s">
        <v>5126</v>
      </c>
      <c r="B5110" t="s">
        <v>21</v>
      </c>
      <c r="C5110">
        <v>8798</v>
      </c>
      <c r="D5110">
        <v>26.39</v>
      </c>
      <c r="E5110">
        <v>4.75</v>
      </c>
      <c r="F5110">
        <f>COUNTIFS(mdr_rate_cleaned!$A$2:$A$10,B5110,mdr_rate_cleaned!$B$2:$B$10,"&lt;"&amp;C5110,mdr_rate_cleaned!$F$2:$F$10,"&gt;="&amp;C5110)</f>
        <v>1</v>
      </c>
      <c r="G5110">
        <v>3.0000000000000001E-3</v>
      </c>
      <c r="H5110">
        <v>26.39</v>
      </c>
      <c r="I5110" t="s">
        <v>15</v>
      </c>
      <c r="J5110" t="s">
        <v>15</v>
      </c>
      <c r="K5110">
        <v>4.75</v>
      </c>
      <c r="L5110">
        <v>0</v>
      </c>
    </row>
    <row r="5111" spans="1:12" x14ac:dyDescent="0.3">
      <c r="A5111" t="s">
        <v>5127</v>
      </c>
      <c r="B5111" t="s">
        <v>39</v>
      </c>
      <c r="C5111">
        <v>799</v>
      </c>
      <c r="D5111">
        <v>11.99</v>
      </c>
      <c r="E5111">
        <v>2.16</v>
      </c>
      <c r="F5111">
        <f>COUNTIFS(mdr_rate_cleaned!$A$2:$A$10,B5111,mdr_rate_cleaned!$B$2:$B$10,"&lt;"&amp;C5111,mdr_rate_cleaned!$F$2:$F$10,"&gt;="&amp;C5111)</f>
        <v>1</v>
      </c>
      <c r="G5111">
        <v>1.4999999999999999E-2</v>
      </c>
      <c r="H5111">
        <v>11.99</v>
      </c>
      <c r="I5111" t="s">
        <v>15</v>
      </c>
      <c r="J5111" t="s">
        <v>15</v>
      </c>
      <c r="K5111">
        <v>2.16</v>
      </c>
      <c r="L5111">
        <v>0</v>
      </c>
    </row>
    <row r="5112" spans="1:12" x14ac:dyDescent="0.3">
      <c r="A5112" t="s">
        <v>5128</v>
      </c>
      <c r="B5112" t="s">
        <v>21</v>
      </c>
      <c r="C5112">
        <v>2499</v>
      </c>
      <c r="D5112">
        <v>7.5</v>
      </c>
      <c r="E5112">
        <v>1.35</v>
      </c>
      <c r="F5112">
        <f>COUNTIFS(mdr_rate_cleaned!$A$2:$A$10,B5112,mdr_rate_cleaned!$B$2:$B$10,"&lt;"&amp;C5112,mdr_rate_cleaned!$F$2:$F$10,"&gt;="&amp;C5112)</f>
        <v>1</v>
      </c>
      <c r="G5112">
        <v>3.0000000000000001E-3</v>
      </c>
      <c r="H5112">
        <v>7.5</v>
      </c>
      <c r="I5112" t="s">
        <v>15</v>
      </c>
      <c r="J5112" t="s">
        <v>15</v>
      </c>
      <c r="K5112">
        <v>1.35</v>
      </c>
      <c r="L5112">
        <v>0</v>
      </c>
    </row>
    <row r="5113" spans="1:12" x14ac:dyDescent="0.3">
      <c r="A5113" t="s">
        <v>5129</v>
      </c>
      <c r="B5113" t="s">
        <v>17</v>
      </c>
      <c r="C5113">
        <v>3798</v>
      </c>
      <c r="D5113">
        <v>60.77</v>
      </c>
      <c r="E5113">
        <v>10.94</v>
      </c>
      <c r="F5113">
        <f>COUNTIFS(mdr_rate_cleaned!$A$2:$A$10,B5113,mdr_rate_cleaned!$B$2:$B$10,"&lt;"&amp;C5113,mdr_rate_cleaned!$F$2:$F$10,"&gt;="&amp;C5113)</f>
        <v>1</v>
      </c>
      <c r="G5113">
        <v>1.6E-2</v>
      </c>
      <c r="H5113">
        <v>60.77</v>
      </c>
      <c r="I5113" t="s">
        <v>15</v>
      </c>
      <c r="J5113" t="s">
        <v>15</v>
      </c>
      <c r="K5113">
        <v>10.94</v>
      </c>
      <c r="L5113">
        <v>0</v>
      </c>
    </row>
    <row r="5114" spans="1:12" x14ac:dyDescent="0.3">
      <c r="A5114" t="s">
        <v>5130</v>
      </c>
      <c r="B5114" t="s">
        <v>21</v>
      </c>
      <c r="C5114">
        <v>999</v>
      </c>
      <c r="D5114">
        <v>0</v>
      </c>
      <c r="E5114">
        <v>0</v>
      </c>
      <c r="F5114">
        <f>COUNTIFS(mdr_rate_cleaned!$A$2:$A$10,B5114,mdr_rate_cleaned!$B$2:$B$10,"&lt;"&amp;C5114,mdr_rate_cleaned!$F$2:$F$10,"&gt;="&amp;C5114)</f>
        <v>1</v>
      </c>
      <c r="G5114">
        <v>0</v>
      </c>
      <c r="H5114">
        <v>0</v>
      </c>
      <c r="I5114" t="s">
        <v>15</v>
      </c>
      <c r="J5114" t="s">
        <v>15</v>
      </c>
      <c r="K5114">
        <v>0</v>
      </c>
      <c r="L5114">
        <v>0</v>
      </c>
    </row>
    <row r="5115" spans="1:12" x14ac:dyDescent="0.3">
      <c r="A5115" t="s">
        <v>5131</v>
      </c>
      <c r="B5115" t="s">
        <v>21</v>
      </c>
      <c r="C5115">
        <v>1897</v>
      </c>
      <c r="D5115">
        <v>0</v>
      </c>
      <c r="E5115">
        <v>0</v>
      </c>
      <c r="F5115">
        <f>COUNTIFS(mdr_rate_cleaned!$A$2:$A$10,B5115,mdr_rate_cleaned!$B$2:$B$10,"&lt;"&amp;C5115,mdr_rate_cleaned!$F$2:$F$10,"&gt;="&amp;C5115)</f>
        <v>1</v>
      </c>
      <c r="G5115">
        <v>0</v>
      </c>
      <c r="H5115">
        <v>0</v>
      </c>
      <c r="I5115" t="s">
        <v>15</v>
      </c>
      <c r="J5115" t="s">
        <v>15</v>
      </c>
      <c r="K5115">
        <v>0</v>
      </c>
      <c r="L5115">
        <v>0</v>
      </c>
    </row>
    <row r="5116" spans="1:12" x14ac:dyDescent="0.3">
      <c r="A5116" t="s">
        <v>5132</v>
      </c>
      <c r="B5116" t="s">
        <v>21</v>
      </c>
      <c r="C5116">
        <v>3499</v>
      </c>
      <c r="D5116">
        <v>10.5</v>
      </c>
      <c r="E5116">
        <v>1.89</v>
      </c>
      <c r="F5116">
        <f>COUNTIFS(mdr_rate_cleaned!$A$2:$A$10,B5116,mdr_rate_cleaned!$B$2:$B$10,"&lt;"&amp;C5116,mdr_rate_cleaned!$F$2:$F$10,"&gt;="&amp;C5116)</f>
        <v>1</v>
      </c>
      <c r="G5116">
        <v>3.0000000000000001E-3</v>
      </c>
      <c r="H5116">
        <v>10.5</v>
      </c>
      <c r="I5116" t="s">
        <v>15</v>
      </c>
      <c r="J5116" t="s">
        <v>15</v>
      </c>
      <c r="K5116">
        <v>1.89</v>
      </c>
      <c r="L5116">
        <v>0</v>
      </c>
    </row>
    <row r="5117" spans="1:12" x14ac:dyDescent="0.3">
      <c r="A5117" t="s">
        <v>5133</v>
      </c>
      <c r="B5117" t="s">
        <v>21</v>
      </c>
      <c r="C5117">
        <v>7999</v>
      </c>
      <c r="D5117">
        <v>24</v>
      </c>
      <c r="E5117">
        <v>4.32</v>
      </c>
      <c r="F5117">
        <f>COUNTIFS(mdr_rate_cleaned!$A$2:$A$10,B5117,mdr_rate_cleaned!$B$2:$B$10,"&lt;"&amp;C5117,mdr_rate_cleaned!$F$2:$F$10,"&gt;="&amp;C5117)</f>
        <v>1</v>
      </c>
      <c r="G5117">
        <v>3.0000000000000001E-3</v>
      </c>
      <c r="H5117">
        <v>24</v>
      </c>
      <c r="I5117" t="s">
        <v>15</v>
      </c>
      <c r="J5117" t="s">
        <v>15</v>
      </c>
      <c r="K5117">
        <v>4.32</v>
      </c>
      <c r="L5117">
        <v>0</v>
      </c>
    </row>
    <row r="5118" spans="1:12" x14ac:dyDescent="0.3">
      <c r="A5118" t="s">
        <v>5134</v>
      </c>
      <c r="B5118" t="s">
        <v>17</v>
      </c>
      <c r="C5118">
        <v>7999</v>
      </c>
      <c r="D5118">
        <v>127.98</v>
      </c>
      <c r="E5118">
        <v>23.04</v>
      </c>
      <c r="F5118">
        <f>COUNTIFS(mdr_rate_cleaned!$A$2:$A$10,B5118,mdr_rate_cleaned!$B$2:$B$10,"&lt;"&amp;C5118,mdr_rate_cleaned!$F$2:$F$10,"&gt;="&amp;C5118)</f>
        <v>1</v>
      </c>
      <c r="G5118">
        <v>1.6E-2</v>
      </c>
      <c r="H5118">
        <v>127.98</v>
      </c>
      <c r="I5118" t="s">
        <v>15</v>
      </c>
      <c r="J5118" t="s">
        <v>15</v>
      </c>
      <c r="K5118">
        <v>23.04</v>
      </c>
      <c r="L5118">
        <v>0</v>
      </c>
    </row>
    <row r="5119" spans="1:12" x14ac:dyDescent="0.3">
      <c r="A5119" t="s">
        <v>5135</v>
      </c>
      <c r="B5119" t="s">
        <v>39</v>
      </c>
      <c r="C5119">
        <v>5297</v>
      </c>
      <c r="D5119">
        <v>63.56</v>
      </c>
      <c r="E5119">
        <v>11.44</v>
      </c>
      <c r="F5119">
        <f>COUNTIFS(mdr_rate_cleaned!$A$2:$A$10,B5119,mdr_rate_cleaned!$B$2:$B$10,"&lt;"&amp;C5119,mdr_rate_cleaned!$F$2:$F$10,"&gt;="&amp;C5119)</f>
        <v>1</v>
      </c>
      <c r="G5119">
        <v>1.2E-2</v>
      </c>
      <c r="H5119">
        <v>63.56</v>
      </c>
      <c r="I5119" t="s">
        <v>15</v>
      </c>
      <c r="J5119" t="s">
        <v>15</v>
      </c>
      <c r="K5119">
        <v>11.44</v>
      </c>
      <c r="L5119">
        <v>0</v>
      </c>
    </row>
    <row r="5120" spans="1:12" x14ac:dyDescent="0.3">
      <c r="A5120" t="s">
        <v>5136</v>
      </c>
      <c r="B5120" t="s">
        <v>21</v>
      </c>
      <c r="C5120">
        <v>3499</v>
      </c>
      <c r="D5120">
        <v>10.5</v>
      </c>
      <c r="E5120">
        <v>1.89</v>
      </c>
      <c r="F5120">
        <f>COUNTIFS(mdr_rate_cleaned!$A$2:$A$10,B5120,mdr_rate_cleaned!$B$2:$B$10,"&lt;"&amp;C5120,mdr_rate_cleaned!$F$2:$F$10,"&gt;="&amp;C5120)</f>
        <v>1</v>
      </c>
      <c r="G5120">
        <v>3.0000000000000001E-3</v>
      </c>
      <c r="H5120">
        <v>10.5</v>
      </c>
      <c r="I5120" t="s">
        <v>15</v>
      </c>
      <c r="J5120" t="s">
        <v>15</v>
      </c>
      <c r="K5120">
        <v>1.89</v>
      </c>
      <c r="L5120">
        <v>0</v>
      </c>
    </row>
    <row r="5121" spans="1:12" x14ac:dyDescent="0.3">
      <c r="A5121" t="s">
        <v>5137</v>
      </c>
      <c r="B5121" t="s">
        <v>21</v>
      </c>
      <c r="C5121">
        <v>3098</v>
      </c>
      <c r="D5121">
        <v>9.2899999999999991</v>
      </c>
      <c r="E5121">
        <v>1.67</v>
      </c>
      <c r="F5121">
        <f>COUNTIFS(mdr_rate_cleaned!$A$2:$A$10,B5121,mdr_rate_cleaned!$B$2:$B$10,"&lt;"&amp;C5121,mdr_rate_cleaned!$F$2:$F$10,"&gt;="&amp;C5121)</f>
        <v>1</v>
      </c>
      <c r="G5121">
        <v>3.0000000000000001E-3</v>
      </c>
      <c r="H5121">
        <v>9.2899999999999991</v>
      </c>
      <c r="I5121" t="s">
        <v>15</v>
      </c>
      <c r="J5121" t="s">
        <v>15</v>
      </c>
      <c r="K5121">
        <v>1.67</v>
      </c>
      <c r="L5121">
        <v>0</v>
      </c>
    </row>
    <row r="5122" spans="1:12" x14ac:dyDescent="0.3">
      <c r="A5122" t="s">
        <v>5138</v>
      </c>
      <c r="B5122" t="s">
        <v>21</v>
      </c>
      <c r="C5122">
        <v>1499</v>
      </c>
      <c r="D5122">
        <v>0</v>
      </c>
      <c r="E5122">
        <v>0</v>
      </c>
      <c r="F5122">
        <f>COUNTIFS(mdr_rate_cleaned!$A$2:$A$10,B5122,mdr_rate_cleaned!$B$2:$B$10,"&lt;"&amp;C5122,mdr_rate_cleaned!$F$2:$F$10,"&gt;="&amp;C5122)</f>
        <v>1</v>
      </c>
      <c r="G5122">
        <v>0</v>
      </c>
      <c r="H5122">
        <v>0</v>
      </c>
      <c r="I5122" t="s">
        <v>15</v>
      </c>
      <c r="J5122" t="s">
        <v>15</v>
      </c>
      <c r="K5122">
        <v>0</v>
      </c>
      <c r="L5122">
        <v>0</v>
      </c>
    </row>
    <row r="5123" spans="1:12" x14ac:dyDescent="0.3">
      <c r="A5123" t="s">
        <v>5139</v>
      </c>
      <c r="B5123" t="s">
        <v>21</v>
      </c>
      <c r="C5123">
        <v>1499</v>
      </c>
      <c r="D5123">
        <v>0</v>
      </c>
      <c r="E5123">
        <v>0</v>
      </c>
      <c r="F5123">
        <f>COUNTIFS(mdr_rate_cleaned!$A$2:$A$10,B5123,mdr_rate_cleaned!$B$2:$B$10,"&lt;"&amp;C5123,mdr_rate_cleaned!$F$2:$F$10,"&gt;="&amp;C5123)</f>
        <v>1</v>
      </c>
      <c r="G5123">
        <v>0</v>
      </c>
      <c r="H5123">
        <v>0</v>
      </c>
      <c r="I5123" t="s">
        <v>15</v>
      </c>
      <c r="J5123" t="s">
        <v>15</v>
      </c>
      <c r="K5123">
        <v>0</v>
      </c>
      <c r="L5123">
        <v>0</v>
      </c>
    </row>
    <row r="5124" spans="1:12" x14ac:dyDescent="0.3">
      <c r="A5124" t="s">
        <v>5140</v>
      </c>
      <c r="B5124" t="s">
        <v>17</v>
      </c>
      <c r="C5124">
        <v>999</v>
      </c>
      <c r="D5124">
        <v>17.98</v>
      </c>
      <c r="E5124">
        <v>3.24</v>
      </c>
      <c r="F5124">
        <f>COUNTIFS(mdr_rate_cleaned!$A$2:$A$10,B5124,mdr_rate_cleaned!$B$2:$B$10,"&lt;"&amp;C5124,mdr_rate_cleaned!$F$2:$F$10,"&gt;="&amp;C5124)</f>
        <v>1</v>
      </c>
      <c r="G5124">
        <v>1.7999999999999999E-2</v>
      </c>
      <c r="H5124">
        <v>17.98</v>
      </c>
      <c r="I5124" t="s">
        <v>15</v>
      </c>
      <c r="J5124" t="s">
        <v>15</v>
      </c>
      <c r="K5124">
        <v>3.24</v>
      </c>
      <c r="L5124">
        <v>0</v>
      </c>
    </row>
    <row r="5125" spans="1:12" x14ac:dyDescent="0.3">
      <c r="A5125" t="s">
        <v>5141</v>
      </c>
      <c r="B5125" t="s">
        <v>17</v>
      </c>
      <c r="C5125">
        <v>7498</v>
      </c>
      <c r="D5125">
        <v>119.97</v>
      </c>
      <c r="E5125">
        <v>21.59</v>
      </c>
      <c r="F5125">
        <f>COUNTIFS(mdr_rate_cleaned!$A$2:$A$10,B5125,mdr_rate_cleaned!$B$2:$B$10,"&lt;"&amp;C5125,mdr_rate_cleaned!$F$2:$F$10,"&gt;="&amp;C5125)</f>
        <v>1</v>
      </c>
      <c r="G5125">
        <v>1.6E-2</v>
      </c>
      <c r="H5125">
        <v>119.97</v>
      </c>
      <c r="I5125" t="s">
        <v>15</v>
      </c>
      <c r="J5125" t="s">
        <v>15</v>
      </c>
      <c r="K5125">
        <v>21.59</v>
      </c>
      <c r="L5125">
        <v>0</v>
      </c>
    </row>
    <row r="5126" spans="1:12" x14ac:dyDescent="0.3">
      <c r="A5126" t="s">
        <v>5142</v>
      </c>
      <c r="B5126" t="s">
        <v>21</v>
      </c>
      <c r="C5126">
        <v>4298</v>
      </c>
      <c r="D5126">
        <v>12.89</v>
      </c>
      <c r="E5126">
        <v>2.3199999999999998</v>
      </c>
      <c r="F5126">
        <f>COUNTIFS(mdr_rate_cleaned!$A$2:$A$10,B5126,mdr_rate_cleaned!$B$2:$B$10,"&lt;"&amp;C5126,mdr_rate_cleaned!$F$2:$F$10,"&gt;="&amp;C5126)</f>
        <v>1</v>
      </c>
      <c r="G5126">
        <v>3.0000000000000001E-3</v>
      </c>
      <c r="H5126">
        <v>12.89</v>
      </c>
      <c r="I5126" t="s">
        <v>15</v>
      </c>
      <c r="J5126" t="s">
        <v>15</v>
      </c>
      <c r="K5126">
        <v>2.3199999999999998</v>
      </c>
      <c r="L5126">
        <v>0</v>
      </c>
    </row>
    <row r="5127" spans="1:12" x14ac:dyDescent="0.3">
      <c r="A5127" t="s">
        <v>5143</v>
      </c>
      <c r="B5127" t="s">
        <v>17</v>
      </c>
      <c r="C5127">
        <v>2297</v>
      </c>
      <c r="D5127">
        <v>36.75</v>
      </c>
      <c r="E5127">
        <v>6.62</v>
      </c>
      <c r="F5127">
        <f>COUNTIFS(mdr_rate_cleaned!$A$2:$A$10,B5127,mdr_rate_cleaned!$B$2:$B$10,"&lt;"&amp;C5127,mdr_rate_cleaned!$F$2:$F$10,"&gt;="&amp;C5127)</f>
        <v>1</v>
      </c>
      <c r="G5127">
        <v>1.6E-2</v>
      </c>
      <c r="H5127">
        <v>36.75</v>
      </c>
      <c r="I5127" t="s">
        <v>15</v>
      </c>
      <c r="J5127" t="s">
        <v>15</v>
      </c>
      <c r="K5127">
        <v>6.62</v>
      </c>
      <c r="L5127">
        <v>0</v>
      </c>
    </row>
    <row r="5128" spans="1:12" x14ac:dyDescent="0.3">
      <c r="A5128" t="s">
        <v>5144</v>
      </c>
      <c r="B5128" t="s">
        <v>39</v>
      </c>
      <c r="C5128">
        <v>3897</v>
      </c>
      <c r="D5128">
        <v>46.76</v>
      </c>
      <c r="E5128">
        <v>8.42</v>
      </c>
      <c r="F5128">
        <f>COUNTIFS(mdr_rate_cleaned!$A$2:$A$10,B5128,mdr_rate_cleaned!$B$2:$B$10,"&lt;"&amp;C5128,mdr_rate_cleaned!$F$2:$F$10,"&gt;="&amp;C5128)</f>
        <v>1</v>
      </c>
      <c r="G5128">
        <v>1.2E-2</v>
      </c>
      <c r="H5128">
        <v>46.76</v>
      </c>
      <c r="I5128" t="s">
        <v>15</v>
      </c>
      <c r="J5128" t="s">
        <v>15</v>
      </c>
      <c r="K5128">
        <v>8.42</v>
      </c>
      <c r="L5128">
        <v>0</v>
      </c>
    </row>
    <row r="5129" spans="1:12" x14ac:dyDescent="0.3">
      <c r="A5129" t="s">
        <v>5145</v>
      </c>
      <c r="B5129" t="s">
        <v>17</v>
      </c>
      <c r="C5129">
        <v>7597</v>
      </c>
      <c r="D5129">
        <v>121.55</v>
      </c>
      <c r="E5129">
        <v>21.88</v>
      </c>
      <c r="F5129">
        <f>COUNTIFS(mdr_rate_cleaned!$A$2:$A$10,B5129,mdr_rate_cleaned!$B$2:$B$10,"&lt;"&amp;C5129,mdr_rate_cleaned!$F$2:$F$10,"&gt;="&amp;C5129)</f>
        <v>1</v>
      </c>
      <c r="G5129">
        <v>1.6E-2</v>
      </c>
      <c r="H5129">
        <v>121.55</v>
      </c>
      <c r="I5129" t="s">
        <v>15</v>
      </c>
      <c r="J5129" t="s">
        <v>15</v>
      </c>
      <c r="K5129">
        <v>21.88</v>
      </c>
      <c r="L5129">
        <v>0</v>
      </c>
    </row>
    <row r="5130" spans="1:12" x14ac:dyDescent="0.3">
      <c r="A5130" t="s">
        <v>5146</v>
      </c>
      <c r="B5130" t="s">
        <v>39</v>
      </c>
      <c r="C5130">
        <v>9647</v>
      </c>
      <c r="D5130">
        <v>115.76</v>
      </c>
      <c r="E5130">
        <v>20.84</v>
      </c>
      <c r="F5130">
        <f>COUNTIFS(mdr_rate_cleaned!$A$2:$A$10,B5130,mdr_rate_cleaned!$B$2:$B$10,"&lt;"&amp;C5130,mdr_rate_cleaned!$F$2:$F$10,"&gt;="&amp;C5130)</f>
        <v>1</v>
      </c>
      <c r="G5130">
        <v>1.2E-2</v>
      </c>
      <c r="H5130">
        <v>115.76</v>
      </c>
      <c r="I5130" t="s">
        <v>15</v>
      </c>
      <c r="J5130" t="s">
        <v>15</v>
      </c>
      <c r="K5130">
        <v>20.84</v>
      </c>
      <c r="L5130">
        <v>0</v>
      </c>
    </row>
    <row r="5131" spans="1:12" x14ac:dyDescent="0.3">
      <c r="A5131" t="s">
        <v>5147</v>
      </c>
      <c r="B5131" t="s">
        <v>21</v>
      </c>
      <c r="C5131">
        <v>11498</v>
      </c>
      <c r="D5131">
        <v>34.49</v>
      </c>
      <c r="E5131">
        <v>6.21</v>
      </c>
      <c r="F5131">
        <f>COUNTIFS(mdr_rate_cleaned!$A$2:$A$10,B5131,mdr_rate_cleaned!$B$2:$B$10,"&lt;"&amp;C5131,mdr_rate_cleaned!$F$2:$F$10,"&gt;="&amp;C5131)</f>
        <v>1</v>
      </c>
      <c r="G5131">
        <v>3.0000000000000001E-3</v>
      </c>
      <c r="H5131">
        <v>34.49</v>
      </c>
      <c r="I5131" t="s">
        <v>15</v>
      </c>
      <c r="J5131" t="s">
        <v>15</v>
      </c>
      <c r="K5131">
        <v>6.21</v>
      </c>
      <c r="L5131">
        <v>0</v>
      </c>
    </row>
    <row r="5132" spans="1:12" x14ac:dyDescent="0.3">
      <c r="A5132" t="s">
        <v>5148</v>
      </c>
      <c r="B5132" t="s">
        <v>17</v>
      </c>
      <c r="C5132">
        <v>1499</v>
      </c>
      <c r="D5132">
        <v>26.98</v>
      </c>
      <c r="E5132">
        <v>4.8600000000000003</v>
      </c>
      <c r="F5132">
        <f>COUNTIFS(mdr_rate_cleaned!$A$2:$A$10,B5132,mdr_rate_cleaned!$B$2:$B$10,"&lt;"&amp;C5132,mdr_rate_cleaned!$F$2:$F$10,"&gt;="&amp;C5132)</f>
        <v>1</v>
      </c>
      <c r="G5132">
        <v>1.7999999999999999E-2</v>
      </c>
      <c r="H5132">
        <v>26.98</v>
      </c>
      <c r="I5132" t="s">
        <v>15</v>
      </c>
      <c r="J5132" t="s">
        <v>15</v>
      </c>
      <c r="K5132">
        <v>4.8600000000000003</v>
      </c>
      <c r="L5132">
        <v>0</v>
      </c>
    </row>
    <row r="5133" spans="1:12" x14ac:dyDescent="0.3">
      <c r="A5133" t="s">
        <v>5149</v>
      </c>
      <c r="B5133" t="s">
        <v>21</v>
      </c>
      <c r="C5133">
        <v>499</v>
      </c>
      <c r="D5133">
        <v>0</v>
      </c>
      <c r="E5133">
        <v>0</v>
      </c>
      <c r="F5133">
        <f>COUNTIFS(mdr_rate_cleaned!$A$2:$A$10,B5133,mdr_rate_cleaned!$B$2:$B$10,"&lt;"&amp;C5133,mdr_rate_cleaned!$F$2:$F$10,"&gt;="&amp;C5133)</f>
        <v>1</v>
      </c>
      <c r="G5133">
        <v>0</v>
      </c>
      <c r="H5133">
        <v>0</v>
      </c>
      <c r="I5133" t="s">
        <v>15</v>
      </c>
      <c r="J5133" t="s">
        <v>15</v>
      </c>
      <c r="K5133">
        <v>0</v>
      </c>
      <c r="L5133">
        <v>0</v>
      </c>
    </row>
    <row r="5134" spans="1:12" x14ac:dyDescent="0.3">
      <c r="A5134" t="s">
        <v>5150</v>
      </c>
      <c r="B5134" t="s">
        <v>17</v>
      </c>
      <c r="C5134">
        <v>9298</v>
      </c>
      <c r="D5134">
        <v>148.77000000000001</v>
      </c>
      <c r="E5134">
        <v>26.78</v>
      </c>
      <c r="F5134">
        <f>COUNTIFS(mdr_rate_cleaned!$A$2:$A$10,B5134,mdr_rate_cleaned!$B$2:$B$10,"&lt;"&amp;C5134,mdr_rate_cleaned!$F$2:$F$10,"&gt;="&amp;C5134)</f>
        <v>1</v>
      </c>
      <c r="G5134">
        <v>1.6E-2</v>
      </c>
      <c r="H5134">
        <v>148.77000000000001</v>
      </c>
      <c r="I5134" t="s">
        <v>15</v>
      </c>
      <c r="J5134" t="s">
        <v>15</v>
      </c>
      <c r="K5134">
        <v>26.78</v>
      </c>
      <c r="L5134">
        <v>0</v>
      </c>
    </row>
    <row r="5135" spans="1:12" x14ac:dyDescent="0.3">
      <c r="A5135" t="s">
        <v>5151</v>
      </c>
      <c r="B5135" t="s">
        <v>21</v>
      </c>
      <c r="C5135">
        <v>2148</v>
      </c>
      <c r="D5135">
        <v>6.44</v>
      </c>
      <c r="E5135">
        <v>1.1599999999999999</v>
      </c>
      <c r="F5135">
        <f>COUNTIFS(mdr_rate_cleaned!$A$2:$A$10,B5135,mdr_rate_cleaned!$B$2:$B$10,"&lt;"&amp;C5135,mdr_rate_cleaned!$F$2:$F$10,"&gt;="&amp;C5135)</f>
        <v>1</v>
      </c>
      <c r="G5135">
        <v>3.0000000000000001E-3</v>
      </c>
      <c r="H5135">
        <v>6.44</v>
      </c>
      <c r="I5135" t="s">
        <v>15</v>
      </c>
      <c r="J5135" t="s">
        <v>15</v>
      </c>
      <c r="K5135">
        <v>1.1599999999999999</v>
      </c>
      <c r="L5135">
        <v>0</v>
      </c>
    </row>
    <row r="5136" spans="1:12" x14ac:dyDescent="0.3">
      <c r="A5136" t="s">
        <v>5152</v>
      </c>
      <c r="B5136" t="s">
        <v>13</v>
      </c>
      <c r="C5136">
        <v>799</v>
      </c>
      <c r="D5136">
        <v>15.18</v>
      </c>
      <c r="E5136">
        <v>2.73</v>
      </c>
      <c r="F5136">
        <f>COUNTIFS(mdr_rate_cleaned!$A$2:$A$10,B5136,mdr_rate_cleaned!$B$2:$B$10,"&lt;"&amp;C5136,mdr_rate_cleaned!$F$2:$F$10,"&gt;="&amp;C5136)</f>
        <v>1</v>
      </c>
      <c r="G5136">
        <v>1.9E-2</v>
      </c>
      <c r="H5136">
        <v>15.18</v>
      </c>
      <c r="I5136" t="s">
        <v>15</v>
      </c>
      <c r="J5136" t="s">
        <v>15</v>
      </c>
      <c r="K5136">
        <v>2.73</v>
      </c>
      <c r="L5136">
        <v>0</v>
      </c>
    </row>
    <row r="5137" spans="1:12" x14ac:dyDescent="0.3">
      <c r="A5137" t="s">
        <v>5153</v>
      </c>
      <c r="B5137" t="s">
        <v>21</v>
      </c>
      <c r="C5137">
        <v>4999</v>
      </c>
      <c r="D5137">
        <v>15</v>
      </c>
      <c r="E5137">
        <v>2.7</v>
      </c>
      <c r="F5137">
        <f>COUNTIFS(mdr_rate_cleaned!$A$2:$A$10,B5137,mdr_rate_cleaned!$B$2:$B$10,"&lt;"&amp;C5137,mdr_rate_cleaned!$F$2:$F$10,"&gt;="&amp;C5137)</f>
        <v>1</v>
      </c>
      <c r="G5137">
        <v>3.0000000000000001E-3</v>
      </c>
      <c r="H5137">
        <v>15</v>
      </c>
      <c r="I5137" t="s">
        <v>15</v>
      </c>
      <c r="J5137" t="s">
        <v>15</v>
      </c>
      <c r="K5137">
        <v>2.7</v>
      </c>
      <c r="L5137">
        <v>0</v>
      </c>
    </row>
    <row r="5138" spans="1:12" x14ac:dyDescent="0.3">
      <c r="A5138" t="s">
        <v>5154</v>
      </c>
      <c r="B5138" t="s">
        <v>17</v>
      </c>
      <c r="C5138">
        <v>349</v>
      </c>
      <c r="D5138">
        <v>6.28</v>
      </c>
      <c r="E5138">
        <v>1.1299999999999999</v>
      </c>
      <c r="F5138">
        <f>COUNTIFS(mdr_rate_cleaned!$A$2:$A$10,B5138,mdr_rate_cleaned!$B$2:$B$10,"&lt;"&amp;C5138,mdr_rate_cleaned!$F$2:$F$10,"&gt;="&amp;C5138)</f>
        <v>1</v>
      </c>
      <c r="G5138">
        <v>1.7999999999999999E-2</v>
      </c>
      <c r="H5138">
        <v>6.28</v>
      </c>
      <c r="I5138" t="s">
        <v>15</v>
      </c>
      <c r="J5138" t="s">
        <v>15</v>
      </c>
      <c r="K5138">
        <v>1.1299999999999999</v>
      </c>
      <c r="L5138">
        <v>0</v>
      </c>
    </row>
    <row r="5139" spans="1:12" x14ac:dyDescent="0.3">
      <c r="A5139" t="s">
        <v>5155</v>
      </c>
      <c r="B5139" t="s">
        <v>17</v>
      </c>
      <c r="C5139">
        <v>948</v>
      </c>
      <c r="D5139">
        <v>17.059999999999999</v>
      </c>
      <c r="E5139">
        <v>3.07</v>
      </c>
      <c r="F5139">
        <f>COUNTIFS(mdr_rate_cleaned!$A$2:$A$10,B5139,mdr_rate_cleaned!$B$2:$B$10,"&lt;"&amp;C5139,mdr_rate_cleaned!$F$2:$F$10,"&gt;="&amp;C5139)</f>
        <v>1</v>
      </c>
      <c r="G5139">
        <v>1.7999999999999999E-2</v>
      </c>
      <c r="H5139">
        <v>17.059999999999999</v>
      </c>
      <c r="I5139" t="s">
        <v>15</v>
      </c>
      <c r="J5139" t="s">
        <v>15</v>
      </c>
      <c r="K5139">
        <v>3.07</v>
      </c>
      <c r="L5139">
        <v>0</v>
      </c>
    </row>
    <row r="5140" spans="1:12" x14ac:dyDescent="0.3">
      <c r="A5140" t="s">
        <v>5156</v>
      </c>
      <c r="B5140" t="s">
        <v>21</v>
      </c>
      <c r="C5140">
        <v>7999</v>
      </c>
      <c r="D5140">
        <v>24</v>
      </c>
      <c r="E5140">
        <v>4.32</v>
      </c>
      <c r="F5140">
        <f>COUNTIFS(mdr_rate_cleaned!$A$2:$A$10,B5140,mdr_rate_cleaned!$B$2:$B$10,"&lt;"&amp;C5140,mdr_rate_cleaned!$F$2:$F$10,"&gt;="&amp;C5140)</f>
        <v>1</v>
      </c>
      <c r="G5140">
        <v>3.0000000000000001E-3</v>
      </c>
      <c r="H5140">
        <v>24</v>
      </c>
      <c r="I5140" t="s">
        <v>15</v>
      </c>
      <c r="J5140" t="s">
        <v>15</v>
      </c>
      <c r="K5140">
        <v>4.32</v>
      </c>
      <c r="L5140">
        <v>0</v>
      </c>
    </row>
    <row r="5141" spans="1:12" x14ac:dyDescent="0.3">
      <c r="A5141" t="s">
        <v>5157</v>
      </c>
      <c r="B5141" t="s">
        <v>17</v>
      </c>
      <c r="C5141">
        <v>1299</v>
      </c>
      <c r="D5141">
        <v>23.38</v>
      </c>
      <c r="E5141">
        <v>4.21</v>
      </c>
      <c r="F5141">
        <f>COUNTIFS(mdr_rate_cleaned!$A$2:$A$10,B5141,mdr_rate_cleaned!$B$2:$B$10,"&lt;"&amp;C5141,mdr_rate_cleaned!$F$2:$F$10,"&gt;="&amp;C5141)</f>
        <v>1</v>
      </c>
      <c r="G5141">
        <v>1.7999999999999999E-2</v>
      </c>
      <c r="H5141">
        <v>23.38</v>
      </c>
      <c r="I5141" t="s">
        <v>15</v>
      </c>
      <c r="J5141" t="s">
        <v>15</v>
      </c>
      <c r="K5141">
        <v>4.21</v>
      </c>
      <c r="L5141">
        <v>0</v>
      </c>
    </row>
    <row r="5142" spans="1:12" x14ac:dyDescent="0.3">
      <c r="A5142" t="s">
        <v>5158</v>
      </c>
      <c r="B5142" t="s">
        <v>17</v>
      </c>
      <c r="C5142">
        <v>9498</v>
      </c>
      <c r="D5142">
        <v>151.97</v>
      </c>
      <c r="E5142">
        <v>27.35</v>
      </c>
      <c r="F5142">
        <f>COUNTIFS(mdr_rate_cleaned!$A$2:$A$10,B5142,mdr_rate_cleaned!$B$2:$B$10,"&lt;"&amp;C5142,mdr_rate_cleaned!$F$2:$F$10,"&gt;="&amp;C5142)</f>
        <v>1</v>
      </c>
      <c r="G5142">
        <v>1.6E-2</v>
      </c>
      <c r="H5142">
        <v>151.97</v>
      </c>
      <c r="I5142" t="s">
        <v>15</v>
      </c>
      <c r="J5142" t="s">
        <v>15</v>
      </c>
      <c r="K5142">
        <v>27.35</v>
      </c>
      <c r="L5142">
        <v>0</v>
      </c>
    </row>
    <row r="5143" spans="1:12" x14ac:dyDescent="0.3">
      <c r="A5143" t="s">
        <v>5159</v>
      </c>
      <c r="B5143" t="s">
        <v>21</v>
      </c>
      <c r="C5143">
        <v>2998</v>
      </c>
      <c r="D5143">
        <v>8.99</v>
      </c>
      <c r="E5143">
        <v>1.62</v>
      </c>
      <c r="F5143">
        <f>COUNTIFS(mdr_rate_cleaned!$A$2:$A$10,B5143,mdr_rate_cleaned!$B$2:$B$10,"&lt;"&amp;C5143,mdr_rate_cleaned!$F$2:$F$10,"&gt;="&amp;C5143)</f>
        <v>1</v>
      </c>
      <c r="G5143">
        <v>3.0000000000000001E-3</v>
      </c>
      <c r="H5143">
        <v>8.99</v>
      </c>
      <c r="I5143" t="s">
        <v>15</v>
      </c>
      <c r="J5143" t="s">
        <v>15</v>
      </c>
      <c r="K5143">
        <v>1.62</v>
      </c>
      <c r="L5143">
        <v>0</v>
      </c>
    </row>
    <row r="5144" spans="1:12" x14ac:dyDescent="0.3">
      <c r="A5144" t="s">
        <v>5160</v>
      </c>
      <c r="B5144" t="s">
        <v>21</v>
      </c>
      <c r="C5144">
        <v>698</v>
      </c>
      <c r="D5144">
        <v>0</v>
      </c>
      <c r="E5144">
        <v>0</v>
      </c>
      <c r="F5144">
        <f>COUNTIFS(mdr_rate_cleaned!$A$2:$A$10,B5144,mdr_rate_cleaned!$B$2:$B$10,"&lt;"&amp;C5144,mdr_rate_cleaned!$F$2:$F$10,"&gt;="&amp;C5144)</f>
        <v>1</v>
      </c>
      <c r="G5144">
        <v>0</v>
      </c>
      <c r="H5144">
        <v>0</v>
      </c>
      <c r="I5144" t="s">
        <v>15</v>
      </c>
      <c r="J5144" t="s">
        <v>15</v>
      </c>
      <c r="K5144">
        <v>0</v>
      </c>
      <c r="L5144">
        <v>0</v>
      </c>
    </row>
    <row r="5145" spans="1:12" x14ac:dyDescent="0.3">
      <c r="A5145" t="s">
        <v>5161</v>
      </c>
      <c r="B5145" t="s">
        <v>17</v>
      </c>
      <c r="C5145">
        <v>3297</v>
      </c>
      <c r="D5145">
        <v>52.75</v>
      </c>
      <c r="E5145">
        <v>9.5</v>
      </c>
      <c r="F5145">
        <f>COUNTIFS(mdr_rate_cleaned!$A$2:$A$10,B5145,mdr_rate_cleaned!$B$2:$B$10,"&lt;"&amp;C5145,mdr_rate_cleaned!$F$2:$F$10,"&gt;="&amp;C5145)</f>
        <v>1</v>
      </c>
      <c r="G5145">
        <v>1.6E-2</v>
      </c>
      <c r="H5145">
        <v>52.75</v>
      </c>
      <c r="I5145" t="s">
        <v>15</v>
      </c>
      <c r="J5145" t="s">
        <v>15</v>
      </c>
      <c r="K5145">
        <v>9.5</v>
      </c>
      <c r="L5145">
        <v>0</v>
      </c>
    </row>
    <row r="5146" spans="1:12" x14ac:dyDescent="0.3">
      <c r="A5146" t="s">
        <v>5162</v>
      </c>
      <c r="B5146" t="s">
        <v>21</v>
      </c>
      <c r="C5146">
        <v>1799</v>
      </c>
      <c r="D5146">
        <v>0</v>
      </c>
      <c r="E5146">
        <v>0</v>
      </c>
      <c r="F5146">
        <f>COUNTIFS(mdr_rate_cleaned!$A$2:$A$10,B5146,mdr_rate_cleaned!$B$2:$B$10,"&lt;"&amp;C5146,mdr_rate_cleaned!$F$2:$F$10,"&gt;="&amp;C5146)</f>
        <v>1</v>
      </c>
      <c r="G5146">
        <v>0</v>
      </c>
      <c r="H5146">
        <v>0</v>
      </c>
      <c r="I5146" t="s">
        <v>15</v>
      </c>
      <c r="J5146" t="s">
        <v>15</v>
      </c>
      <c r="K5146">
        <v>0</v>
      </c>
      <c r="L5146">
        <v>0</v>
      </c>
    </row>
    <row r="5147" spans="1:12" x14ac:dyDescent="0.3">
      <c r="A5147" t="s">
        <v>5163</v>
      </c>
      <c r="B5147" t="s">
        <v>21</v>
      </c>
      <c r="C5147">
        <v>349</v>
      </c>
      <c r="D5147">
        <v>0</v>
      </c>
      <c r="E5147">
        <v>0</v>
      </c>
      <c r="F5147">
        <f>COUNTIFS(mdr_rate_cleaned!$A$2:$A$10,B5147,mdr_rate_cleaned!$B$2:$B$10,"&lt;"&amp;C5147,mdr_rate_cleaned!$F$2:$F$10,"&gt;="&amp;C5147)</f>
        <v>1</v>
      </c>
      <c r="G5147">
        <v>0</v>
      </c>
      <c r="H5147">
        <v>0</v>
      </c>
      <c r="I5147" t="s">
        <v>15</v>
      </c>
      <c r="J5147" t="s">
        <v>15</v>
      </c>
      <c r="K5147">
        <v>0</v>
      </c>
      <c r="L5147">
        <v>0</v>
      </c>
    </row>
    <row r="5148" spans="1:12" x14ac:dyDescent="0.3">
      <c r="A5148" t="s">
        <v>5164</v>
      </c>
      <c r="B5148" t="s">
        <v>13</v>
      </c>
      <c r="C5148">
        <v>2298</v>
      </c>
      <c r="D5148">
        <v>39.07</v>
      </c>
      <c r="E5148">
        <v>7.03</v>
      </c>
      <c r="F5148">
        <f>COUNTIFS(mdr_rate_cleaned!$A$2:$A$10,B5148,mdr_rate_cleaned!$B$2:$B$10,"&lt;"&amp;C5148,mdr_rate_cleaned!$F$2:$F$10,"&gt;="&amp;C5148)</f>
        <v>1</v>
      </c>
      <c r="G5148">
        <v>1.7000000000000001E-2</v>
      </c>
      <c r="H5148">
        <v>39.07</v>
      </c>
      <c r="I5148" t="s">
        <v>15</v>
      </c>
      <c r="J5148" t="s">
        <v>15</v>
      </c>
      <c r="K5148">
        <v>7.03</v>
      </c>
      <c r="L5148">
        <v>0</v>
      </c>
    </row>
    <row r="5149" spans="1:12" x14ac:dyDescent="0.3">
      <c r="A5149" t="s">
        <v>5165</v>
      </c>
      <c r="B5149" t="s">
        <v>21</v>
      </c>
      <c r="C5149">
        <v>799</v>
      </c>
      <c r="D5149">
        <v>0</v>
      </c>
      <c r="E5149">
        <v>0</v>
      </c>
      <c r="F5149">
        <f>COUNTIFS(mdr_rate_cleaned!$A$2:$A$10,B5149,mdr_rate_cleaned!$B$2:$B$10,"&lt;"&amp;C5149,mdr_rate_cleaned!$F$2:$F$10,"&gt;="&amp;C5149)</f>
        <v>1</v>
      </c>
      <c r="G5149">
        <v>0</v>
      </c>
      <c r="H5149">
        <v>0</v>
      </c>
      <c r="I5149" t="s">
        <v>15</v>
      </c>
      <c r="J5149" t="s">
        <v>15</v>
      </c>
      <c r="K5149">
        <v>0</v>
      </c>
      <c r="L5149">
        <v>0</v>
      </c>
    </row>
    <row r="5150" spans="1:12" x14ac:dyDescent="0.3">
      <c r="A5150" t="s">
        <v>5166</v>
      </c>
      <c r="B5150" t="s">
        <v>13</v>
      </c>
      <c r="C5150">
        <v>299</v>
      </c>
      <c r="D5150">
        <v>5.68</v>
      </c>
      <c r="E5150">
        <v>1.02</v>
      </c>
      <c r="F5150">
        <f>COUNTIFS(mdr_rate_cleaned!$A$2:$A$10,B5150,mdr_rate_cleaned!$B$2:$B$10,"&lt;"&amp;C5150,mdr_rate_cleaned!$F$2:$F$10,"&gt;="&amp;C5150)</f>
        <v>1</v>
      </c>
      <c r="G5150">
        <v>1.9E-2</v>
      </c>
      <c r="H5150">
        <v>5.68</v>
      </c>
      <c r="I5150" t="s">
        <v>15</v>
      </c>
      <c r="J5150" t="s">
        <v>15</v>
      </c>
      <c r="K5150">
        <v>1.02</v>
      </c>
      <c r="L5150">
        <v>0</v>
      </c>
    </row>
    <row r="5151" spans="1:12" x14ac:dyDescent="0.3">
      <c r="A5151" t="s">
        <v>5167</v>
      </c>
      <c r="B5151" t="s">
        <v>21</v>
      </c>
      <c r="C5151">
        <v>9798</v>
      </c>
      <c r="D5151">
        <v>29.39</v>
      </c>
      <c r="E5151">
        <v>5.29</v>
      </c>
      <c r="F5151">
        <f>COUNTIFS(mdr_rate_cleaned!$A$2:$A$10,B5151,mdr_rate_cleaned!$B$2:$B$10,"&lt;"&amp;C5151,mdr_rate_cleaned!$F$2:$F$10,"&gt;="&amp;C5151)</f>
        <v>1</v>
      </c>
      <c r="G5151">
        <v>3.0000000000000001E-3</v>
      </c>
      <c r="H5151">
        <v>29.39</v>
      </c>
      <c r="I5151" t="s">
        <v>15</v>
      </c>
      <c r="J5151" t="s">
        <v>15</v>
      </c>
      <c r="K5151">
        <v>5.29</v>
      </c>
      <c r="L5151">
        <v>0</v>
      </c>
    </row>
    <row r="5152" spans="1:12" x14ac:dyDescent="0.3">
      <c r="A5152" t="s">
        <v>5168</v>
      </c>
      <c r="B5152" t="s">
        <v>17</v>
      </c>
      <c r="C5152">
        <v>3298</v>
      </c>
      <c r="D5152">
        <v>52.77</v>
      </c>
      <c r="E5152">
        <v>9.5</v>
      </c>
      <c r="F5152">
        <f>COUNTIFS(mdr_rate_cleaned!$A$2:$A$10,B5152,mdr_rate_cleaned!$B$2:$B$10,"&lt;"&amp;C5152,mdr_rate_cleaned!$F$2:$F$10,"&gt;="&amp;C5152)</f>
        <v>1</v>
      </c>
      <c r="G5152">
        <v>1.6E-2</v>
      </c>
      <c r="H5152">
        <v>52.77</v>
      </c>
      <c r="I5152" t="s">
        <v>15</v>
      </c>
      <c r="J5152" t="s">
        <v>15</v>
      </c>
      <c r="K5152">
        <v>9.5</v>
      </c>
      <c r="L5152">
        <v>0</v>
      </c>
    </row>
    <row r="5153" spans="1:12" x14ac:dyDescent="0.3">
      <c r="A5153" t="s">
        <v>5169</v>
      </c>
      <c r="B5153" t="s">
        <v>17</v>
      </c>
      <c r="C5153">
        <v>3298</v>
      </c>
      <c r="D5153">
        <v>52.77</v>
      </c>
      <c r="E5153">
        <v>9.5</v>
      </c>
      <c r="F5153">
        <f>COUNTIFS(mdr_rate_cleaned!$A$2:$A$10,B5153,mdr_rate_cleaned!$B$2:$B$10,"&lt;"&amp;C5153,mdr_rate_cleaned!$F$2:$F$10,"&gt;="&amp;C5153)</f>
        <v>1</v>
      </c>
      <c r="G5153">
        <v>1.6E-2</v>
      </c>
      <c r="H5153">
        <v>52.77</v>
      </c>
      <c r="I5153" t="s">
        <v>15</v>
      </c>
      <c r="J5153" t="s">
        <v>15</v>
      </c>
      <c r="K5153">
        <v>9.5</v>
      </c>
      <c r="L5153">
        <v>0</v>
      </c>
    </row>
    <row r="5154" spans="1:12" x14ac:dyDescent="0.3">
      <c r="A5154" t="s">
        <v>5170</v>
      </c>
      <c r="B5154" t="s">
        <v>39</v>
      </c>
      <c r="C5154">
        <v>4847</v>
      </c>
      <c r="D5154">
        <v>58.16</v>
      </c>
      <c r="E5154">
        <v>10.47</v>
      </c>
      <c r="F5154">
        <f>COUNTIFS(mdr_rate_cleaned!$A$2:$A$10,B5154,mdr_rate_cleaned!$B$2:$B$10,"&lt;"&amp;C5154,mdr_rate_cleaned!$F$2:$F$10,"&gt;="&amp;C5154)</f>
        <v>1</v>
      </c>
      <c r="G5154">
        <v>1.2E-2</v>
      </c>
      <c r="H5154">
        <v>58.16</v>
      </c>
      <c r="I5154" t="s">
        <v>15</v>
      </c>
      <c r="J5154" t="s">
        <v>15</v>
      </c>
      <c r="K5154">
        <v>10.47</v>
      </c>
      <c r="L5154">
        <v>0</v>
      </c>
    </row>
    <row r="5155" spans="1:12" x14ac:dyDescent="0.3">
      <c r="A5155" t="s">
        <v>5171</v>
      </c>
      <c r="B5155" t="s">
        <v>13</v>
      </c>
      <c r="C5155">
        <v>2848</v>
      </c>
      <c r="D5155">
        <v>48.42</v>
      </c>
      <c r="E5155">
        <v>8.7200000000000006</v>
      </c>
      <c r="F5155">
        <f>COUNTIFS(mdr_rate_cleaned!$A$2:$A$10,B5155,mdr_rate_cleaned!$B$2:$B$10,"&lt;"&amp;C5155,mdr_rate_cleaned!$F$2:$F$10,"&gt;="&amp;C5155)</f>
        <v>1</v>
      </c>
      <c r="G5155">
        <v>1.7000000000000001E-2</v>
      </c>
      <c r="H5155">
        <v>48.42</v>
      </c>
      <c r="I5155" t="s">
        <v>15</v>
      </c>
      <c r="J5155" t="s">
        <v>15</v>
      </c>
      <c r="K5155">
        <v>8.7200000000000006</v>
      </c>
      <c r="L5155">
        <v>0</v>
      </c>
    </row>
    <row r="5156" spans="1:12" x14ac:dyDescent="0.3">
      <c r="A5156" t="s">
        <v>5172</v>
      </c>
      <c r="B5156" t="s">
        <v>21</v>
      </c>
      <c r="C5156">
        <v>5498</v>
      </c>
      <c r="D5156">
        <v>16.489999999999998</v>
      </c>
      <c r="E5156">
        <v>2.97</v>
      </c>
      <c r="F5156">
        <f>COUNTIFS(mdr_rate_cleaned!$A$2:$A$10,B5156,mdr_rate_cleaned!$B$2:$B$10,"&lt;"&amp;C5156,mdr_rate_cleaned!$F$2:$F$10,"&gt;="&amp;C5156)</f>
        <v>1</v>
      </c>
      <c r="G5156">
        <v>3.0000000000000001E-3</v>
      </c>
      <c r="H5156">
        <v>16.489999999999998</v>
      </c>
      <c r="I5156" t="s">
        <v>15</v>
      </c>
      <c r="J5156" t="s">
        <v>15</v>
      </c>
      <c r="K5156">
        <v>2.97</v>
      </c>
      <c r="L5156">
        <v>0</v>
      </c>
    </row>
    <row r="5157" spans="1:12" x14ac:dyDescent="0.3">
      <c r="A5157" t="s">
        <v>5173</v>
      </c>
      <c r="B5157" t="s">
        <v>13</v>
      </c>
      <c r="C5157">
        <v>3848</v>
      </c>
      <c r="D5157">
        <v>92.35</v>
      </c>
      <c r="E5157">
        <v>16.62</v>
      </c>
      <c r="F5157">
        <f>COUNTIFS(mdr_rate_cleaned!$A$2:$A$10,B5157,mdr_rate_cleaned!$B$2:$B$10,"&lt;"&amp;C5157,mdr_rate_cleaned!$F$2:$F$10,"&gt;="&amp;C5157)</f>
        <v>1</v>
      </c>
      <c r="G5157">
        <v>1.7000000000000001E-2</v>
      </c>
      <c r="H5157">
        <v>65.42</v>
      </c>
      <c r="I5157" t="s">
        <v>14</v>
      </c>
      <c r="J5157" t="s">
        <v>15</v>
      </c>
      <c r="K5157">
        <v>11.78</v>
      </c>
      <c r="L5157">
        <v>31.77</v>
      </c>
    </row>
    <row r="5158" spans="1:12" x14ac:dyDescent="0.3">
      <c r="A5158" t="s">
        <v>5174</v>
      </c>
      <c r="B5158" t="s">
        <v>17</v>
      </c>
      <c r="C5158">
        <v>4999</v>
      </c>
      <c r="D5158">
        <v>79.98</v>
      </c>
      <c r="E5158">
        <v>14.4</v>
      </c>
      <c r="F5158">
        <f>COUNTIFS(mdr_rate_cleaned!$A$2:$A$10,B5158,mdr_rate_cleaned!$B$2:$B$10,"&lt;"&amp;C5158,mdr_rate_cleaned!$F$2:$F$10,"&gt;="&amp;C5158)</f>
        <v>1</v>
      </c>
      <c r="G5158">
        <v>1.6E-2</v>
      </c>
      <c r="H5158">
        <v>79.98</v>
      </c>
      <c r="I5158" t="s">
        <v>15</v>
      </c>
      <c r="J5158" t="s">
        <v>15</v>
      </c>
      <c r="K5158">
        <v>14.4</v>
      </c>
      <c r="L5158">
        <v>0</v>
      </c>
    </row>
    <row r="5159" spans="1:12" x14ac:dyDescent="0.3">
      <c r="A5159" t="s">
        <v>5175</v>
      </c>
      <c r="B5159" t="s">
        <v>21</v>
      </c>
      <c r="C5159">
        <v>5598</v>
      </c>
      <c r="D5159">
        <v>16.79</v>
      </c>
      <c r="E5159">
        <v>3.02</v>
      </c>
      <c r="F5159">
        <f>COUNTIFS(mdr_rate_cleaned!$A$2:$A$10,B5159,mdr_rate_cleaned!$B$2:$B$10,"&lt;"&amp;C5159,mdr_rate_cleaned!$F$2:$F$10,"&gt;="&amp;C5159)</f>
        <v>1</v>
      </c>
      <c r="G5159">
        <v>3.0000000000000001E-3</v>
      </c>
      <c r="H5159">
        <v>16.79</v>
      </c>
      <c r="I5159" t="s">
        <v>15</v>
      </c>
      <c r="J5159" t="s">
        <v>15</v>
      </c>
      <c r="K5159">
        <v>3.02</v>
      </c>
      <c r="L5159">
        <v>0</v>
      </c>
    </row>
    <row r="5160" spans="1:12" x14ac:dyDescent="0.3">
      <c r="A5160" t="s">
        <v>5176</v>
      </c>
      <c r="B5160" t="s">
        <v>17</v>
      </c>
      <c r="C5160">
        <v>499</v>
      </c>
      <c r="D5160">
        <v>8.98</v>
      </c>
      <c r="E5160">
        <v>1.62</v>
      </c>
      <c r="F5160">
        <f>COUNTIFS(mdr_rate_cleaned!$A$2:$A$10,B5160,mdr_rate_cleaned!$B$2:$B$10,"&lt;"&amp;C5160,mdr_rate_cleaned!$F$2:$F$10,"&gt;="&amp;C5160)</f>
        <v>1</v>
      </c>
      <c r="G5160">
        <v>1.7999999999999999E-2</v>
      </c>
      <c r="H5160">
        <v>8.98</v>
      </c>
      <c r="I5160" t="s">
        <v>15</v>
      </c>
      <c r="J5160" t="s">
        <v>15</v>
      </c>
      <c r="K5160">
        <v>1.62</v>
      </c>
      <c r="L5160">
        <v>0</v>
      </c>
    </row>
    <row r="5161" spans="1:12" x14ac:dyDescent="0.3">
      <c r="A5161" t="s">
        <v>5177</v>
      </c>
      <c r="B5161" t="s">
        <v>13</v>
      </c>
      <c r="C5161">
        <v>9297</v>
      </c>
      <c r="D5161">
        <v>158.05000000000001</v>
      </c>
      <c r="E5161">
        <v>28.45</v>
      </c>
      <c r="F5161">
        <f>COUNTIFS(mdr_rate_cleaned!$A$2:$A$10,B5161,mdr_rate_cleaned!$B$2:$B$10,"&lt;"&amp;C5161,mdr_rate_cleaned!$F$2:$F$10,"&gt;="&amp;C5161)</f>
        <v>1</v>
      </c>
      <c r="G5161">
        <v>1.7000000000000001E-2</v>
      </c>
      <c r="H5161">
        <v>158.05000000000001</v>
      </c>
      <c r="I5161" t="s">
        <v>15</v>
      </c>
      <c r="J5161" t="s">
        <v>15</v>
      </c>
      <c r="K5161">
        <v>28.45</v>
      </c>
      <c r="L5161">
        <v>0</v>
      </c>
    </row>
    <row r="5162" spans="1:12" x14ac:dyDescent="0.3">
      <c r="A5162" t="s">
        <v>5178</v>
      </c>
      <c r="B5162" t="s">
        <v>17</v>
      </c>
      <c r="C5162">
        <v>799</v>
      </c>
      <c r="D5162">
        <v>14.38</v>
      </c>
      <c r="E5162">
        <v>2.59</v>
      </c>
      <c r="F5162">
        <f>COUNTIFS(mdr_rate_cleaned!$A$2:$A$10,B5162,mdr_rate_cleaned!$B$2:$B$10,"&lt;"&amp;C5162,mdr_rate_cleaned!$F$2:$F$10,"&gt;="&amp;C5162)</f>
        <v>1</v>
      </c>
      <c r="G5162">
        <v>1.7999999999999999E-2</v>
      </c>
      <c r="H5162">
        <v>14.38</v>
      </c>
      <c r="I5162" t="s">
        <v>15</v>
      </c>
      <c r="J5162" t="s">
        <v>15</v>
      </c>
      <c r="K5162">
        <v>2.59</v>
      </c>
      <c r="L5162">
        <v>0</v>
      </c>
    </row>
    <row r="5163" spans="1:12" x14ac:dyDescent="0.3">
      <c r="A5163" t="s">
        <v>5179</v>
      </c>
      <c r="B5163" t="s">
        <v>21</v>
      </c>
      <c r="C5163">
        <v>5998</v>
      </c>
      <c r="D5163">
        <v>17.989999999999998</v>
      </c>
      <c r="E5163">
        <v>3.24</v>
      </c>
      <c r="F5163">
        <f>COUNTIFS(mdr_rate_cleaned!$A$2:$A$10,B5163,mdr_rate_cleaned!$B$2:$B$10,"&lt;"&amp;C5163,mdr_rate_cleaned!$F$2:$F$10,"&gt;="&amp;C5163)</f>
        <v>1</v>
      </c>
      <c r="G5163">
        <v>3.0000000000000001E-3</v>
      </c>
      <c r="H5163">
        <v>17.989999999999998</v>
      </c>
      <c r="I5163" t="s">
        <v>15</v>
      </c>
      <c r="J5163" t="s">
        <v>15</v>
      </c>
      <c r="K5163">
        <v>3.24</v>
      </c>
      <c r="L5163">
        <v>0</v>
      </c>
    </row>
    <row r="5164" spans="1:12" x14ac:dyDescent="0.3">
      <c r="A5164" t="s">
        <v>5180</v>
      </c>
      <c r="B5164" t="s">
        <v>39</v>
      </c>
      <c r="C5164">
        <v>1499</v>
      </c>
      <c r="D5164">
        <v>22.49</v>
      </c>
      <c r="E5164">
        <v>4.05</v>
      </c>
      <c r="F5164">
        <f>COUNTIFS(mdr_rate_cleaned!$A$2:$A$10,B5164,mdr_rate_cleaned!$B$2:$B$10,"&lt;"&amp;C5164,mdr_rate_cleaned!$F$2:$F$10,"&gt;="&amp;C5164)</f>
        <v>1</v>
      </c>
      <c r="G5164">
        <v>1.4999999999999999E-2</v>
      </c>
      <c r="H5164">
        <v>22.49</v>
      </c>
      <c r="I5164" t="s">
        <v>15</v>
      </c>
      <c r="J5164" t="s">
        <v>15</v>
      </c>
      <c r="K5164">
        <v>4.05</v>
      </c>
      <c r="L5164">
        <v>0</v>
      </c>
    </row>
    <row r="5165" spans="1:12" x14ac:dyDescent="0.3">
      <c r="A5165" t="s">
        <v>5181</v>
      </c>
      <c r="B5165" t="s">
        <v>17</v>
      </c>
      <c r="C5165">
        <v>2298</v>
      </c>
      <c r="D5165">
        <v>36.770000000000003</v>
      </c>
      <c r="E5165">
        <v>6.62</v>
      </c>
      <c r="F5165">
        <f>COUNTIFS(mdr_rate_cleaned!$A$2:$A$10,B5165,mdr_rate_cleaned!$B$2:$B$10,"&lt;"&amp;C5165,mdr_rate_cleaned!$F$2:$F$10,"&gt;="&amp;C5165)</f>
        <v>1</v>
      </c>
      <c r="G5165">
        <v>1.6E-2</v>
      </c>
      <c r="H5165">
        <v>36.770000000000003</v>
      </c>
      <c r="I5165" t="s">
        <v>15</v>
      </c>
      <c r="J5165" t="s">
        <v>15</v>
      </c>
      <c r="K5165">
        <v>6.62</v>
      </c>
      <c r="L5165">
        <v>0</v>
      </c>
    </row>
    <row r="5166" spans="1:12" x14ac:dyDescent="0.3">
      <c r="A5166" t="s">
        <v>5182</v>
      </c>
      <c r="B5166" t="s">
        <v>21</v>
      </c>
      <c r="C5166">
        <v>299</v>
      </c>
      <c r="D5166">
        <v>0</v>
      </c>
      <c r="E5166">
        <v>0</v>
      </c>
      <c r="F5166">
        <f>COUNTIFS(mdr_rate_cleaned!$A$2:$A$10,B5166,mdr_rate_cleaned!$B$2:$B$10,"&lt;"&amp;C5166,mdr_rate_cleaned!$F$2:$F$10,"&gt;="&amp;C5166)</f>
        <v>1</v>
      </c>
      <c r="G5166">
        <v>0</v>
      </c>
      <c r="H5166">
        <v>0</v>
      </c>
      <c r="I5166" t="s">
        <v>15</v>
      </c>
      <c r="J5166" t="s">
        <v>15</v>
      </c>
      <c r="K5166">
        <v>0</v>
      </c>
      <c r="L5166">
        <v>0</v>
      </c>
    </row>
    <row r="5167" spans="1:12" x14ac:dyDescent="0.3">
      <c r="A5167" t="s">
        <v>5183</v>
      </c>
      <c r="B5167" t="s">
        <v>17</v>
      </c>
      <c r="C5167">
        <v>999</v>
      </c>
      <c r="D5167">
        <v>17.98</v>
      </c>
      <c r="E5167">
        <v>3.24</v>
      </c>
      <c r="F5167">
        <f>COUNTIFS(mdr_rate_cleaned!$A$2:$A$10,B5167,mdr_rate_cleaned!$B$2:$B$10,"&lt;"&amp;C5167,mdr_rate_cleaned!$F$2:$F$10,"&gt;="&amp;C5167)</f>
        <v>1</v>
      </c>
      <c r="G5167">
        <v>1.7999999999999999E-2</v>
      </c>
      <c r="H5167">
        <v>17.98</v>
      </c>
      <c r="I5167" t="s">
        <v>15</v>
      </c>
      <c r="J5167" t="s">
        <v>15</v>
      </c>
      <c r="K5167">
        <v>3.24</v>
      </c>
      <c r="L5167">
        <v>0</v>
      </c>
    </row>
    <row r="5168" spans="1:12" x14ac:dyDescent="0.3">
      <c r="A5168" t="s">
        <v>5184</v>
      </c>
      <c r="B5168" t="s">
        <v>17</v>
      </c>
      <c r="C5168">
        <v>5998</v>
      </c>
      <c r="D5168">
        <v>95.97</v>
      </c>
      <c r="E5168">
        <v>17.27</v>
      </c>
      <c r="F5168">
        <f>COUNTIFS(mdr_rate_cleaned!$A$2:$A$10,B5168,mdr_rate_cleaned!$B$2:$B$10,"&lt;"&amp;C5168,mdr_rate_cleaned!$F$2:$F$10,"&gt;="&amp;C5168)</f>
        <v>1</v>
      </c>
      <c r="G5168">
        <v>1.6E-2</v>
      </c>
      <c r="H5168">
        <v>95.97</v>
      </c>
      <c r="I5168" t="s">
        <v>15</v>
      </c>
      <c r="J5168" t="s">
        <v>15</v>
      </c>
      <c r="K5168">
        <v>17.27</v>
      </c>
      <c r="L5168">
        <v>0</v>
      </c>
    </row>
    <row r="5169" spans="1:12" x14ac:dyDescent="0.3">
      <c r="A5169" t="s">
        <v>5185</v>
      </c>
      <c r="B5169" t="s">
        <v>21</v>
      </c>
      <c r="C5169">
        <v>1998</v>
      </c>
      <c r="D5169">
        <v>0</v>
      </c>
      <c r="E5169">
        <v>0</v>
      </c>
      <c r="F5169">
        <f>COUNTIFS(mdr_rate_cleaned!$A$2:$A$10,B5169,mdr_rate_cleaned!$B$2:$B$10,"&lt;"&amp;C5169,mdr_rate_cleaned!$F$2:$F$10,"&gt;="&amp;C5169)</f>
        <v>1</v>
      </c>
      <c r="G5169">
        <v>0</v>
      </c>
      <c r="H5169">
        <v>0</v>
      </c>
      <c r="I5169" t="s">
        <v>15</v>
      </c>
      <c r="J5169" t="s">
        <v>15</v>
      </c>
      <c r="K5169">
        <v>0</v>
      </c>
      <c r="L5169">
        <v>0</v>
      </c>
    </row>
    <row r="5170" spans="1:12" x14ac:dyDescent="0.3">
      <c r="A5170" t="s">
        <v>5186</v>
      </c>
      <c r="B5170" t="s">
        <v>21</v>
      </c>
      <c r="C5170">
        <v>499</v>
      </c>
      <c r="D5170">
        <v>0</v>
      </c>
      <c r="E5170">
        <v>0</v>
      </c>
      <c r="F5170">
        <f>COUNTIFS(mdr_rate_cleaned!$A$2:$A$10,B5170,mdr_rate_cleaned!$B$2:$B$10,"&lt;"&amp;C5170,mdr_rate_cleaned!$F$2:$F$10,"&gt;="&amp;C5170)</f>
        <v>1</v>
      </c>
      <c r="G5170">
        <v>0</v>
      </c>
      <c r="H5170">
        <v>0</v>
      </c>
      <c r="I5170" t="s">
        <v>15</v>
      </c>
      <c r="J5170" t="s">
        <v>15</v>
      </c>
      <c r="K5170">
        <v>0</v>
      </c>
      <c r="L5170">
        <v>0</v>
      </c>
    </row>
    <row r="5171" spans="1:12" x14ac:dyDescent="0.3">
      <c r="A5171" t="s">
        <v>5187</v>
      </c>
      <c r="B5171" t="s">
        <v>17</v>
      </c>
      <c r="C5171">
        <v>4897</v>
      </c>
      <c r="D5171">
        <v>78.349999999999994</v>
      </c>
      <c r="E5171">
        <v>14.1</v>
      </c>
      <c r="F5171">
        <f>COUNTIFS(mdr_rate_cleaned!$A$2:$A$10,B5171,mdr_rate_cleaned!$B$2:$B$10,"&lt;"&amp;C5171,mdr_rate_cleaned!$F$2:$F$10,"&gt;="&amp;C5171)</f>
        <v>1</v>
      </c>
      <c r="G5171">
        <v>1.6E-2</v>
      </c>
      <c r="H5171">
        <v>78.349999999999994</v>
      </c>
      <c r="I5171" t="s">
        <v>15</v>
      </c>
      <c r="J5171" t="s">
        <v>15</v>
      </c>
      <c r="K5171">
        <v>14.1</v>
      </c>
      <c r="L5171">
        <v>0</v>
      </c>
    </row>
    <row r="5172" spans="1:12" x14ac:dyDescent="0.3">
      <c r="A5172" t="s">
        <v>5188</v>
      </c>
      <c r="B5172" t="s">
        <v>21</v>
      </c>
      <c r="C5172">
        <v>948</v>
      </c>
      <c r="D5172">
        <v>0</v>
      </c>
      <c r="E5172">
        <v>0</v>
      </c>
      <c r="F5172">
        <f>COUNTIFS(mdr_rate_cleaned!$A$2:$A$10,B5172,mdr_rate_cleaned!$B$2:$B$10,"&lt;"&amp;C5172,mdr_rate_cleaned!$F$2:$F$10,"&gt;="&amp;C5172)</f>
        <v>1</v>
      </c>
      <c r="G5172">
        <v>0</v>
      </c>
      <c r="H5172">
        <v>0</v>
      </c>
      <c r="I5172" t="s">
        <v>15</v>
      </c>
      <c r="J5172" t="s">
        <v>15</v>
      </c>
      <c r="K5172">
        <v>0</v>
      </c>
      <c r="L5172">
        <v>0</v>
      </c>
    </row>
    <row r="5173" spans="1:12" x14ac:dyDescent="0.3">
      <c r="A5173" t="s">
        <v>5189</v>
      </c>
      <c r="B5173" t="s">
        <v>13</v>
      </c>
      <c r="C5173">
        <v>4298</v>
      </c>
      <c r="D5173">
        <v>73.069999999999993</v>
      </c>
      <c r="E5173">
        <v>13.15</v>
      </c>
      <c r="F5173">
        <f>COUNTIFS(mdr_rate_cleaned!$A$2:$A$10,B5173,mdr_rate_cleaned!$B$2:$B$10,"&lt;"&amp;C5173,mdr_rate_cleaned!$F$2:$F$10,"&gt;="&amp;C5173)</f>
        <v>1</v>
      </c>
      <c r="G5173">
        <v>1.7000000000000001E-2</v>
      </c>
      <c r="H5173">
        <v>73.069999999999993</v>
      </c>
      <c r="I5173" t="s">
        <v>15</v>
      </c>
      <c r="J5173" t="s">
        <v>15</v>
      </c>
      <c r="K5173">
        <v>13.15</v>
      </c>
      <c r="L5173">
        <v>0</v>
      </c>
    </row>
    <row r="5174" spans="1:12" x14ac:dyDescent="0.3">
      <c r="A5174" t="s">
        <v>5190</v>
      </c>
      <c r="B5174" t="s">
        <v>21</v>
      </c>
      <c r="C5174">
        <v>1499</v>
      </c>
      <c r="D5174">
        <v>0</v>
      </c>
      <c r="E5174">
        <v>0</v>
      </c>
      <c r="F5174">
        <f>COUNTIFS(mdr_rate_cleaned!$A$2:$A$10,B5174,mdr_rate_cleaned!$B$2:$B$10,"&lt;"&amp;C5174,mdr_rate_cleaned!$F$2:$F$10,"&gt;="&amp;C5174)</f>
        <v>1</v>
      </c>
      <c r="G5174">
        <v>0</v>
      </c>
      <c r="H5174">
        <v>0</v>
      </c>
      <c r="I5174" t="s">
        <v>15</v>
      </c>
      <c r="J5174" t="s">
        <v>15</v>
      </c>
      <c r="K5174">
        <v>0</v>
      </c>
      <c r="L5174">
        <v>0</v>
      </c>
    </row>
    <row r="5175" spans="1:12" x14ac:dyDescent="0.3">
      <c r="A5175" t="s">
        <v>5191</v>
      </c>
      <c r="B5175" t="s">
        <v>21</v>
      </c>
      <c r="C5175">
        <v>599</v>
      </c>
      <c r="D5175">
        <v>0</v>
      </c>
      <c r="E5175">
        <v>0</v>
      </c>
      <c r="F5175">
        <f>COUNTIFS(mdr_rate_cleaned!$A$2:$A$10,B5175,mdr_rate_cleaned!$B$2:$B$10,"&lt;"&amp;C5175,mdr_rate_cleaned!$F$2:$F$10,"&gt;="&amp;C5175)</f>
        <v>1</v>
      </c>
      <c r="G5175">
        <v>0</v>
      </c>
      <c r="H5175">
        <v>0</v>
      </c>
      <c r="I5175" t="s">
        <v>15</v>
      </c>
      <c r="J5175" t="s">
        <v>15</v>
      </c>
      <c r="K5175">
        <v>0</v>
      </c>
      <c r="L5175">
        <v>0</v>
      </c>
    </row>
    <row r="5176" spans="1:12" x14ac:dyDescent="0.3">
      <c r="A5176" t="s">
        <v>5192</v>
      </c>
      <c r="B5176" t="s">
        <v>17</v>
      </c>
      <c r="C5176">
        <v>599</v>
      </c>
      <c r="D5176">
        <v>10.78</v>
      </c>
      <c r="E5176">
        <v>1.94</v>
      </c>
      <c r="F5176">
        <f>COUNTIFS(mdr_rate_cleaned!$A$2:$A$10,B5176,mdr_rate_cleaned!$B$2:$B$10,"&lt;"&amp;C5176,mdr_rate_cleaned!$F$2:$F$10,"&gt;="&amp;C5176)</f>
        <v>1</v>
      </c>
      <c r="G5176">
        <v>1.7999999999999999E-2</v>
      </c>
      <c r="H5176">
        <v>10.78</v>
      </c>
      <c r="I5176" t="s">
        <v>15</v>
      </c>
      <c r="J5176" t="s">
        <v>15</v>
      </c>
      <c r="K5176">
        <v>1.94</v>
      </c>
      <c r="L5176">
        <v>0</v>
      </c>
    </row>
    <row r="5177" spans="1:12" x14ac:dyDescent="0.3">
      <c r="A5177" t="s">
        <v>5193</v>
      </c>
      <c r="B5177" t="s">
        <v>39</v>
      </c>
      <c r="C5177">
        <v>999</v>
      </c>
      <c r="D5177">
        <v>14.99</v>
      </c>
      <c r="E5177">
        <v>2.7</v>
      </c>
      <c r="F5177">
        <f>COUNTIFS(mdr_rate_cleaned!$A$2:$A$10,B5177,mdr_rate_cleaned!$B$2:$B$10,"&lt;"&amp;C5177,mdr_rate_cleaned!$F$2:$F$10,"&gt;="&amp;C5177)</f>
        <v>1</v>
      </c>
      <c r="G5177">
        <v>1.4999999999999999E-2</v>
      </c>
      <c r="H5177">
        <v>14.99</v>
      </c>
      <c r="I5177" t="s">
        <v>15</v>
      </c>
      <c r="J5177" t="s">
        <v>15</v>
      </c>
      <c r="K5177">
        <v>2.7</v>
      </c>
      <c r="L5177">
        <v>0</v>
      </c>
    </row>
    <row r="5178" spans="1:12" x14ac:dyDescent="0.3">
      <c r="A5178" t="s">
        <v>5194</v>
      </c>
      <c r="B5178" t="s">
        <v>21</v>
      </c>
      <c r="C5178">
        <v>299</v>
      </c>
      <c r="D5178">
        <v>0</v>
      </c>
      <c r="E5178">
        <v>0</v>
      </c>
      <c r="F5178">
        <f>COUNTIFS(mdr_rate_cleaned!$A$2:$A$10,B5178,mdr_rate_cleaned!$B$2:$B$10,"&lt;"&amp;C5178,mdr_rate_cleaned!$F$2:$F$10,"&gt;="&amp;C5178)</f>
        <v>1</v>
      </c>
      <c r="G5178">
        <v>0</v>
      </c>
      <c r="H5178">
        <v>0</v>
      </c>
      <c r="I5178" t="s">
        <v>15</v>
      </c>
      <c r="J5178" t="s">
        <v>15</v>
      </c>
      <c r="K5178">
        <v>0</v>
      </c>
      <c r="L5178">
        <v>0</v>
      </c>
    </row>
    <row r="5179" spans="1:12" x14ac:dyDescent="0.3">
      <c r="A5179" t="s">
        <v>5195</v>
      </c>
      <c r="B5179" t="s">
        <v>21</v>
      </c>
      <c r="C5179">
        <v>799</v>
      </c>
      <c r="D5179">
        <v>0</v>
      </c>
      <c r="E5179">
        <v>0</v>
      </c>
      <c r="F5179">
        <f>COUNTIFS(mdr_rate_cleaned!$A$2:$A$10,B5179,mdr_rate_cleaned!$B$2:$B$10,"&lt;"&amp;C5179,mdr_rate_cleaned!$F$2:$F$10,"&gt;="&amp;C5179)</f>
        <v>1</v>
      </c>
      <c r="G5179">
        <v>0</v>
      </c>
      <c r="H5179">
        <v>0</v>
      </c>
      <c r="I5179" t="s">
        <v>15</v>
      </c>
      <c r="J5179" t="s">
        <v>15</v>
      </c>
      <c r="K5179">
        <v>0</v>
      </c>
      <c r="L5179">
        <v>0</v>
      </c>
    </row>
    <row r="5180" spans="1:12" x14ac:dyDescent="0.3">
      <c r="A5180" t="s">
        <v>5196</v>
      </c>
      <c r="B5180" t="s">
        <v>21</v>
      </c>
      <c r="C5180">
        <v>7797</v>
      </c>
      <c r="D5180">
        <v>23.39</v>
      </c>
      <c r="E5180">
        <v>4.21</v>
      </c>
      <c r="F5180">
        <f>COUNTIFS(mdr_rate_cleaned!$A$2:$A$10,B5180,mdr_rate_cleaned!$B$2:$B$10,"&lt;"&amp;C5180,mdr_rate_cleaned!$F$2:$F$10,"&gt;="&amp;C5180)</f>
        <v>1</v>
      </c>
      <c r="G5180">
        <v>3.0000000000000001E-3</v>
      </c>
      <c r="H5180">
        <v>23.39</v>
      </c>
      <c r="I5180" t="s">
        <v>15</v>
      </c>
      <c r="J5180" t="s">
        <v>15</v>
      </c>
      <c r="K5180">
        <v>4.21</v>
      </c>
      <c r="L5180">
        <v>0</v>
      </c>
    </row>
    <row r="5181" spans="1:12" x14ac:dyDescent="0.3">
      <c r="A5181" t="s">
        <v>5197</v>
      </c>
      <c r="B5181" t="s">
        <v>21</v>
      </c>
      <c r="C5181">
        <v>6498</v>
      </c>
      <c r="D5181">
        <v>19.489999999999998</v>
      </c>
      <c r="E5181">
        <v>3.51</v>
      </c>
      <c r="F5181">
        <f>COUNTIFS(mdr_rate_cleaned!$A$2:$A$10,B5181,mdr_rate_cleaned!$B$2:$B$10,"&lt;"&amp;C5181,mdr_rate_cleaned!$F$2:$F$10,"&gt;="&amp;C5181)</f>
        <v>1</v>
      </c>
      <c r="G5181">
        <v>3.0000000000000001E-3</v>
      </c>
      <c r="H5181">
        <v>19.489999999999998</v>
      </c>
      <c r="I5181" t="s">
        <v>15</v>
      </c>
      <c r="J5181" t="s">
        <v>15</v>
      </c>
      <c r="K5181">
        <v>3.51</v>
      </c>
      <c r="L5181">
        <v>0</v>
      </c>
    </row>
    <row r="5182" spans="1:12" x14ac:dyDescent="0.3">
      <c r="A5182" t="s">
        <v>5198</v>
      </c>
      <c r="B5182" t="s">
        <v>21</v>
      </c>
      <c r="C5182">
        <v>3798</v>
      </c>
      <c r="D5182">
        <v>11.39</v>
      </c>
      <c r="E5182">
        <v>2.0499999999999998</v>
      </c>
      <c r="F5182">
        <f>COUNTIFS(mdr_rate_cleaned!$A$2:$A$10,B5182,mdr_rate_cleaned!$B$2:$B$10,"&lt;"&amp;C5182,mdr_rate_cleaned!$F$2:$F$10,"&gt;="&amp;C5182)</f>
        <v>1</v>
      </c>
      <c r="G5182">
        <v>3.0000000000000001E-3</v>
      </c>
      <c r="H5182">
        <v>11.39</v>
      </c>
      <c r="I5182" t="s">
        <v>15</v>
      </c>
      <c r="J5182" t="s">
        <v>15</v>
      </c>
      <c r="K5182">
        <v>2.0499999999999998</v>
      </c>
      <c r="L5182">
        <v>0</v>
      </c>
    </row>
    <row r="5183" spans="1:12" x14ac:dyDescent="0.3">
      <c r="A5183" t="s">
        <v>5199</v>
      </c>
      <c r="B5183" t="s">
        <v>17</v>
      </c>
      <c r="C5183">
        <v>9498</v>
      </c>
      <c r="D5183">
        <v>151.97</v>
      </c>
      <c r="E5183">
        <v>27.35</v>
      </c>
      <c r="F5183">
        <f>COUNTIFS(mdr_rate_cleaned!$A$2:$A$10,B5183,mdr_rate_cleaned!$B$2:$B$10,"&lt;"&amp;C5183,mdr_rate_cleaned!$F$2:$F$10,"&gt;="&amp;C5183)</f>
        <v>1</v>
      </c>
      <c r="G5183">
        <v>1.6E-2</v>
      </c>
      <c r="H5183">
        <v>151.97</v>
      </c>
      <c r="I5183" t="s">
        <v>15</v>
      </c>
      <c r="J5183" t="s">
        <v>15</v>
      </c>
      <c r="K5183">
        <v>27.35</v>
      </c>
      <c r="L5183">
        <v>0</v>
      </c>
    </row>
    <row r="5184" spans="1:12" x14ac:dyDescent="0.3">
      <c r="A5184" t="s">
        <v>5200</v>
      </c>
      <c r="B5184" t="s">
        <v>13</v>
      </c>
      <c r="C5184">
        <v>8797</v>
      </c>
      <c r="D5184">
        <v>149.55000000000001</v>
      </c>
      <c r="E5184">
        <v>26.92</v>
      </c>
      <c r="F5184">
        <f>COUNTIFS(mdr_rate_cleaned!$A$2:$A$10,B5184,mdr_rate_cleaned!$B$2:$B$10,"&lt;"&amp;C5184,mdr_rate_cleaned!$F$2:$F$10,"&gt;="&amp;C5184)</f>
        <v>1</v>
      </c>
      <c r="G5184">
        <v>1.7000000000000001E-2</v>
      </c>
      <c r="H5184">
        <v>149.55000000000001</v>
      </c>
      <c r="I5184" t="s">
        <v>15</v>
      </c>
      <c r="J5184" t="s">
        <v>15</v>
      </c>
      <c r="K5184">
        <v>26.92</v>
      </c>
      <c r="L5184">
        <v>0</v>
      </c>
    </row>
    <row r="5185" spans="1:12" x14ac:dyDescent="0.3">
      <c r="A5185" t="s">
        <v>5201</v>
      </c>
      <c r="B5185" t="s">
        <v>21</v>
      </c>
      <c r="C5185">
        <v>1798</v>
      </c>
      <c r="D5185">
        <v>0</v>
      </c>
      <c r="E5185">
        <v>0</v>
      </c>
      <c r="F5185">
        <f>COUNTIFS(mdr_rate_cleaned!$A$2:$A$10,B5185,mdr_rate_cleaned!$B$2:$B$10,"&lt;"&amp;C5185,mdr_rate_cleaned!$F$2:$F$10,"&gt;="&amp;C5185)</f>
        <v>1</v>
      </c>
      <c r="G5185">
        <v>0</v>
      </c>
      <c r="H5185">
        <v>0</v>
      </c>
      <c r="I5185" t="s">
        <v>15</v>
      </c>
      <c r="J5185" t="s">
        <v>15</v>
      </c>
      <c r="K5185">
        <v>0</v>
      </c>
      <c r="L5185">
        <v>0</v>
      </c>
    </row>
    <row r="5186" spans="1:12" x14ac:dyDescent="0.3">
      <c r="A5186" t="s">
        <v>5202</v>
      </c>
      <c r="B5186" t="s">
        <v>21</v>
      </c>
      <c r="C5186">
        <v>499</v>
      </c>
      <c r="D5186">
        <v>0</v>
      </c>
      <c r="E5186">
        <v>0</v>
      </c>
      <c r="F5186">
        <f>COUNTIFS(mdr_rate_cleaned!$A$2:$A$10,B5186,mdr_rate_cleaned!$B$2:$B$10,"&lt;"&amp;C5186,mdr_rate_cleaned!$F$2:$F$10,"&gt;="&amp;C5186)</f>
        <v>1</v>
      </c>
      <c r="G5186">
        <v>0</v>
      </c>
      <c r="H5186">
        <v>0</v>
      </c>
      <c r="I5186" t="s">
        <v>15</v>
      </c>
      <c r="J5186" t="s">
        <v>15</v>
      </c>
      <c r="K5186">
        <v>0</v>
      </c>
      <c r="L5186">
        <v>0</v>
      </c>
    </row>
    <row r="5187" spans="1:12" x14ac:dyDescent="0.3">
      <c r="A5187" t="s">
        <v>5203</v>
      </c>
      <c r="B5187" t="s">
        <v>21</v>
      </c>
      <c r="C5187">
        <v>349</v>
      </c>
      <c r="D5187">
        <v>0</v>
      </c>
      <c r="E5187">
        <v>0</v>
      </c>
      <c r="F5187">
        <f>COUNTIFS(mdr_rate_cleaned!$A$2:$A$10,B5187,mdr_rate_cleaned!$B$2:$B$10,"&lt;"&amp;C5187,mdr_rate_cleaned!$F$2:$F$10,"&gt;="&amp;C5187)</f>
        <v>1</v>
      </c>
      <c r="G5187">
        <v>0</v>
      </c>
      <c r="H5187">
        <v>0</v>
      </c>
      <c r="I5187" t="s">
        <v>15</v>
      </c>
      <c r="J5187" t="s">
        <v>15</v>
      </c>
      <c r="K5187">
        <v>0</v>
      </c>
      <c r="L5187">
        <v>0</v>
      </c>
    </row>
    <row r="5188" spans="1:12" x14ac:dyDescent="0.3">
      <c r="A5188" t="s">
        <v>5204</v>
      </c>
      <c r="B5188" t="s">
        <v>21</v>
      </c>
      <c r="C5188">
        <v>1298</v>
      </c>
      <c r="D5188">
        <v>0</v>
      </c>
      <c r="E5188">
        <v>0</v>
      </c>
      <c r="F5188">
        <f>COUNTIFS(mdr_rate_cleaned!$A$2:$A$10,B5188,mdr_rate_cleaned!$B$2:$B$10,"&lt;"&amp;C5188,mdr_rate_cleaned!$F$2:$F$10,"&gt;="&amp;C5188)</f>
        <v>1</v>
      </c>
      <c r="G5188">
        <v>0</v>
      </c>
      <c r="H5188">
        <v>0</v>
      </c>
      <c r="I5188" t="s">
        <v>15</v>
      </c>
      <c r="J5188" t="s">
        <v>15</v>
      </c>
      <c r="K5188">
        <v>0</v>
      </c>
      <c r="L5188">
        <v>0</v>
      </c>
    </row>
    <row r="5189" spans="1:12" x14ac:dyDescent="0.3">
      <c r="A5189" t="s">
        <v>5205</v>
      </c>
      <c r="B5189" t="s">
        <v>21</v>
      </c>
      <c r="C5189">
        <v>2298</v>
      </c>
      <c r="D5189">
        <v>6.89</v>
      </c>
      <c r="E5189">
        <v>1.24</v>
      </c>
      <c r="F5189">
        <f>COUNTIFS(mdr_rate_cleaned!$A$2:$A$10,B5189,mdr_rate_cleaned!$B$2:$B$10,"&lt;"&amp;C5189,mdr_rate_cleaned!$F$2:$F$10,"&gt;="&amp;C5189)</f>
        <v>1</v>
      </c>
      <c r="G5189">
        <v>3.0000000000000001E-3</v>
      </c>
      <c r="H5189">
        <v>6.89</v>
      </c>
      <c r="I5189" t="s">
        <v>15</v>
      </c>
      <c r="J5189" t="s">
        <v>15</v>
      </c>
      <c r="K5189">
        <v>1.24</v>
      </c>
      <c r="L5189">
        <v>0</v>
      </c>
    </row>
    <row r="5190" spans="1:12" x14ac:dyDescent="0.3">
      <c r="A5190" t="s">
        <v>5206</v>
      </c>
      <c r="B5190" t="s">
        <v>21</v>
      </c>
      <c r="C5190">
        <v>7999</v>
      </c>
      <c r="D5190">
        <v>24</v>
      </c>
      <c r="E5190">
        <v>4.32</v>
      </c>
      <c r="F5190">
        <f>COUNTIFS(mdr_rate_cleaned!$A$2:$A$10,B5190,mdr_rate_cleaned!$B$2:$B$10,"&lt;"&amp;C5190,mdr_rate_cleaned!$F$2:$F$10,"&gt;="&amp;C5190)</f>
        <v>1</v>
      </c>
      <c r="G5190">
        <v>3.0000000000000001E-3</v>
      </c>
      <c r="H5190">
        <v>24</v>
      </c>
      <c r="I5190" t="s">
        <v>15</v>
      </c>
      <c r="J5190" t="s">
        <v>15</v>
      </c>
      <c r="K5190">
        <v>4.32</v>
      </c>
      <c r="L5190">
        <v>0</v>
      </c>
    </row>
    <row r="5191" spans="1:12" x14ac:dyDescent="0.3">
      <c r="A5191" t="s">
        <v>5207</v>
      </c>
      <c r="B5191" t="s">
        <v>21</v>
      </c>
      <c r="C5191">
        <v>2798</v>
      </c>
      <c r="D5191">
        <v>8.39</v>
      </c>
      <c r="E5191">
        <v>1.51</v>
      </c>
      <c r="F5191">
        <f>COUNTIFS(mdr_rate_cleaned!$A$2:$A$10,B5191,mdr_rate_cleaned!$B$2:$B$10,"&lt;"&amp;C5191,mdr_rate_cleaned!$F$2:$F$10,"&gt;="&amp;C5191)</f>
        <v>1</v>
      </c>
      <c r="G5191">
        <v>3.0000000000000001E-3</v>
      </c>
      <c r="H5191">
        <v>8.39</v>
      </c>
      <c r="I5191" t="s">
        <v>15</v>
      </c>
      <c r="J5191" t="s">
        <v>15</v>
      </c>
      <c r="K5191">
        <v>1.51</v>
      </c>
      <c r="L5191">
        <v>0</v>
      </c>
    </row>
    <row r="5192" spans="1:12" x14ac:dyDescent="0.3">
      <c r="A5192" t="s">
        <v>5208</v>
      </c>
      <c r="B5192" t="s">
        <v>39</v>
      </c>
      <c r="C5192">
        <v>12297</v>
      </c>
      <c r="D5192">
        <v>110.67</v>
      </c>
      <c r="E5192">
        <v>19.920000000000002</v>
      </c>
      <c r="F5192">
        <f>COUNTIFS(mdr_rate_cleaned!$A$2:$A$10,B5192,mdr_rate_cleaned!$B$2:$B$10,"&lt;"&amp;C5192,mdr_rate_cleaned!$F$2:$F$10,"&gt;="&amp;C5192)</f>
        <v>1</v>
      </c>
      <c r="G5192">
        <v>8.9999999999999993E-3</v>
      </c>
      <c r="H5192">
        <v>110.67</v>
      </c>
      <c r="I5192" t="s">
        <v>15</v>
      </c>
      <c r="J5192" t="s">
        <v>15</v>
      </c>
      <c r="K5192">
        <v>19.920000000000002</v>
      </c>
      <c r="L5192">
        <v>0</v>
      </c>
    </row>
    <row r="5193" spans="1:12" x14ac:dyDescent="0.3">
      <c r="A5193" t="s">
        <v>5209</v>
      </c>
      <c r="B5193" t="s">
        <v>21</v>
      </c>
      <c r="C5193">
        <v>1499</v>
      </c>
      <c r="D5193">
        <v>0</v>
      </c>
      <c r="E5193">
        <v>0</v>
      </c>
      <c r="F5193">
        <f>COUNTIFS(mdr_rate_cleaned!$A$2:$A$10,B5193,mdr_rate_cleaned!$B$2:$B$10,"&lt;"&amp;C5193,mdr_rate_cleaned!$F$2:$F$10,"&gt;="&amp;C5193)</f>
        <v>1</v>
      </c>
      <c r="G5193">
        <v>0</v>
      </c>
      <c r="H5193">
        <v>0</v>
      </c>
      <c r="I5193" t="s">
        <v>15</v>
      </c>
      <c r="J5193" t="s">
        <v>15</v>
      </c>
      <c r="K5193">
        <v>0</v>
      </c>
      <c r="L5193">
        <v>0</v>
      </c>
    </row>
    <row r="5194" spans="1:12" x14ac:dyDescent="0.3">
      <c r="A5194" t="s">
        <v>5210</v>
      </c>
      <c r="B5194" t="s">
        <v>21</v>
      </c>
      <c r="C5194">
        <v>10847</v>
      </c>
      <c r="D5194">
        <v>32.54</v>
      </c>
      <c r="E5194">
        <v>5.86</v>
      </c>
      <c r="F5194">
        <f>COUNTIFS(mdr_rate_cleaned!$A$2:$A$10,B5194,mdr_rate_cleaned!$B$2:$B$10,"&lt;"&amp;C5194,mdr_rate_cleaned!$F$2:$F$10,"&gt;="&amp;C5194)</f>
        <v>1</v>
      </c>
      <c r="G5194">
        <v>3.0000000000000001E-3</v>
      </c>
      <c r="H5194">
        <v>32.54</v>
      </c>
      <c r="I5194" t="s">
        <v>15</v>
      </c>
      <c r="J5194" t="s">
        <v>15</v>
      </c>
      <c r="K5194">
        <v>5.86</v>
      </c>
      <c r="L5194">
        <v>0</v>
      </c>
    </row>
    <row r="5195" spans="1:12" x14ac:dyDescent="0.3">
      <c r="A5195" t="s">
        <v>5211</v>
      </c>
      <c r="B5195" t="s">
        <v>13</v>
      </c>
      <c r="C5195">
        <v>7497</v>
      </c>
      <c r="D5195">
        <v>127.45</v>
      </c>
      <c r="E5195">
        <v>22.94</v>
      </c>
      <c r="F5195">
        <f>COUNTIFS(mdr_rate_cleaned!$A$2:$A$10,B5195,mdr_rate_cleaned!$B$2:$B$10,"&lt;"&amp;C5195,mdr_rate_cleaned!$F$2:$F$10,"&gt;="&amp;C5195)</f>
        <v>1</v>
      </c>
      <c r="G5195">
        <v>1.7000000000000001E-2</v>
      </c>
      <c r="H5195">
        <v>127.45</v>
      </c>
      <c r="I5195" t="s">
        <v>15</v>
      </c>
      <c r="J5195" t="s">
        <v>15</v>
      </c>
      <c r="K5195">
        <v>22.94</v>
      </c>
      <c r="L5195">
        <v>0</v>
      </c>
    </row>
    <row r="5196" spans="1:12" x14ac:dyDescent="0.3">
      <c r="A5196" t="s">
        <v>5212</v>
      </c>
      <c r="B5196" t="s">
        <v>21</v>
      </c>
      <c r="C5196">
        <v>6498</v>
      </c>
      <c r="D5196">
        <v>19.489999999999998</v>
      </c>
      <c r="E5196">
        <v>3.51</v>
      </c>
      <c r="F5196">
        <f>COUNTIFS(mdr_rate_cleaned!$A$2:$A$10,B5196,mdr_rate_cleaned!$B$2:$B$10,"&lt;"&amp;C5196,mdr_rate_cleaned!$F$2:$F$10,"&gt;="&amp;C5196)</f>
        <v>1</v>
      </c>
      <c r="G5196">
        <v>3.0000000000000001E-3</v>
      </c>
      <c r="H5196">
        <v>19.489999999999998</v>
      </c>
      <c r="I5196" t="s">
        <v>15</v>
      </c>
      <c r="J5196" t="s">
        <v>15</v>
      </c>
      <c r="K5196">
        <v>3.51</v>
      </c>
      <c r="L5196">
        <v>0</v>
      </c>
    </row>
    <row r="5197" spans="1:12" x14ac:dyDescent="0.3">
      <c r="A5197" t="s">
        <v>5213</v>
      </c>
      <c r="B5197" t="s">
        <v>17</v>
      </c>
      <c r="C5197">
        <v>3499</v>
      </c>
      <c r="D5197">
        <v>55.98</v>
      </c>
      <c r="E5197">
        <v>10.08</v>
      </c>
      <c r="F5197">
        <f>COUNTIFS(mdr_rate_cleaned!$A$2:$A$10,B5197,mdr_rate_cleaned!$B$2:$B$10,"&lt;"&amp;C5197,mdr_rate_cleaned!$F$2:$F$10,"&gt;="&amp;C5197)</f>
        <v>1</v>
      </c>
      <c r="G5197">
        <v>1.6E-2</v>
      </c>
      <c r="H5197">
        <v>55.98</v>
      </c>
      <c r="I5197" t="s">
        <v>15</v>
      </c>
      <c r="J5197" t="s">
        <v>15</v>
      </c>
      <c r="K5197">
        <v>10.08</v>
      </c>
      <c r="L5197">
        <v>0</v>
      </c>
    </row>
    <row r="5198" spans="1:12" x14ac:dyDescent="0.3">
      <c r="A5198" t="s">
        <v>5214</v>
      </c>
      <c r="B5198" t="s">
        <v>17</v>
      </c>
      <c r="C5198">
        <v>7498</v>
      </c>
      <c r="D5198">
        <v>119.97</v>
      </c>
      <c r="E5198">
        <v>21.59</v>
      </c>
      <c r="F5198">
        <f>COUNTIFS(mdr_rate_cleaned!$A$2:$A$10,B5198,mdr_rate_cleaned!$B$2:$B$10,"&lt;"&amp;C5198,mdr_rate_cleaned!$F$2:$F$10,"&gt;="&amp;C5198)</f>
        <v>1</v>
      </c>
      <c r="G5198">
        <v>1.6E-2</v>
      </c>
      <c r="H5198">
        <v>119.97</v>
      </c>
      <c r="I5198" t="s">
        <v>15</v>
      </c>
      <c r="J5198" t="s">
        <v>15</v>
      </c>
      <c r="K5198">
        <v>21.59</v>
      </c>
      <c r="L5198">
        <v>0</v>
      </c>
    </row>
    <row r="5199" spans="1:12" x14ac:dyDescent="0.3">
      <c r="A5199" t="s">
        <v>5215</v>
      </c>
      <c r="B5199" t="s">
        <v>13</v>
      </c>
      <c r="C5199">
        <v>3297</v>
      </c>
      <c r="D5199">
        <v>56.05</v>
      </c>
      <c r="E5199">
        <v>10.09</v>
      </c>
      <c r="F5199">
        <f>COUNTIFS(mdr_rate_cleaned!$A$2:$A$10,B5199,mdr_rate_cleaned!$B$2:$B$10,"&lt;"&amp;C5199,mdr_rate_cleaned!$F$2:$F$10,"&gt;="&amp;C5199)</f>
        <v>1</v>
      </c>
      <c r="G5199">
        <v>1.7000000000000001E-2</v>
      </c>
      <c r="H5199">
        <v>56.05</v>
      </c>
      <c r="I5199" t="s">
        <v>15</v>
      </c>
      <c r="J5199" t="s">
        <v>15</v>
      </c>
      <c r="K5199">
        <v>10.09</v>
      </c>
      <c r="L5199">
        <v>0</v>
      </c>
    </row>
    <row r="5200" spans="1:12" x14ac:dyDescent="0.3">
      <c r="A5200" t="s">
        <v>5216</v>
      </c>
      <c r="B5200" t="s">
        <v>17</v>
      </c>
      <c r="C5200">
        <v>4999</v>
      </c>
      <c r="D5200">
        <v>79.98</v>
      </c>
      <c r="E5200">
        <v>14.4</v>
      </c>
      <c r="F5200">
        <f>COUNTIFS(mdr_rate_cleaned!$A$2:$A$10,B5200,mdr_rate_cleaned!$B$2:$B$10,"&lt;"&amp;C5200,mdr_rate_cleaned!$F$2:$F$10,"&gt;="&amp;C5200)</f>
        <v>1</v>
      </c>
      <c r="G5200">
        <v>1.6E-2</v>
      </c>
      <c r="H5200">
        <v>79.98</v>
      </c>
      <c r="I5200" t="s">
        <v>15</v>
      </c>
      <c r="J5200" t="s">
        <v>15</v>
      </c>
      <c r="K5200">
        <v>14.4</v>
      </c>
      <c r="L5200">
        <v>0</v>
      </c>
    </row>
    <row r="5201" spans="1:12" x14ac:dyDescent="0.3">
      <c r="A5201" t="s">
        <v>5217</v>
      </c>
      <c r="B5201" t="s">
        <v>13</v>
      </c>
      <c r="C5201">
        <v>3497</v>
      </c>
      <c r="D5201">
        <v>59.45</v>
      </c>
      <c r="E5201">
        <v>10.7</v>
      </c>
      <c r="F5201">
        <f>COUNTIFS(mdr_rate_cleaned!$A$2:$A$10,B5201,mdr_rate_cleaned!$B$2:$B$10,"&lt;"&amp;C5201,mdr_rate_cleaned!$F$2:$F$10,"&gt;="&amp;C5201)</f>
        <v>1</v>
      </c>
      <c r="G5201">
        <v>1.7000000000000001E-2</v>
      </c>
      <c r="H5201">
        <v>59.45</v>
      </c>
      <c r="I5201" t="s">
        <v>15</v>
      </c>
      <c r="J5201" t="s">
        <v>15</v>
      </c>
      <c r="K5201">
        <v>10.7</v>
      </c>
      <c r="L5201">
        <v>0</v>
      </c>
    </row>
    <row r="5202" spans="1:12" x14ac:dyDescent="0.3">
      <c r="A5202" t="s">
        <v>5218</v>
      </c>
      <c r="B5202" t="s">
        <v>21</v>
      </c>
      <c r="C5202">
        <v>4999</v>
      </c>
      <c r="D5202">
        <v>15</v>
      </c>
      <c r="E5202">
        <v>2.7</v>
      </c>
      <c r="F5202">
        <f>COUNTIFS(mdr_rate_cleaned!$A$2:$A$10,B5202,mdr_rate_cleaned!$B$2:$B$10,"&lt;"&amp;C5202,mdr_rate_cleaned!$F$2:$F$10,"&gt;="&amp;C5202)</f>
        <v>1</v>
      </c>
      <c r="G5202">
        <v>3.0000000000000001E-3</v>
      </c>
      <c r="H5202">
        <v>15</v>
      </c>
      <c r="I5202" t="s">
        <v>15</v>
      </c>
      <c r="J5202" t="s">
        <v>15</v>
      </c>
      <c r="K5202">
        <v>2.7</v>
      </c>
      <c r="L5202">
        <v>0</v>
      </c>
    </row>
    <row r="5203" spans="1:12" x14ac:dyDescent="0.3">
      <c r="A5203" t="s">
        <v>5219</v>
      </c>
      <c r="B5203" t="s">
        <v>21</v>
      </c>
      <c r="C5203">
        <v>1299</v>
      </c>
      <c r="D5203">
        <v>0</v>
      </c>
      <c r="E5203">
        <v>0</v>
      </c>
      <c r="F5203">
        <f>COUNTIFS(mdr_rate_cleaned!$A$2:$A$10,B5203,mdr_rate_cleaned!$B$2:$B$10,"&lt;"&amp;C5203,mdr_rate_cleaned!$F$2:$F$10,"&gt;="&amp;C5203)</f>
        <v>1</v>
      </c>
      <c r="G5203">
        <v>0</v>
      </c>
      <c r="H5203">
        <v>0</v>
      </c>
      <c r="I5203" t="s">
        <v>15</v>
      </c>
      <c r="J5203" t="s">
        <v>15</v>
      </c>
      <c r="K5203">
        <v>0</v>
      </c>
      <c r="L5203">
        <v>0</v>
      </c>
    </row>
    <row r="5204" spans="1:12" x14ac:dyDescent="0.3">
      <c r="A5204" t="s">
        <v>5220</v>
      </c>
      <c r="B5204" t="s">
        <v>21</v>
      </c>
      <c r="C5204">
        <v>3298</v>
      </c>
      <c r="D5204">
        <v>9.89</v>
      </c>
      <c r="E5204">
        <v>1.78</v>
      </c>
      <c r="F5204">
        <f>COUNTIFS(mdr_rate_cleaned!$A$2:$A$10,B5204,mdr_rate_cleaned!$B$2:$B$10,"&lt;"&amp;C5204,mdr_rate_cleaned!$F$2:$F$10,"&gt;="&amp;C5204)</f>
        <v>1</v>
      </c>
      <c r="G5204">
        <v>3.0000000000000001E-3</v>
      </c>
      <c r="H5204">
        <v>9.89</v>
      </c>
      <c r="I5204" t="s">
        <v>15</v>
      </c>
      <c r="J5204" t="s">
        <v>15</v>
      </c>
      <c r="K5204">
        <v>1.78</v>
      </c>
      <c r="L5204">
        <v>0</v>
      </c>
    </row>
    <row r="5205" spans="1:12" x14ac:dyDescent="0.3">
      <c r="A5205" t="s">
        <v>5221</v>
      </c>
      <c r="B5205" t="s">
        <v>21</v>
      </c>
      <c r="C5205">
        <v>499</v>
      </c>
      <c r="D5205">
        <v>1.5</v>
      </c>
      <c r="E5205">
        <v>0.27</v>
      </c>
      <c r="F5205">
        <f>COUNTIFS(mdr_rate_cleaned!$A$2:$A$10,B5205,mdr_rate_cleaned!$B$2:$B$10,"&lt;"&amp;C5205,mdr_rate_cleaned!$F$2:$F$10,"&gt;="&amp;C5205)</f>
        <v>1</v>
      </c>
      <c r="G5205">
        <v>0</v>
      </c>
      <c r="H5205">
        <v>0</v>
      </c>
      <c r="I5205" t="s">
        <v>14</v>
      </c>
      <c r="J5205" t="s">
        <v>15</v>
      </c>
      <c r="K5205">
        <v>0</v>
      </c>
      <c r="L5205">
        <v>1.77</v>
      </c>
    </row>
    <row r="5206" spans="1:12" x14ac:dyDescent="0.3">
      <c r="A5206" t="s">
        <v>5222</v>
      </c>
      <c r="B5206" t="s">
        <v>21</v>
      </c>
      <c r="C5206">
        <v>11297</v>
      </c>
      <c r="D5206">
        <v>33.89</v>
      </c>
      <c r="E5206">
        <v>6.1</v>
      </c>
      <c r="F5206">
        <f>COUNTIFS(mdr_rate_cleaned!$A$2:$A$10,B5206,mdr_rate_cleaned!$B$2:$B$10,"&lt;"&amp;C5206,mdr_rate_cleaned!$F$2:$F$10,"&gt;="&amp;C5206)</f>
        <v>1</v>
      </c>
      <c r="G5206">
        <v>3.0000000000000001E-3</v>
      </c>
      <c r="H5206">
        <v>33.89</v>
      </c>
      <c r="I5206" t="s">
        <v>15</v>
      </c>
      <c r="J5206" t="s">
        <v>15</v>
      </c>
      <c r="K5206">
        <v>6.1</v>
      </c>
      <c r="L5206">
        <v>0</v>
      </c>
    </row>
    <row r="5207" spans="1:12" x14ac:dyDescent="0.3">
      <c r="A5207" t="s">
        <v>5223</v>
      </c>
      <c r="B5207" t="s">
        <v>17</v>
      </c>
      <c r="C5207">
        <v>2798</v>
      </c>
      <c r="D5207">
        <v>44.77</v>
      </c>
      <c r="E5207">
        <v>8.06</v>
      </c>
      <c r="F5207">
        <f>COUNTIFS(mdr_rate_cleaned!$A$2:$A$10,B5207,mdr_rate_cleaned!$B$2:$B$10,"&lt;"&amp;C5207,mdr_rate_cleaned!$F$2:$F$10,"&gt;="&amp;C5207)</f>
        <v>1</v>
      </c>
      <c r="G5207">
        <v>1.6E-2</v>
      </c>
      <c r="H5207">
        <v>44.77</v>
      </c>
      <c r="I5207" t="s">
        <v>15</v>
      </c>
      <c r="J5207" t="s">
        <v>15</v>
      </c>
      <c r="K5207">
        <v>8.06</v>
      </c>
      <c r="L5207">
        <v>0</v>
      </c>
    </row>
    <row r="5208" spans="1:12" x14ac:dyDescent="0.3">
      <c r="A5208" t="s">
        <v>5224</v>
      </c>
      <c r="B5208" t="s">
        <v>21</v>
      </c>
      <c r="C5208">
        <v>4897</v>
      </c>
      <c r="D5208">
        <v>14.69</v>
      </c>
      <c r="E5208">
        <v>2.64</v>
      </c>
      <c r="F5208">
        <f>COUNTIFS(mdr_rate_cleaned!$A$2:$A$10,B5208,mdr_rate_cleaned!$B$2:$B$10,"&lt;"&amp;C5208,mdr_rate_cleaned!$F$2:$F$10,"&gt;="&amp;C5208)</f>
        <v>1</v>
      </c>
      <c r="G5208">
        <v>3.0000000000000001E-3</v>
      </c>
      <c r="H5208">
        <v>14.69</v>
      </c>
      <c r="I5208" t="s">
        <v>15</v>
      </c>
      <c r="J5208" t="s">
        <v>15</v>
      </c>
      <c r="K5208">
        <v>2.64</v>
      </c>
      <c r="L5208">
        <v>0</v>
      </c>
    </row>
    <row r="5209" spans="1:12" x14ac:dyDescent="0.3">
      <c r="A5209" t="s">
        <v>5225</v>
      </c>
      <c r="B5209" t="s">
        <v>13</v>
      </c>
      <c r="C5209">
        <v>1299</v>
      </c>
      <c r="D5209">
        <v>24.68</v>
      </c>
      <c r="E5209">
        <v>4.4400000000000004</v>
      </c>
      <c r="F5209">
        <f>COUNTIFS(mdr_rate_cleaned!$A$2:$A$10,B5209,mdr_rate_cleaned!$B$2:$B$10,"&lt;"&amp;C5209,mdr_rate_cleaned!$F$2:$F$10,"&gt;="&amp;C5209)</f>
        <v>1</v>
      </c>
      <c r="G5209">
        <v>1.9E-2</v>
      </c>
      <c r="H5209">
        <v>24.68</v>
      </c>
      <c r="I5209" t="s">
        <v>15</v>
      </c>
      <c r="J5209" t="s">
        <v>15</v>
      </c>
      <c r="K5209">
        <v>4.4400000000000004</v>
      </c>
      <c r="L5209">
        <v>0</v>
      </c>
    </row>
    <row r="5210" spans="1:12" x14ac:dyDescent="0.3">
      <c r="A5210" t="s">
        <v>5226</v>
      </c>
      <c r="B5210" t="s">
        <v>17</v>
      </c>
      <c r="C5210">
        <v>9397</v>
      </c>
      <c r="D5210">
        <v>150.35</v>
      </c>
      <c r="E5210">
        <v>27.06</v>
      </c>
      <c r="F5210">
        <f>COUNTIFS(mdr_rate_cleaned!$A$2:$A$10,B5210,mdr_rate_cleaned!$B$2:$B$10,"&lt;"&amp;C5210,mdr_rate_cleaned!$F$2:$F$10,"&gt;="&amp;C5210)</f>
        <v>1</v>
      </c>
      <c r="G5210">
        <v>1.6E-2</v>
      </c>
      <c r="H5210">
        <v>150.35</v>
      </c>
      <c r="I5210" t="s">
        <v>15</v>
      </c>
      <c r="J5210" t="s">
        <v>15</v>
      </c>
      <c r="K5210">
        <v>27.06</v>
      </c>
      <c r="L5210">
        <v>0</v>
      </c>
    </row>
    <row r="5211" spans="1:12" x14ac:dyDescent="0.3">
      <c r="A5211" t="s">
        <v>5227</v>
      </c>
      <c r="B5211" t="s">
        <v>21</v>
      </c>
      <c r="C5211">
        <v>2499</v>
      </c>
      <c r="D5211">
        <v>7.5</v>
      </c>
      <c r="E5211">
        <v>1.35</v>
      </c>
      <c r="F5211">
        <f>COUNTIFS(mdr_rate_cleaned!$A$2:$A$10,B5211,mdr_rate_cleaned!$B$2:$B$10,"&lt;"&amp;C5211,mdr_rate_cleaned!$F$2:$F$10,"&gt;="&amp;C5211)</f>
        <v>1</v>
      </c>
      <c r="G5211">
        <v>3.0000000000000001E-3</v>
      </c>
      <c r="H5211">
        <v>7.5</v>
      </c>
      <c r="I5211" t="s">
        <v>15</v>
      </c>
      <c r="J5211" t="s">
        <v>15</v>
      </c>
      <c r="K5211">
        <v>1.35</v>
      </c>
      <c r="L5211">
        <v>0</v>
      </c>
    </row>
    <row r="5212" spans="1:12" x14ac:dyDescent="0.3">
      <c r="A5212" t="s">
        <v>5228</v>
      </c>
      <c r="B5212" t="s">
        <v>17</v>
      </c>
      <c r="C5212">
        <v>6297</v>
      </c>
      <c r="D5212">
        <v>100.75</v>
      </c>
      <c r="E5212">
        <v>18.14</v>
      </c>
      <c r="F5212">
        <f>COUNTIFS(mdr_rate_cleaned!$A$2:$A$10,B5212,mdr_rate_cleaned!$B$2:$B$10,"&lt;"&amp;C5212,mdr_rate_cleaned!$F$2:$F$10,"&gt;="&amp;C5212)</f>
        <v>1</v>
      </c>
      <c r="G5212">
        <v>1.6E-2</v>
      </c>
      <c r="H5212">
        <v>100.75</v>
      </c>
      <c r="I5212" t="s">
        <v>15</v>
      </c>
      <c r="J5212" t="s">
        <v>15</v>
      </c>
      <c r="K5212">
        <v>18.14</v>
      </c>
      <c r="L5212">
        <v>0</v>
      </c>
    </row>
    <row r="5213" spans="1:12" x14ac:dyDescent="0.3">
      <c r="A5213" t="s">
        <v>5229</v>
      </c>
      <c r="B5213" t="s">
        <v>13</v>
      </c>
      <c r="C5213">
        <v>7998</v>
      </c>
      <c r="D5213">
        <v>135.97</v>
      </c>
      <c r="E5213">
        <v>24.47</v>
      </c>
      <c r="F5213">
        <f>COUNTIFS(mdr_rate_cleaned!$A$2:$A$10,B5213,mdr_rate_cleaned!$B$2:$B$10,"&lt;"&amp;C5213,mdr_rate_cleaned!$F$2:$F$10,"&gt;="&amp;C5213)</f>
        <v>1</v>
      </c>
      <c r="G5213">
        <v>1.7000000000000001E-2</v>
      </c>
      <c r="H5213">
        <v>135.97</v>
      </c>
      <c r="I5213" t="s">
        <v>15</v>
      </c>
      <c r="J5213" t="s">
        <v>15</v>
      </c>
      <c r="K5213">
        <v>24.47</v>
      </c>
      <c r="L5213">
        <v>0</v>
      </c>
    </row>
    <row r="5214" spans="1:12" x14ac:dyDescent="0.3">
      <c r="A5214" t="s">
        <v>5230</v>
      </c>
      <c r="B5214" t="s">
        <v>21</v>
      </c>
      <c r="C5214">
        <v>1848</v>
      </c>
      <c r="D5214">
        <v>0</v>
      </c>
      <c r="E5214">
        <v>0</v>
      </c>
      <c r="F5214">
        <f>COUNTIFS(mdr_rate_cleaned!$A$2:$A$10,B5214,mdr_rate_cleaned!$B$2:$B$10,"&lt;"&amp;C5214,mdr_rate_cleaned!$F$2:$F$10,"&gt;="&amp;C5214)</f>
        <v>1</v>
      </c>
      <c r="G5214">
        <v>0</v>
      </c>
      <c r="H5214">
        <v>0</v>
      </c>
      <c r="I5214" t="s">
        <v>15</v>
      </c>
      <c r="J5214" t="s">
        <v>15</v>
      </c>
      <c r="K5214">
        <v>0</v>
      </c>
      <c r="L5214">
        <v>0</v>
      </c>
    </row>
    <row r="5215" spans="1:12" x14ac:dyDescent="0.3">
      <c r="A5215" t="s">
        <v>5231</v>
      </c>
      <c r="B5215" t="s">
        <v>21</v>
      </c>
      <c r="C5215">
        <v>3998</v>
      </c>
      <c r="D5215">
        <v>11.99</v>
      </c>
      <c r="E5215">
        <v>2.16</v>
      </c>
      <c r="F5215">
        <f>COUNTIFS(mdr_rate_cleaned!$A$2:$A$10,B5215,mdr_rate_cleaned!$B$2:$B$10,"&lt;"&amp;C5215,mdr_rate_cleaned!$F$2:$F$10,"&gt;="&amp;C5215)</f>
        <v>1</v>
      </c>
      <c r="G5215">
        <v>3.0000000000000001E-3</v>
      </c>
      <c r="H5215">
        <v>11.99</v>
      </c>
      <c r="I5215" t="s">
        <v>15</v>
      </c>
      <c r="J5215" t="s">
        <v>15</v>
      </c>
      <c r="K5215">
        <v>2.16</v>
      </c>
      <c r="L5215">
        <v>0</v>
      </c>
    </row>
    <row r="5216" spans="1:12" x14ac:dyDescent="0.3">
      <c r="A5216" t="s">
        <v>5232</v>
      </c>
      <c r="B5216" t="s">
        <v>17</v>
      </c>
      <c r="C5216">
        <v>299</v>
      </c>
      <c r="D5216">
        <v>5.38</v>
      </c>
      <c r="E5216">
        <v>0.97</v>
      </c>
      <c r="F5216">
        <f>COUNTIFS(mdr_rate_cleaned!$A$2:$A$10,B5216,mdr_rate_cleaned!$B$2:$B$10,"&lt;"&amp;C5216,mdr_rate_cleaned!$F$2:$F$10,"&gt;="&amp;C5216)</f>
        <v>1</v>
      </c>
      <c r="G5216">
        <v>1.7999999999999999E-2</v>
      </c>
      <c r="H5216">
        <v>5.38</v>
      </c>
      <c r="I5216" t="s">
        <v>15</v>
      </c>
      <c r="J5216" t="s">
        <v>15</v>
      </c>
      <c r="K5216">
        <v>0.97</v>
      </c>
      <c r="L5216">
        <v>0</v>
      </c>
    </row>
    <row r="5217" spans="1:12" x14ac:dyDescent="0.3">
      <c r="A5217" t="s">
        <v>5233</v>
      </c>
      <c r="B5217" t="s">
        <v>21</v>
      </c>
      <c r="C5217">
        <v>299</v>
      </c>
      <c r="D5217">
        <v>0</v>
      </c>
      <c r="E5217">
        <v>0</v>
      </c>
      <c r="F5217">
        <f>COUNTIFS(mdr_rate_cleaned!$A$2:$A$10,B5217,mdr_rate_cleaned!$B$2:$B$10,"&lt;"&amp;C5217,mdr_rate_cleaned!$F$2:$F$10,"&gt;="&amp;C5217)</f>
        <v>1</v>
      </c>
      <c r="G5217">
        <v>0</v>
      </c>
      <c r="H5217">
        <v>0</v>
      </c>
      <c r="I5217" t="s">
        <v>15</v>
      </c>
      <c r="J5217" t="s">
        <v>15</v>
      </c>
      <c r="K5217">
        <v>0</v>
      </c>
      <c r="L5217">
        <v>0</v>
      </c>
    </row>
    <row r="5218" spans="1:12" x14ac:dyDescent="0.3">
      <c r="A5218" t="s">
        <v>5234</v>
      </c>
      <c r="B5218" t="s">
        <v>13</v>
      </c>
      <c r="C5218">
        <v>2499</v>
      </c>
      <c r="D5218">
        <v>42.48</v>
      </c>
      <c r="E5218">
        <v>7.65</v>
      </c>
      <c r="F5218">
        <f>COUNTIFS(mdr_rate_cleaned!$A$2:$A$10,B5218,mdr_rate_cleaned!$B$2:$B$10,"&lt;"&amp;C5218,mdr_rate_cleaned!$F$2:$F$10,"&gt;="&amp;C5218)</f>
        <v>1</v>
      </c>
      <c r="G5218">
        <v>1.7000000000000001E-2</v>
      </c>
      <c r="H5218">
        <v>42.48</v>
      </c>
      <c r="I5218" t="s">
        <v>15</v>
      </c>
      <c r="J5218" t="s">
        <v>15</v>
      </c>
      <c r="K5218">
        <v>7.65</v>
      </c>
      <c r="L5218">
        <v>0</v>
      </c>
    </row>
    <row r="5219" spans="1:12" x14ac:dyDescent="0.3">
      <c r="A5219" t="s">
        <v>5235</v>
      </c>
      <c r="B5219" t="s">
        <v>21</v>
      </c>
      <c r="C5219">
        <v>4999</v>
      </c>
      <c r="D5219">
        <v>15</v>
      </c>
      <c r="E5219">
        <v>2.7</v>
      </c>
      <c r="F5219">
        <f>COUNTIFS(mdr_rate_cleaned!$A$2:$A$10,B5219,mdr_rate_cleaned!$B$2:$B$10,"&lt;"&amp;C5219,mdr_rate_cleaned!$F$2:$F$10,"&gt;="&amp;C5219)</f>
        <v>1</v>
      </c>
      <c r="G5219">
        <v>3.0000000000000001E-3</v>
      </c>
      <c r="H5219">
        <v>15</v>
      </c>
      <c r="I5219" t="s">
        <v>15</v>
      </c>
      <c r="J5219" t="s">
        <v>15</v>
      </c>
      <c r="K5219">
        <v>2.7</v>
      </c>
      <c r="L5219">
        <v>0</v>
      </c>
    </row>
    <row r="5220" spans="1:12" x14ac:dyDescent="0.3">
      <c r="A5220" t="s">
        <v>5236</v>
      </c>
      <c r="B5220" t="s">
        <v>21</v>
      </c>
      <c r="C5220">
        <v>4298</v>
      </c>
      <c r="D5220">
        <v>12.89</v>
      </c>
      <c r="E5220">
        <v>2.3199999999999998</v>
      </c>
      <c r="F5220">
        <f>COUNTIFS(mdr_rate_cleaned!$A$2:$A$10,B5220,mdr_rate_cleaned!$B$2:$B$10,"&lt;"&amp;C5220,mdr_rate_cleaned!$F$2:$F$10,"&gt;="&amp;C5220)</f>
        <v>1</v>
      </c>
      <c r="G5220">
        <v>3.0000000000000001E-3</v>
      </c>
      <c r="H5220">
        <v>12.89</v>
      </c>
      <c r="I5220" t="s">
        <v>15</v>
      </c>
      <c r="J5220" t="s">
        <v>15</v>
      </c>
      <c r="K5220">
        <v>2.3199999999999998</v>
      </c>
      <c r="L5220">
        <v>0</v>
      </c>
    </row>
    <row r="5221" spans="1:12" x14ac:dyDescent="0.3">
      <c r="A5221" t="s">
        <v>5237</v>
      </c>
      <c r="B5221" t="s">
        <v>21</v>
      </c>
      <c r="C5221">
        <v>998</v>
      </c>
      <c r="D5221">
        <v>0</v>
      </c>
      <c r="E5221">
        <v>0</v>
      </c>
      <c r="F5221">
        <f>COUNTIFS(mdr_rate_cleaned!$A$2:$A$10,B5221,mdr_rate_cleaned!$B$2:$B$10,"&lt;"&amp;C5221,mdr_rate_cleaned!$F$2:$F$10,"&gt;="&amp;C5221)</f>
        <v>1</v>
      </c>
      <c r="G5221">
        <v>0</v>
      </c>
      <c r="H5221">
        <v>0</v>
      </c>
      <c r="I5221" t="s">
        <v>15</v>
      </c>
      <c r="J5221" t="s">
        <v>15</v>
      </c>
      <c r="K5221">
        <v>0</v>
      </c>
      <c r="L5221">
        <v>0</v>
      </c>
    </row>
    <row r="5222" spans="1:12" x14ac:dyDescent="0.3">
      <c r="A5222" t="s">
        <v>5238</v>
      </c>
      <c r="B5222" t="s">
        <v>21</v>
      </c>
      <c r="C5222">
        <v>599</v>
      </c>
      <c r="D5222">
        <v>0</v>
      </c>
      <c r="E5222">
        <v>0</v>
      </c>
      <c r="F5222">
        <f>COUNTIFS(mdr_rate_cleaned!$A$2:$A$10,B5222,mdr_rate_cleaned!$B$2:$B$10,"&lt;"&amp;C5222,mdr_rate_cleaned!$F$2:$F$10,"&gt;="&amp;C5222)</f>
        <v>1</v>
      </c>
      <c r="G5222">
        <v>0</v>
      </c>
      <c r="H5222">
        <v>0</v>
      </c>
      <c r="I5222" t="s">
        <v>15</v>
      </c>
      <c r="J5222" t="s">
        <v>15</v>
      </c>
      <c r="K5222">
        <v>0</v>
      </c>
      <c r="L5222">
        <v>0</v>
      </c>
    </row>
    <row r="5223" spans="1:12" x14ac:dyDescent="0.3">
      <c r="A5223" t="s">
        <v>5239</v>
      </c>
      <c r="B5223" t="s">
        <v>13</v>
      </c>
      <c r="C5223">
        <v>8797</v>
      </c>
      <c r="D5223">
        <v>149.55000000000001</v>
      </c>
      <c r="E5223">
        <v>26.92</v>
      </c>
      <c r="F5223">
        <f>COUNTIFS(mdr_rate_cleaned!$A$2:$A$10,B5223,mdr_rate_cleaned!$B$2:$B$10,"&lt;"&amp;C5223,mdr_rate_cleaned!$F$2:$F$10,"&gt;="&amp;C5223)</f>
        <v>1</v>
      </c>
      <c r="G5223">
        <v>1.7000000000000001E-2</v>
      </c>
      <c r="H5223">
        <v>149.55000000000001</v>
      </c>
      <c r="I5223" t="s">
        <v>15</v>
      </c>
      <c r="J5223" t="s">
        <v>15</v>
      </c>
      <c r="K5223">
        <v>26.92</v>
      </c>
      <c r="L5223">
        <v>0</v>
      </c>
    </row>
    <row r="5224" spans="1:12" x14ac:dyDescent="0.3">
      <c r="A5224" t="s">
        <v>5240</v>
      </c>
      <c r="B5224" t="s">
        <v>21</v>
      </c>
      <c r="C5224">
        <v>999</v>
      </c>
      <c r="D5224">
        <v>0</v>
      </c>
      <c r="E5224">
        <v>0</v>
      </c>
      <c r="F5224">
        <f>COUNTIFS(mdr_rate_cleaned!$A$2:$A$10,B5224,mdr_rate_cleaned!$B$2:$B$10,"&lt;"&amp;C5224,mdr_rate_cleaned!$F$2:$F$10,"&gt;="&amp;C5224)</f>
        <v>1</v>
      </c>
      <c r="G5224">
        <v>0</v>
      </c>
      <c r="H5224">
        <v>0</v>
      </c>
      <c r="I5224" t="s">
        <v>15</v>
      </c>
      <c r="J5224" t="s">
        <v>15</v>
      </c>
      <c r="K5224">
        <v>0</v>
      </c>
      <c r="L5224">
        <v>0</v>
      </c>
    </row>
    <row r="5225" spans="1:12" x14ac:dyDescent="0.3">
      <c r="A5225" t="s">
        <v>5241</v>
      </c>
      <c r="B5225" t="s">
        <v>21</v>
      </c>
      <c r="C5225">
        <v>1299</v>
      </c>
      <c r="D5225">
        <v>0</v>
      </c>
      <c r="E5225">
        <v>0</v>
      </c>
      <c r="F5225">
        <f>COUNTIFS(mdr_rate_cleaned!$A$2:$A$10,B5225,mdr_rate_cleaned!$B$2:$B$10,"&lt;"&amp;C5225,mdr_rate_cleaned!$F$2:$F$10,"&gt;="&amp;C5225)</f>
        <v>1</v>
      </c>
      <c r="G5225">
        <v>0</v>
      </c>
      <c r="H5225">
        <v>0</v>
      </c>
      <c r="I5225" t="s">
        <v>15</v>
      </c>
      <c r="J5225" t="s">
        <v>15</v>
      </c>
      <c r="K5225">
        <v>0</v>
      </c>
      <c r="L5225">
        <v>0</v>
      </c>
    </row>
    <row r="5226" spans="1:12" x14ac:dyDescent="0.3">
      <c r="A5226" t="s">
        <v>5242</v>
      </c>
      <c r="B5226" t="s">
        <v>21</v>
      </c>
      <c r="C5226">
        <v>799</v>
      </c>
      <c r="D5226">
        <v>2.4</v>
      </c>
      <c r="E5226">
        <v>0.43</v>
      </c>
      <c r="F5226">
        <f>COUNTIFS(mdr_rate_cleaned!$A$2:$A$10,B5226,mdr_rate_cleaned!$B$2:$B$10,"&lt;"&amp;C5226,mdr_rate_cleaned!$F$2:$F$10,"&gt;="&amp;C5226)</f>
        <v>1</v>
      </c>
      <c r="G5226">
        <v>0</v>
      </c>
      <c r="H5226">
        <v>0</v>
      </c>
      <c r="I5226" t="s">
        <v>14</v>
      </c>
      <c r="J5226" t="s">
        <v>15</v>
      </c>
      <c r="K5226">
        <v>0</v>
      </c>
      <c r="L5226">
        <v>2.83</v>
      </c>
    </row>
    <row r="5227" spans="1:12" x14ac:dyDescent="0.3">
      <c r="A5227" t="s">
        <v>5243</v>
      </c>
      <c r="B5227" t="s">
        <v>13</v>
      </c>
      <c r="C5227">
        <v>3147</v>
      </c>
      <c r="D5227">
        <v>53.5</v>
      </c>
      <c r="E5227">
        <v>9.6300000000000008</v>
      </c>
      <c r="F5227">
        <f>COUNTIFS(mdr_rate_cleaned!$A$2:$A$10,B5227,mdr_rate_cleaned!$B$2:$B$10,"&lt;"&amp;C5227,mdr_rate_cleaned!$F$2:$F$10,"&gt;="&amp;C5227)</f>
        <v>1</v>
      </c>
      <c r="G5227">
        <v>1.7000000000000001E-2</v>
      </c>
      <c r="H5227">
        <v>53.5</v>
      </c>
      <c r="I5227" t="s">
        <v>15</v>
      </c>
      <c r="J5227" t="s">
        <v>15</v>
      </c>
      <c r="K5227">
        <v>9.6300000000000008</v>
      </c>
      <c r="L5227">
        <v>0</v>
      </c>
    </row>
    <row r="5228" spans="1:12" x14ac:dyDescent="0.3">
      <c r="A5228" t="s">
        <v>5244</v>
      </c>
      <c r="B5228" t="s">
        <v>21</v>
      </c>
      <c r="C5228">
        <v>8598</v>
      </c>
      <c r="D5228">
        <v>25.79</v>
      </c>
      <c r="E5228">
        <v>4.6399999999999997</v>
      </c>
      <c r="F5228">
        <f>COUNTIFS(mdr_rate_cleaned!$A$2:$A$10,B5228,mdr_rate_cleaned!$B$2:$B$10,"&lt;"&amp;C5228,mdr_rate_cleaned!$F$2:$F$10,"&gt;="&amp;C5228)</f>
        <v>1</v>
      </c>
      <c r="G5228">
        <v>3.0000000000000001E-3</v>
      </c>
      <c r="H5228">
        <v>25.79</v>
      </c>
      <c r="I5228" t="s">
        <v>15</v>
      </c>
      <c r="J5228" t="s">
        <v>15</v>
      </c>
      <c r="K5228">
        <v>4.6399999999999997</v>
      </c>
      <c r="L5228">
        <v>0</v>
      </c>
    </row>
    <row r="5229" spans="1:12" x14ac:dyDescent="0.3">
      <c r="A5229" t="s">
        <v>5245</v>
      </c>
      <c r="B5229" t="s">
        <v>17</v>
      </c>
      <c r="C5229">
        <v>799</v>
      </c>
      <c r="D5229">
        <v>14.38</v>
      </c>
      <c r="E5229">
        <v>2.59</v>
      </c>
      <c r="F5229">
        <f>COUNTIFS(mdr_rate_cleaned!$A$2:$A$10,B5229,mdr_rate_cleaned!$B$2:$B$10,"&lt;"&amp;C5229,mdr_rate_cleaned!$F$2:$F$10,"&gt;="&amp;C5229)</f>
        <v>1</v>
      </c>
      <c r="G5229">
        <v>1.7999999999999999E-2</v>
      </c>
      <c r="H5229">
        <v>14.38</v>
      </c>
      <c r="I5229" t="s">
        <v>15</v>
      </c>
      <c r="J5229" t="s">
        <v>15</v>
      </c>
      <c r="K5229">
        <v>2.59</v>
      </c>
      <c r="L5229">
        <v>0</v>
      </c>
    </row>
    <row r="5230" spans="1:12" x14ac:dyDescent="0.3">
      <c r="A5230" t="s">
        <v>5246</v>
      </c>
      <c r="B5230" t="s">
        <v>21</v>
      </c>
      <c r="C5230">
        <v>12797</v>
      </c>
      <c r="D5230">
        <v>38.39</v>
      </c>
      <c r="E5230">
        <v>6.91</v>
      </c>
      <c r="F5230">
        <f>COUNTIFS(mdr_rate_cleaned!$A$2:$A$10,B5230,mdr_rate_cleaned!$B$2:$B$10,"&lt;"&amp;C5230,mdr_rate_cleaned!$F$2:$F$10,"&gt;="&amp;C5230)</f>
        <v>1</v>
      </c>
      <c r="G5230">
        <v>3.0000000000000001E-3</v>
      </c>
      <c r="H5230">
        <v>38.39</v>
      </c>
      <c r="I5230" t="s">
        <v>15</v>
      </c>
      <c r="J5230" t="s">
        <v>15</v>
      </c>
      <c r="K5230">
        <v>6.91</v>
      </c>
      <c r="L5230">
        <v>0</v>
      </c>
    </row>
    <row r="5231" spans="1:12" x14ac:dyDescent="0.3">
      <c r="A5231" t="s">
        <v>5247</v>
      </c>
      <c r="B5231" t="s">
        <v>17</v>
      </c>
      <c r="C5231">
        <v>3147</v>
      </c>
      <c r="D5231">
        <v>50.35</v>
      </c>
      <c r="E5231">
        <v>9.06</v>
      </c>
      <c r="F5231">
        <f>COUNTIFS(mdr_rate_cleaned!$A$2:$A$10,B5231,mdr_rate_cleaned!$B$2:$B$10,"&lt;"&amp;C5231,mdr_rate_cleaned!$F$2:$F$10,"&gt;="&amp;C5231)</f>
        <v>1</v>
      </c>
      <c r="G5231">
        <v>1.6E-2</v>
      </c>
      <c r="H5231">
        <v>50.35</v>
      </c>
      <c r="I5231" t="s">
        <v>15</v>
      </c>
      <c r="J5231" t="s">
        <v>15</v>
      </c>
      <c r="K5231">
        <v>9.06</v>
      </c>
      <c r="L5231">
        <v>0</v>
      </c>
    </row>
    <row r="5232" spans="1:12" x14ac:dyDescent="0.3">
      <c r="A5232" t="s">
        <v>5248</v>
      </c>
      <c r="B5232" t="s">
        <v>21</v>
      </c>
      <c r="C5232">
        <v>349</v>
      </c>
      <c r="D5232">
        <v>0</v>
      </c>
      <c r="E5232">
        <v>0</v>
      </c>
      <c r="F5232">
        <f>COUNTIFS(mdr_rate_cleaned!$A$2:$A$10,B5232,mdr_rate_cleaned!$B$2:$B$10,"&lt;"&amp;C5232,mdr_rate_cleaned!$F$2:$F$10,"&gt;="&amp;C5232)</f>
        <v>1</v>
      </c>
      <c r="G5232">
        <v>0</v>
      </c>
      <c r="H5232">
        <v>0</v>
      </c>
      <c r="I5232" t="s">
        <v>15</v>
      </c>
      <c r="J5232" t="s">
        <v>15</v>
      </c>
      <c r="K5232">
        <v>0</v>
      </c>
      <c r="L5232">
        <v>0</v>
      </c>
    </row>
    <row r="5233" spans="1:12" x14ac:dyDescent="0.3">
      <c r="A5233" t="s">
        <v>5249</v>
      </c>
      <c r="B5233" t="s">
        <v>17</v>
      </c>
      <c r="C5233">
        <v>3998</v>
      </c>
      <c r="D5233">
        <v>63.97</v>
      </c>
      <c r="E5233">
        <v>11.51</v>
      </c>
      <c r="F5233">
        <f>COUNTIFS(mdr_rate_cleaned!$A$2:$A$10,B5233,mdr_rate_cleaned!$B$2:$B$10,"&lt;"&amp;C5233,mdr_rate_cleaned!$F$2:$F$10,"&gt;="&amp;C5233)</f>
        <v>1</v>
      </c>
      <c r="G5233">
        <v>1.6E-2</v>
      </c>
      <c r="H5233">
        <v>63.97</v>
      </c>
      <c r="I5233" t="s">
        <v>15</v>
      </c>
      <c r="J5233" t="s">
        <v>15</v>
      </c>
      <c r="K5233">
        <v>11.51</v>
      </c>
      <c r="L5233">
        <v>0</v>
      </c>
    </row>
    <row r="5234" spans="1:12" x14ac:dyDescent="0.3">
      <c r="A5234" t="s">
        <v>5250</v>
      </c>
      <c r="B5234" t="s">
        <v>21</v>
      </c>
      <c r="C5234">
        <v>599</v>
      </c>
      <c r="D5234">
        <v>0</v>
      </c>
      <c r="E5234">
        <v>0</v>
      </c>
      <c r="F5234">
        <f>COUNTIFS(mdr_rate_cleaned!$A$2:$A$10,B5234,mdr_rate_cleaned!$B$2:$B$10,"&lt;"&amp;C5234,mdr_rate_cleaned!$F$2:$F$10,"&gt;="&amp;C5234)</f>
        <v>1</v>
      </c>
      <c r="G5234">
        <v>0</v>
      </c>
      <c r="H5234">
        <v>0</v>
      </c>
      <c r="I5234" t="s">
        <v>15</v>
      </c>
      <c r="J5234" t="s">
        <v>15</v>
      </c>
      <c r="K5234">
        <v>0</v>
      </c>
      <c r="L5234">
        <v>0</v>
      </c>
    </row>
    <row r="5235" spans="1:12" x14ac:dyDescent="0.3">
      <c r="A5235" t="s">
        <v>5251</v>
      </c>
      <c r="B5235" t="s">
        <v>13</v>
      </c>
      <c r="C5235">
        <v>799</v>
      </c>
      <c r="D5235">
        <v>15.18</v>
      </c>
      <c r="E5235">
        <v>2.73</v>
      </c>
      <c r="F5235">
        <f>COUNTIFS(mdr_rate_cleaned!$A$2:$A$10,B5235,mdr_rate_cleaned!$B$2:$B$10,"&lt;"&amp;C5235,mdr_rate_cleaned!$F$2:$F$10,"&gt;="&amp;C5235)</f>
        <v>1</v>
      </c>
      <c r="G5235">
        <v>1.9E-2</v>
      </c>
      <c r="H5235">
        <v>15.18</v>
      </c>
      <c r="I5235" t="s">
        <v>15</v>
      </c>
      <c r="J5235" t="s">
        <v>15</v>
      </c>
      <c r="K5235">
        <v>2.73</v>
      </c>
      <c r="L5235">
        <v>0</v>
      </c>
    </row>
    <row r="5236" spans="1:12" x14ac:dyDescent="0.3">
      <c r="A5236" t="s">
        <v>5252</v>
      </c>
      <c r="B5236" t="s">
        <v>17</v>
      </c>
      <c r="C5236">
        <v>1299</v>
      </c>
      <c r="D5236">
        <v>23.38</v>
      </c>
      <c r="E5236">
        <v>4.21</v>
      </c>
      <c r="F5236">
        <f>COUNTIFS(mdr_rate_cleaned!$A$2:$A$10,B5236,mdr_rate_cleaned!$B$2:$B$10,"&lt;"&amp;C5236,mdr_rate_cleaned!$F$2:$F$10,"&gt;="&amp;C5236)</f>
        <v>1</v>
      </c>
      <c r="G5236">
        <v>1.7999999999999999E-2</v>
      </c>
      <c r="H5236">
        <v>23.38</v>
      </c>
      <c r="I5236" t="s">
        <v>15</v>
      </c>
      <c r="J5236" t="s">
        <v>15</v>
      </c>
      <c r="K5236">
        <v>4.21</v>
      </c>
      <c r="L5236">
        <v>0</v>
      </c>
    </row>
    <row r="5237" spans="1:12" x14ac:dyDescent="0.3">
      <c r="A5237" t="s">
        <v>5253</v>
      </c>
      <c r="B5237" t="s">
        <v>39</v>
      </c>
      <c r="C5237">
        <v>499</v>
      </c>
      <c r="D5237">
        <v>7.49</v>
      </c>
      <c r="E5237">
        <v>1.35</v>
      </c>
      <c r="F5237">
        <f>COUNTIFS(mdr_rate_cleaned!$A$2:$A$10,B5237,mdr_rate_cleaned!$B$2:$B$10,"&lt;"&amp;C5237,mdr_rate_cleaned!$F$2:$F$10,"&gt;="&amp;C5237)</f>
        <v>1</v>
      </c>
      <c r="G5237">
        <v>1.4999999999999999E-2</v>
      </c>
      <c r="H5237">
        <v>7.49</v>
      </c>
      <c r="I5237" t="s">
        <v>15</v>
      </c>
      <c r="J5237" t="s">
        <v>15</v>
      </c>
      <c r="K5237">
        <v>1.35</v>
      </c>
      <c r="L5237">
        <v>0</v>
      </c>
    </row>
    <row r="5238" spans="1:12" x14ac:dyDescent="0.3">
      <c r="A5238" t="s">
        <v>5254</v>
      </c>
      <c r="B5238" t="s">
        <v>21</v>
      </c>
      <c r="C5238">
        <v>14497</v>
      </c>
      <c r="D5238">
        <v>43.49</v>
      </c>
      <c r="E5238">
        <v>7.83</v>
      </c>
      <c r="F5238">
        <f>COUNTIFS(mdr_rate_cleaned!$A$2:$A$10,B5238,mdr_rate_cleaned!$B$2:$B$10,"&lt;"&amp;C5238,mdr_rate_cleaned!$F$2:$F$10,"&gt;="&amp;C5238)</f>
        <v>1</v>
      </c>
      <c r="G5238">
        <v>3.0000000000000001E-3</v>
      </c>
      <c r="H5238">
        <v>43.49</v>
      </c>
      <c r="I5238" t="s">
        <v>15</v>
      </c>
      <c r="J5238" t="s">
        <v>15</v>
      </c>
      <c r="K5238">
        <v>7.83</v>
      </c>
      <c r="L5238">
        <v>0</v>
      </c>
    </row>
    <row r="5239" spans="1:12" x14ac:dyDescent="0.3">
      <c r="A5239" t="s">
        <v>5255</v>
      </c>
      <c r="B5239" t="s">
        <v>13</v>
      </c>
      <c r="C5239">
        <v>2998</v>
      </c>
      <c r="D5239">
        <v>50.97</v>
      </c>
      <c r="E5239">
        <v>9.17</v>
      </c>
      <c r="F5239">
        <f>COUNTIFS(mdr_rate_cleaned!$A$2:$A$10,B5239,mdr_rate_cleaned!$B$2:$B$10,"&lt;"&amp;C5239,mdr_rate_cleaned!$F$2:$F$10,"&gt;="&amp;C5239)</f>
        <v>1</v>
      </c>
      <c r="G5239">
        <v>1.7000000000000001E-2</v>
      </c>
      <c r="H5239">
        <v>50.97</v>
      </c>
      <c r="I5239" t="s">
        <v>15</v>
      </c>
      <c r="J5239" t="s">
        <v>15</v>
      </c>
      <c r="K5239">
        <v>9.17</v>
      </c>
      <c r="L5239">
        <v>0</v>
      </c>
    </row>
    <row r="5240" spans="1:12" x14ac:dyDescent="0.3">
      <c r="A5240" t="s">
        <v>5256</v>
      </c>
      <c r="B5240" t="s">
        <v>17</v>
      </c>
      <c r="C5240">
        <v>1298</v>
      </c>
      <c r="D5240">
        <v>23.36</v>
      </c>
      <c r="E5240">
        <v>4.2</v>
      </c>
      <c r="F5240">
        <f>COUNTIFS(mdr_rate_cleaned!$A$2:$A$10,B5240,mdr_rate_cleaned!$B$2:$B$10,"&lt;"&amp;C5240,mdr_rate_cleaned!$F$2:$F$10,"&gt;="&amp;C5240)</f>
        <v>1</v>
      </c>
      <c r="G5240">
        <v>1.7999999999999999E-2</v>
      </c>
      <c r="H5240">
        <v>23.36</v>
      </c>
      <c r="I5240" t="s">
        <v>15</v>
      </c>
      <c r="J5240" t="s">
        <v>15</v>
      </c>
      <c r="K5240">
        <v>4.2</v>
      </c>
      <c r="L5240">
        <v>0</v>
      </c>
    </row>
    <row r="5241" spans="1:12" x14ac:dyDescent="0.3">
      <c r="A5241" t="s">
        <v>5257</v>
      </c>
      <c r="B5241" t="s">
        <v>39</v>
      </c>
      <c r="C5241">
        <v>7297</v>
      </c>
      <c r="D5241">
        <v>87.56</v>
      </c>
      <c r="E5241">
        <v>15.76</v>
      </c>
      <c r="F5241">
        <f>COUNTIFS(mdr_rate_cleaned!$A$2:$A$10,B5241,mdr_rate_cleaned!$B$2:$B$10,"&lt;"&amp;C5241,mdr_rate_cleaned!$F$2:$F$10,"&gt;="&amp;C5241)</f>
        <v>1</v>
      </c>
      <c r="G5241">
        <v>1.2E-2</v>
      </c>
      <c r="H5241">
        <v>87.56</v>
      </c>
      <c r="I5241" t="s">
        <v>15</v>
      </c>
      <c r="J5241" t="s">
        <v>15</v>
      </c>
      <c r="K5241">
        <v>15.76</v>
      </c>
      <c r="L5241">
        <v>0</v>
      </c>
    </row>
    <row r="5242" spans="1:12" x14ac:dyDescent="0.3">
      <c r="A5242" t="s">
        <v>5258</v>
      </c>
      <c r="B5242" t="s">
        <v>21</v>
      </c>
      <c r="C5242">
        <v>6498</v>
      </c>
      <c r="D5242">
        <v>19.489999999999998</v>
      </c>
      <c r="E5242">
        <v>3.51</v>
      </c>
      <c r="F5242">
        <f>COUNTIFS(mdr_rate_cleaned!$A$2:$A$10,B5242,mdr_rate_cleaned!$B$2:$B$10,"&lt;"&amp;C5242,mdr_rate_cleaned!$F$2:$F$10,"&gt;="&amp;C5242)</f>
        <v>1</v>
      </c>
      <c r="G5242">
        <v>3.0000000000000001E-3</v>
      </c>
      <c r="H5242">
        <v>19.489999999999998</v>
      </c>
      <c r="I5242" t="s">
        <v>15</v>
      </c>
      <c r="J5242" t="s">
        <v>15</v>
      </c>
      <c r="K5242">
        <v>3.51</v>
      </c>
      <c r="L5242">
        <v>0</v>
      </c>
    </row>
    <row r="5243" spans="1:12" x14ac:dyDescent="0.3">
      <c r="A5243" t="s">
        <v>5259</v>
      </c>
      <c r="B5243" t="s">
        <v>21</v>
      </c>
      <c r="C5243">
        <v>499</v>
      </c>
      <c r="D5243">
        <v>0</v>
      </c>
      <c r="E5243">
        <v>0</v>
      </c>
      <c r="F5243">
        <f>COUNTIFS(mdr_rate_cleaned!$A$2:$A$10,B5243,mdr_rate_cleaned!$B$2:$B$10,"&lt;"&amp;C5243,mdr_rate_cleaned!$F$2:$F$10,"&gt;="&amp;C5243)</f>
        <v>1</v>
      </c>
      <c r="G5243">
        <v>0</v>
      </c>
      <c r="H5243">
        <v>0</v>
      </c>
      <c r="I5243" t="s">
        <v>15</v>
      </c>
      <c r="J5243" t="s">
        <v>15</v>
      </c>
      <c r="K5243">
        <v>0</v>
      </c>
      <c r="L5243">
        <v>0</v>
      </c>
    </row>
    <row r="5244" spans="1:12" x14ac:dyDescent="0.3">
      <c r="A5244" t="s">
        <v>5260</v>
      </c>
      <c r="B5244" t="s">
        <v>17</v>
      </c>
      <c r="C5244">
        <v>1798</v>
      </c>
      <c r="D5244">
        <v>32.36</v>
      </c>
      <c r="E5244">
        <v>5.82</v>
      </c>
      <c r="F5244">
        <f>COUNTIFS(mdr_rate_cleaned!$A$2:$A$10,B5244,mdr_rate_cleaned!$B$2:$B$10,"&lt;"&amp;C5244,mdr_rate_cleaned!$F$2:$F$10,"&gt;="&amp;C5244)</f>
        <v>1</v>
      </c>
      <c r="G5244">
        <v>1.7999999999999999E-2</v>
      </c>
      <c r="H5244">
        <v>32.36</v>
      </c>
      <c r="I5244" t="s">
        <v>15</v>
      </c>
      <c r="J5244" t="s">
        <v>15</v>
      </c>
      <c r="K5244">
        <v>5.82</v>
      </c>
      <c r="L5244">
        <v>0</v>
      </c>
    </row>
    <row r="5245" spans="1:12" x14ac:dyDescent="0.3">
      <c r="A5245" t="s">
        <v>5261</v>
      </c>
      <c r="B5245" t="s">
        <v>13</v>
      </c>
      <c r="C5245">
        <v>848</v>
      </c>
      <c r="D5245">
        <v>16.11</v>
      </c>
      <c r="E5245">
        <v>2.9</v>
      </c>
      <c r="F5245">
        <f>COUNTIFS(mdr_rate_cleaned!$A$2:$A$10,B5245,mdr_rate_cleaned!$B$2:$B$10,"&lt;"&amp;C5245,mdr_rate_cleaned!$F$2:$F$10,"&gt;="&amp;C5245)</f>
        <v>1</v>
      </c>
      <c r="G5245">
        <v>1.9E-2</v>
      </c>
      <c r="H5245">
        <v>16.11</v>
      </c>
      <c r="I5245" t="s">
        <v>15</v>
      </c>
      <c r="J5245" t="s">
        <v>15</v>
      </c>
      <c r="K5245">
        <v>2.9</v>
      </c>
      <c r="L5245">
        <v>0</v>
      </c>
    </row>
    <row r="5246" spans="1:12" x14ac:dyDescent="0.3">
      <c r="A5246" t="s">
        <v>5262</v>
      </c>
      <c r="B5246" t="s">
        <v>21</v>
      </c>
      <c r="C5246">
        <v>3298</v>
      </c>
      <c r="D5246">
        <v>9.89</v>
      </c>
      <c r="E5246">
        <v>1.78</v>
      </c>
      <c r="F5246">
        <f>COUNTIFS(mdr_rate_cleaned!$A$2:$A$10,B5246,mdr_rate_cleaned!$B$2:$B$10,"&lt;"&amp;C5246,mdr_rate_cleaned!$F$2:$F$10,"&gt;="&amp;C5246)</f>
        <v>1</v>
      </c>
      <c r="G5246">
        <v>3.0000000000000001E-3</v>
      </c>
      <c r="H5246">
        <v>9.89</v>
      </c>
      <c r="I5246" t="s">
        <v>15</v>
      </c>
      <c r="J5246" t="s">
        <v>15</v>
      </c>
      <c r="K5246">
        <v>1.78</v>
      </c>
      <c r="L5246">
        <v>0</v>
      </c>
    </row>
    <row r="5247" spans="1:12" x14ac:dyDescent="0.3">
      <c r="A5247" t="s">
        <v>5263</v>
      </c>
      <c r="B5247" t="s">
        <v>21</v>
      </c>
      <c r="C5247">
        <v>7999</v>
      </c>
      <c r="D5247">
        <v>24</v>
      </c>
      <c r="E5247">
        <v>4.32</v>
      </c>
      <c r="F5247">
        <f>COUNTIFS(mdr_rate_cleaned!$A$2:$A$10,B5247,mdr_rate_cleaned!$B$2:$B$10,"&lt;"&amp;C5247,mdr_rate_cleaned!$F$2:$F$10,"&gt;="&amp;C5247)</f>
        <v>1</v>
      </c>
      <c r="G5247">
        <v>3.0000000000000001E-3</v>
      </c>
      <c r="H5247">
        <v>24</v>
      </c>
      <c r="I5247" t="s">
        <v>15</v>
      </c>
      <c r="J5247" t="s">
        <v>15</v>
      </c>
      <c r="K5247">
        <v>4.32</v>
      </c>
      <c r="L5247">
        <v>0</v>
      </c>
    </row>
    <row r="5248" spans="1:12" x14ac:dyDescent="0.3">
      <c r="A5248" t="s">
        <v>5264</v>
      </c>
      <c r="B5248" t="s">
        <v>21</v>
      </c>
      <c r="C5248">
        <v>6297</v>
      </c>
      <c r="D5248">
        <v>18.89</v>
      </c>
      <c r="E5248">
        <v>3.4</v>
      </c>
      <c r="F5248">
        <f>COUNTIFS(mdr_rate_cleaned!$A$2:$A$10,B5248,mdr_rate_cleaned!$B$2:$B$10,"&lt;"&amp;C5248,mdr_rate_cleaned!$F$2:$F$10,"&gt;="&amp;C5248)</f>
        <v>1</v>
      </c>
      <c r="G5248">
        <v>3.0000000000000001E-3</v>
      </c>
      <c r="H5248">
        <v>18.89</v>
      </c>
      <c r="I5248" t="s">
        <v>15</v>
      </c>
      <c r="J5248" t="s">
        <v>15</v>
      </c>
      <c r="K5248">
        <v>3.4</v>
      </c>
      <c r="L5248">
        <v>0</v>
      </c>
    </row>
    <row r="5249" spans="1:12" x14ac:dyDescent="0.3">
      <c r="A5249" t="s">
        <v>5265</v>
      </c>
      <c r="B5249" t="s">
        <v>21</v>
      </c>
      <c r="C5249">
        <v>2499</v>
      </c>
      <c r="D5249">
        <v>7.5</v>
      </c>
      <c r="E5249">
        <v>1.35</v>
      </c>
      <c r="F5249">
        <f>COUNTIFS(mdr_rate_cleaned!$A$2:$A$10,B5249,mdr_rate_cleaned!$B$2:$B$10,"&lt;"&amp;C5249,mdr_rate_cleaned!$F$2:$F$10,"&gt;="&amp;C5249)</f>
        <v>1</v>
      </c>
      <c r="G5249">
        <v>3.0000000000000001E-3</v>
      </c>
      <c r="H5249">
        <v>7.5</v>
      </c>
      <c r="I5249" t="s">
        <v>15</v>
      </c>
      <c r="J5249" t="s">
        <v>15</v>
      </c>
      <c r="K5249">
        <v>1.35</v>
      </c>
      <c r="L5249">
        <v>0</v>
      </c>
    </row>
    <row r="5250" spans="1:12" x14ac:dyDescent="0.3">
      <c r="A5250" t="s">
        <v>5266</v>
      </c>
      <c r="B5250" t="s">
        <v>21</v>
      </c>
      <c r="C5250">
        <v>9797</v>
      </c>
      <c r="D5250">
        <v>29.39</v>
      </c>
      <c r="E5250">
        <v>5.29</v>
      </c>
      <c r="F5250">
        <f>COUNTIFS(mdr_rate_cleaned!$A$2:$A$10,B5250,mdr_rate_cleaned!$B$2:$B$10,"&lt;"&amp;C5250,mdr_rate_cleaned!$F$2:$F$10,"&gt;="&amp;C5250)</f>
        <v>1</v>
      </c>
      <c r="G5250">
        <v>3.0000000000000001E-3</v>
      </c>
      <c r="H5250">
        <v>29.39</v>
      </c>
      <c r="I5250" t="s">
        <v>15</v>
      </c>
      <c r="J5250" t="s">
        <v>15</v>
      </c>
      <c r="K5250">
        <v>5.29</v>
      </c>
      <c r="L5250">
        <v>0</v>
      </c>
    </row>
    <row r="5251" spans="1:12" x14ac:dyDescent="0.3">
      <c r="A5251" t="s">
        <v>5267</v>
      </c>
      <c r="B5251" t="s">
        <v>21</v>
      </c>
      <c r="C5251">
        <v>7999</v>
      </c>
      <c r="D5251">
        <v>24</v>
      </c>
      <c r="E5251">
        <v>4.32</v>
      </c>
      <c r="F5251">
        <f>COUNTIFS(mdr_rate_cleaned!$A$2:$A$10,B5251,mdr_rate_cleaned!$B$2:$B$10,"&lt;"&amp;C5251,mdr_rate_cleaned!$F$2:$F$10,"&gt;="&amp;C5251)</f>
        <v>1</v>
      </c>
      <c r="G5251">
        <v>3.0000000000000001E-3</v>
      </c>
      <c r="H5251">
        <v>24</v>
      </c>
      <c r="I5251" t="s">
        <v>15</v>
      </c>
      <c r="J5251" t="s">
        <v>15</v>
      </c>
      <c r="K5251">
        <v>4.32</v>
      </c>
      <c r="L5251">
        <v>0</v>
      </c>
    </row>
    <row r="5252" spans="1:12" x14ac:dyDescent="0.3">
      <c r="A5252" t="s">
        <v>5268</v>
      </c>
      <c r="B5252" t="s">
        <v>21</v>
      </c>
      <c r="C5252">
        <v>1798</v>
      </c>
      <c r="D5252">
        <v>0</v>
      </c>
      <c r="E5252">
        <v>0</v>
      </c>
      <c r="F5252">
        <f>COUNTIFS(mdr_rate_cleaned!$A$2:$A$10,B5252,mdr_rate_cleaned!$B$2:$B$10,"&lt;"&amp;C5252,mdr_rate_cleaned!$F$2:$F$10,"&gt;="&amp;C5252)</f>
        <v>1</v>
      </c>
      <c r="G5252">
        <v>0</v>
      </c>
      <c r="H5252">
        <v>0</v>
      </c>
      <c r="I5252" t="s">
        <v>15</v>
      </c>
      <c r="J5252" t="s">
        <v>15</v>
      </c>
      <c r="K5252">
        <v>0</v>
      </c>
      <c r="L5252">
        <v>0</v>
      </c>
    </row>
    <row r="5253" spans="1:12" x14ac:dyDescent="0.3">
      <c r="A5253" t="s">
        <v>5269</v>
      </c>
      <c r="B5253" t="s">
        <v>21</v>
      </c>
      <c r="C5253">
        <v>2998</v>
      </c>
      <c r="D5253">
        <v>8.99</v>
      </c>
      <c r="E5253">
        <v>1.62</v>
      </c>
      <c r="F5253">
        <f>COUNTIFS(mdr_rate_cleaned!$A$2:$A$10,B5253,mdr_rate_cleaned!$B$2:$B$10,"&lt;"&amp;C5253,mdr_rate_cleaned!$F$2:$F$10,"&gt;="&amp;C5253)</f>
        <v>1</v>
      </c>
      <c r="G5253">
        <v>3.0000000000000001E-3</v>
      </c>
      <c r="H5253">
        <v>8.99</v>
      </c>
      <c r="I5253" t="s">
        <v>15</v>
      </c>
      <c r="J5253" t="s">
        <v>15</v>
      </c>
      <c r="K5253">
        <v>1.62</v>
      </c>
      <c r="L5253">
        <v>0</v>
      </c>
    </row>
    <row r="5254" spans="1:12" x14ac:dyDescent="0.3">
      <c r="A5254" t="s">
        <v>5270</v>
      </c>
      <c r="B5254" t="s">
        <v>13</v>
      </c>
      <c r="C5254">
        <v>2499</v>
      </c>
      <c r="D5254">
        <v>42.48</v>
      </c>
      <c r="E5254">
        <v>7.65</v>
      </c>
      <c r="F5254">
        <f>COUNTIFS(mdr_rate_cleaned!$A$2:$A$10,B5254,mdr_rate_cleaned!$B$2:$B$10,"&lt;"&amp;C5254,mdr_rate_cleaned!$F$2:$F$10,"&gt;="&amp;C5254)</f>
        <v>1</v>
      </c>
      <c r="G5254">
        <v>1.7000000000000001E-2</v>
      </c>
      <c r="H5254">
        <v>42.48</v>
      </c>
      <c r="I5254" t="s">
        <v>15</v>
      </c>
      <c r="J5254" t="s">
        <v>15</v>
      </c>
      <c r="K5254">
        <v>7.65</v>
      </c>
      <c r="L5254">
        <v>0</v>
      </c>
    </row>
    <row r="5255" spans="1:12" x14ac:dyDescent="0.3">
      <c r="A5255" t="s">
        <v>5271</v>
      </c>
      <c r="B5255" t="s">
        <v>21</v>
      </c>
      <c r="C5255">
        <v>2897</v>
      </c>
      <c r="D5255">
        <v>8.69</v>
      </c>
      <c r="E5255">
        <v>1.56</v>
      </c>
      <c r="F5255">
        <f>COUNTIFS(mdr_rate_cleaned!$A$2:$A$10,B5255,mdr_rate_cleaned!$B$2:$B$10,"&lt;"&amp;C5255,mdr_rate_cleaned!$F$2:$F$10,"&gt;="&amp;C5255)</f>
        <v>1</v>
      </c>
      <c r="G5255">
        <v>3.0000000000000001E-3</v>
      </c>
      <c r="H5255">
        <v>8.69</v>
      </c>
      <c r="I5255" t="s">
        <v>15</v>
      </c>
      <c r="J5255" t="s">
        <v>15</v>
      </c>
      <c r="K5255">
        <v>1.56</v>
      </c>
      <c r="L5255">
        <v>0</v>
      </c>
    </row>
    <row r="5256" spans="1:12" x14ac:dyDescent="0.3">
      <c r="A5256" t="s">
        <v>5272</v>
      </c>
      <c r="B5256" t="s">
        <v>21</v>
      </c>
      <c r="C5256">
        <v>4798</v>
      </c>
      <c r="D5256">
        <v>14.39</v>
      </c>
      <c r="E5256">
        <v>2.59</v>
      </c>
      <c r="F5256">
        <f>COUNTIFS(mdr_rate_cleaned!$A$2:$A$10,B5256,mdr_rate_cleaned!$B$2:$B$10,"&lt;"&amp;C5256,mdr_rate_cleaned!$F$2:$F$10,"&gt;="&amp;C5256)</f>
        <v>1</v>
      </c>
      <c r="G5256">
        <v>3.0000000000000001E-3</v>
      </c>
      <c r="H5256">
        <v>14.39</v>
      </c>
      <c r="I5256" t="s">
        <v>15</v>
      </c>
      <c r="J5256" t="s">
        <v>15</v>
      </c>
      <c r="K5256">
        <v>2.59</v>
      </c>
      <c r="L5256">
        <v>0</v>
      </c>
    </row>
    <row r="5257" spans="1:12" x14ac:dyDescent="0.3">
      <c r="A5257" t="s">
        <v>5273</v>
      </c>
      <c r="B5257" t="s">
        <v>21</v>
      </c>
      <c r="C5257">
        <v>3798</v>
      </c>
      <c r="D5257">
        <v>11.39</v>
      </c>
      <c r="E5257">
        <v>2.0499999999999998</v>
      </c>
      <c r="F5257">
        <f>COUNTIFS(mdr_rate_cleaned!$A$2:$A$10,B5257,mdr_rate_cleaned!$B$2:$B$10,"&lt;"&amp;C5257,mdr_rate_cleaned!$F$2:$F$10,"&gt;="&amp;C5257)</f>
        <v>1</v>
      </c>
      <c r="G5257">
        <v>3.0000000000000001E-3</v>
      </c>
      <c r="H5257">
        <v>11.39</v>
      </c>
      <c r="I5257" t="s">
        <v>15</v>
      </c>
      <c r="J5257" t="s">
        <v>15</v>
      </c>
      <c r="K5257">
        <v>2.0499999999999998</v>
      </c>
      <c r="L5257">
        <v>0</v>
      </c>
    </row>
    <row r="5258" spans="1:12" x14ac:dyDescent="0.3">
      <c r="A5258" t="s">
        <v>5274</v>
      </c>
      <c r="B5258" t="s">
        <v>17</v>
      </c>
      <c r="C5258">
        <v>299</v>
      </c>
      <c r="D5258">
        <v>5.38</v>
      </c>
      <c r="E5258">
        <v>0.97</v>
      </c>
      <c r="F5258">
        <f>COUNTIFS(mdr_rate_cleaned!$A$2:$A$10,B5258,mdr_rate_cleaned!$B$2:$B$10,"&lt;"&amp;C5258,mdr_rate_cleaned!$F$2:$F$10,"&gt;="&amp;C5258)</f>
        <v>1</v>
      </c>
      <c r="G5258">
        <v>1.7999999999999999E-2</v>
      </c>
      <c r="H5258">
        <v>5.38</v>
      </c>
      <c r="I5258" t="s">
        <v>15</v>
      </c>
      <c r="J5258" t="s">
        <v>15</v>
      </c>
      <c r="K5258">
        <v>0.97</v>
      </c>
      <c r="L5258">
        <v>0</v>
      </c>
    </row>
    <row r="5259" spans="1:12" x14ac:dyDescent="0.3">
      <c r="A5259" t="s">
        <v>5275</v>
      </c>
      <c r="B5259" t="s">
        <v>21</v>
      </c>
      <c r="C5259">
        <v>6298</v>
      </c>
      <c r="D5259">
        <v>18.89</v>
      </c>
      <c r="E5259">
        <v>3.4</v>
      </c>
      <c r="F5259">
        <f>COUNTIFS(mdr_rate_cleaned!$A$2:$A$10,B5259,mdr_rate_cleaned!$B$2:$B$10,"&lt;"&amp;C5259,mdr_rate_cleaned!$F$2:$F$10,"&gt;="&amp;C5259)</f>
        <v>1</v>
      </c>
      <c r="G5259">
        <v>3.0000000000000001E-3</v>
      </c>
      <c r="H5259">
        <v>18.89</v>
      </c>
      <c r="I5259" t="s">
        <v>15</v>
      </c>
      <c r="J5259" t="s">
        <v>15</v>
      </c>
      <c r="K5259">
        <v>3.4</v>
      </c>
      <c r="L5259">
        <v>0</v>
      </c>
    </row>
    <row r="5260" spans="1:12" x14ac:dyDescent="0.3">
      <c r="A5260" t="s">
        <v>5276</v>
      </c>
      <c r="B5260" t="s">
        <v>13</v>
      </c>
      <c r="C5260">
        <v>3499</v>
      </c>
      <c r="D5260">
        <v>59.48</v>
      </c>
      <c r="E5260">
        <v>10.71</v>
      </c>
      <c r="F5260">
        <f>COUNTIFS(mdr_rate_cleaned!$A$2:$A$10,B5260,mdr_rate_cleaned!$B$2:$B$10,"&lt;"&amp;C5260,mdr_rate_cleaned!$F$2:$F$10,"&gt;="&amp;C5260)</f>
        <v>1</v>
      </c>
      <c r="G5260">
        <v>1.7000000000000001E-2</v>
      </c>
      <c r="H5260">
        <v>59.48</v>
      </c>
      <c r="I5260" t="s">
        <v>15</v>
      </c>
      <c r="J5260" t="s">
        <v>15</v>
      </c>
      <c r="K5260">
        <v>10.71</v>
      </c>
      <c r="L5260">
        <v>0</v>
      </c>
    </row>
    <row r="5261" spans="1:12" x14ac:dyDescent="0.3">
      <c r="A5261" t="s">
        <v>5277</v>
      </c>
      <c r="B5261" t="s">
        <v>17</v>
      </c>
      <c r="C5261">
        <v>2597</v>
      </c>
      <c r="D5261">
        <v>41.55</v>
      </c>
      <c r="E5261">
        <v>7.48</v>
      </c>
      <c r="F5261">
        <f>COUNTIFS(mdr_rate_cleaned!$A$2:$A$10,B5261,mdr_rate_cleaned!$B$2:$B$10,"&lt;"&amp;C5261,mdr_rate_cleaned!$F$2:$F$10,"&gt;="&amp;C5261)</f>
        <v>1</v>
      </c>
      <c r="G5261">
        <v>1.6E-2</v>
      </c>
      <c r="H5261">
        <v>41.55</v>
      </c>
      <c r="I5261" t="s">
        <v>15</v>
      </c>
      <c r="J5261" t="s">
        <v>15</v>
      </c>
      <c r="K5261">
        <v>7.48</v>
      </c>
      <c r="L5261">
        <v>0</v>
      </c>
    </row>
    <row r="5262" spans="1:12" x14ac:dyDescent="0.3">
      <c r="A5262" t="s">
        <v>5278</v>
      </c>
      <c r="B5262" t="s">
        <v>21</v>
      </c>
      <c r="C5262">
        <v>599</v>
      </c>
      <c r="D5262">
        <v>0</v>
      </c>
      <c r="E5262">
        <v>0</v>
      </c>
      <c r="F5262">
        <f>COUNTIFS(mdr_rate_cleaned!$A$2:$A$10,B5262,mdr_rate_cleaned!$B$2:$B$10,"&lt;"&amp;C5262,mdr_rate_cleaned!$F$2:$F$10,"&gt;="&amp;C5262)</f>
        <v>1</v>
      </c>
      <c r="G5262">
        <v>0</v>
      </c>
      <c r="H5262">
        <v>0</v>
      </c>
      <c r="I5262" t="s">
        <v>15</v>
      </c>
      <c r="J5262" t="s">
        <v>15</v>
      </c>
      <c r="K5262">
        <v>0</v>
      </c>
      <c r="L5262">
        <v>0</v>
      </c>
    </row>
    <row r="5263" spans="1:12" x14ac:dyDescent="0.3">
      <c r="A5263" t="s">
        <v>5279</v>
      </c>
      <c r="B5263" t="s">
        <v>17</v>
      </c>
      <c r="C5263">
        <v>1398</v>
      </c>
      <c r="D5263">
        <v>25.16</v>
      </c>
      <c r="E5263">
        <v>4.53</v>
      </c>
      <c r="F5263">
        <f>COUNTIFS(mdr_rate_cleaned!$A$2:$A$10,B5263,mdr_rate_cleaned!$B$2:$B$10,"&lt;"&amp;C5263,mdr_rate_cleaned!$F$2:$F$10,"&gt;="&amp;C5263)</f>
        <v>1</v>
      </c>
      <c r="G5263">
        <v>1.7999999999999999E-2</v>
      </c>
      <c r="H5263">
        <v>25.16</v>
      </c>
      <c r="I5263" t="s">
        <v>15</v>
      </c>
      <c r="J5263" t="s">
        <v>15</v>
      </c>
      <c r="K5263">
        <v>4.53</v>
      </c>
      <c r="L5263">
        <v>0</v>
      </c>
    </row>
    <row r="5264" spans="1:12" x14ac:dyDescent="0.3">
      <c r="A5264" t="s">
        <v>5280</v>
      </c>
      <c r="B5264" t="s">
        <v>21</v>
      </c>
      <c r="C5264">
        <v>2697</v>
      </c>
      <c r="D5264">
        <v>8.09</v>
      </c>
      <c r="E5264">
        <v>1.46</v>
      </c>
      <c r="F5264">
        <f>COUNTIFS(mdr_rate_cleaned!$A$2:$A$10,B5264,mdr_rate_cleaned!$B$2:$B$10,"&lt;"&amp;C5264,mdr_rate_cleaned!$F$2:$F$10,"&gt;="&amp;C5264)</f>
        <v>1</v>
      </c>
      <c r="G5264">
        <v>3.0000000000000001E-3</v>
      </c>
      <c r="H5264">
        <v>8.09</v>
      </c>
      <c r="I5264" t="s">
        <v>15</v>
      </c>
      <c r="J5264" t="s">
        <v>15</v>
      </c>
      <c r="K5264">
        <v>1.46</v>
      </c>
      <c r="L5264">
        <v>0</v>
      </c>
    </row>
    <row r="5265" spans="1:12" x14ac:dyDescent="0.3">
      <c r="A5265" t="s">
        <v>5281</v>
      </c>
      <c r="B5265" t="s">
        <v>21</v>
      </c>
      <c r="C5265">
        <v>5597</v>
      </c>
      <c r="D5265">
        <v>16.79</v>
      </c>
      <c r="E5265">
        <v>3.02</v>
      </c>
      <c r="F5265">
        <f>COUNTIFS(mdr_rate_cleaned!$A$2:$A$10,B5265,mdr_rate_cleaned!$B$2:$B$10,"&lt;"&amp;C5265,mdr_rate_cleaned!$F$2:$F$10,"&gt;="&amp;C5265)</f>
        <v>1</v>
      </c>
      <c r="G5265">
        <v>3.0000000000000001E-3</v>
      </c>
      <c r="H5265">
        <v>16.79</v>
      </c>
      <c r="I5265" t="s">
        <v>15</v>
      </c>
      <c r="J5265" t="s">
        <v>15</v>
      </c>
      <c r="K5265">
        <v>3.02</v>
      </c>
      <c r="L5265">
        <v>0</v>
      </c>
    </row>
    <row r="5266" spans="1:12" x14ac:dyDescent="0.3">
      <c r="A5266" t="s">
        <v>5282</v>
      </c>
      <c r="B5266" t="s">
        <v>17</v>
      </c>
      <c r="C5266">
        <v>4798</v>
      </c>
      <c r="D5266">
        <v>76.77</v>
      </c>
      <c r="E5266">
        <v>13.82</v>
      </c>
      <c r="F5266">
        <f>COUNTIFS(mdr_rate_cleaned!$A$2:$A$10,B5266,mdr_rate_cleaned!$B$2:$B$10,"&lt;"&amp;C5266,mdr_rate_cleaned!$F$2:$F$10,"&gt;="&amp;C5266)</f>
        <v>1</v>
      </c>
      <c r="G5266">
        <v>1.6E-2</v>
      </c>
      <c r="H5266">
        <v>76.77</v>
      </c>
      <c r="I5266" t="s">
        <v>15</v>
      </c>
      <c r="J5266" t="s">
        <v>15</v>
      </c>
      <c r="K5266">
        <v>13.82</v>
      </c>
      <c r="L5266">
        <v>0</v>
      </c>
    </row>
    <row r="5267" spans="1:12" x14ac:dyDescent="0.3">
      <c r="A5267" t="s">
        <v>5283</v>
      </c>
      <c r="B5267" t="s">
        <v>17</v>
      </c>
      <c r="C5267">
        <v>7498</v>
      </c>
      <c r="D5267">
        <v>119.97</v>
      </c>
      <c r="E5267">
        <v>21.59</v>
      </c>
      <c r="F5267">
        <f>COUNTIFS(mdr_rate_cleaned!$A$2:$A$10,B5267,mdr_rate_cleaned!$B$2:$B$10,"&lt;"&amp;C5267,mdr_rate_cleaned!$F$2:$F$10,"&gt;="&amp;C5267)</f>
        <v>1</v>
      </c>
      <c r="G5267">
        <v>1.6E-2</v>
      </c>
      <c r="H5267">
        <v>119.97</v>
      </c>
      <c r="I5267" t="s">
        <v>15</v>
      </c>
      <c r="J5267" t="s">
        <v>15</v>
      </c>
      <c r="K5267">
        <v>21.59</v>
      </c>
      <c r="L5267">
        <v>0</v>
      </c>
    </row>
    <row r="5268" spans="1:12" x14ac:dyDescent="0.3">
      <c r="A5268" t="s">
        <v>5284</v>
      </c>
      <c r="B5268" t="s">
        <v>21</v>
      </c>
      <c r="C5268">
        <v>1998</v>
      </c>
      <c r="D5268">
        <v>0</v>
      </c>
      <c r="E5268">
        <v>0</v>
      </c>
      <c r="F5268">
        <f>COUNTIFS(mdr_rate_cleaned!$A$2:$A$10,B5268,mdr_rate_cleaned!$B$2:$B$10,"&lt;"&amp;C5268,mdr_rate_cleaned!$F$2:$F$10,"&gt;="&amp;C5268)</f>
        <v>1</v>
      </c>
      <c r="G5268">
        <v>0</v>
      </c>
      <c r="H5268">
        <v>0</v>
      </c>
      <c r="I5268" t="s">
        <v>15</v>
      </c>
      <c r="J5268" t="s">
        <v>15</v>
      </c>
      <c r="K5268">
        <v>0</v>
      </c>
      <c r="L5268">
        <v>0</v>
      </c>
    </row>
    <row r="5269" spans="1:12" x14ac:dyDescent="0.3">
      <c r="A5269" t="s">
        <v>5285</v>
      </c>
      <c r="B5269" t="s">
        <v>21</v>
      </c>
      <c r="C5269">
        <v>2499</v>
      </c>
      <c r="D5269">
        <v>7.5</v>
      </c>
      <c r="E5269">
        <v>1.35</v>
      </c>
      <c r="F5269">
        <f>COUNTIFS(mdr_rate_cleaned!$A$2:$A$10,B5269,mdr_rate_cleaned!$B$2:$B$10,"&lt;"&amp;C5269,mdr_rate_cleaned!$F$2:$F$10,"&gt;="&amp;C5269)</f>
        <v>1</v>
      </c>
      <c r="G5269">
        <v>3.0000000000000001E-3</v>
      </c>
      <c r="H5269">
        <v>7.5</v>
      </c>
      <c r="I5269" t="s">
        <v>15</v>
      </c>
      <c r="J5269" t="s">
        <v>15</v>
      </c>
      <c r="K5269">
        <v>1.35</v>
      </c>
      <c r="L5269">
        <v>0</v>
      </c>
    </row>
    <row r="5270" spans="1:12" x14ac:dyDescent="0.3">
      <c r="A5270" t="s">
        <v>5286</v>
      </c>
      <c r="B5270" t="s">
        <v>21</v>
      </c>
      <c r="C5270">
        <v>1447</v>
      </c>
      <c r="D5270">
        <v>0</v>
      </c>
      <c r="E5270">
        <v>0</v>
      </c>
      <c r="F5270">
        <f>COUNTIFS(mdr_rate_cleaned!$A$2:$A$10,B5270,mdr_rate_cleaned!$B$2:$B$10,"&lt;"&amp;C5270,mdr_rate_cleaned!$F$2:$F$10,"&gt;="&amp;C5270)</f>
        <v>1</v>
      </c>
      <c r="G5270">
        <v>0</v>
      </c>
      <c r="H5270">
        <v>0</v>
      </c>
      <c r="I5270" t="s">
        <v>15</v>
      </c>
      <c r="J5270" t="s">
        <v>15</v>
      </c>
      <c r="K5270">
        <v>0</v>
      </c>
      <c r="L5270">
        <v>0</v>
      </c>
    </row>
    <row r="5271" spans="1:12" x14ac:dyDescent="0.3">
      <c r="A5271" t="s">
        <v>5287</v>
      </c>
      <c r="B5271" t="s">
        <v>21</v>
      </c>
      <c r="C5271">
        <v>2999</v>
      </c>
      <c r="D5271">
        <v>9</v>
      </c>
      <c r="E5271">
        <v>1.62</v>
      </c>
      <c r="F5271">
        <f>COUNTIFS(mdr_rate_cleaned!$A$2:$A$10,B5271,mdr_rate_cleaned!$B$2:$B$10,"&lt;"&amp;C5271,mdr_rate_cleaned!$F$2:$F$10,"&gt;="&amp;C5271)</f>
        <v>1</v>
      </c>
      <c r="G5271">
        <v>3.0000000000000001E-3</v>
      </c>
      <c r="H5271">
        <v>9</v>
      </c>
      <c r="I5271" t="s">
        <v>15</v>
      </c>
      <c r="J5271" t="s">
        <v>15</v>
      </c>
      <c r="K5271">
        <v>1.62</v>
      </c>
      <c r="L5271">
        <v>0</v>
      </c>
    </row>
    <row r="5272" spans="1:12" x14ac:dyDescent="0.3">
      <c r="A5272" t="s">
        <v>5288</v>
      </c>
      <c r="B5272" t="s">
        <v>21</v>
      </c>
      <c r="C5272">
        <v>4999</v>
      </c>
      <c r="D5272">
        <v>15</v>
      </c>
      <c r="E5272">
        <v>2.7</v>
      </c>
      <c r="F5272">
        <f>COUNTIFS(mdr_rate_cleaned!$A$2:$A$10,B5272,mdr_rate_cleaned!$B$2:$B$10,"&lt;"&amp;C5272,mdr_rate_cleaned!$F$2:$F$10,"&gt;="&amp;C5272)</f>
        <v>1</v>
      </c>
      <c r="G5272">
        <v>3.0000000000000001E-3</v>
      </c>
      <c r="H5272">
        <v>15</v>
      </c>
      <c r="I5272" t="s">
        <v>15</v>
      </c>
      <c r="J5272" t="s">
        <v>15</v>
      </c>
      <c r="K5272">
        <v>2.7</v>
      </c>
      <c r="L5272">
        <v>0</v>
      </c>
    </row>
    <row r="5273" spans="1:12" x14ac:dyDescent="0.3">
      <c r="A5273" t="s">
        <v>5289</v>
      </c>
      <c r="B5273" t="s">
        <v>39</v>
      </c>
      <c r="C5273">
        <v>3298</v>
      </c>
      <c r="D5273">
        <v>39.58</v>
      </c>
      <c r="E5273">
        <v>7.12</v>
      </c>
      <c r="F5273">
        <f>COUNTIFS(mdr_rate_cleaned!$A$2:$A$10,B5273,mdr_rate_cleaned!$B$2:$B$10,"&lt;"&amp;C5273,mdr_rate_cleaned!$F$2:$F$10,"&gt;="&amp;C5273)</f>
        <v>1</v>
      </c>
      <c r="G5273">
        <v>1.2E-2</v>
      </c>
      <c r="H5273">
        <v>39.58</v>
      </c>
      <c r="I5273" t="s">
        <v>15</v>
      </c>
      <c r="J5273" t="s">
        <v>15</v>
      </c>
      <c r="K5273">
        <v>7.12</v>
      </c>
      <c r="L5273">
        <v>0</v>
      </c>
    </row>
    <row r="5274" spans="1:12" x14ac:dyDescent="0.3">
      <c r="A5274" t="s">
        <v>5290</v>
      </c>
      <c r="B5274" t="s">
        <v>13</v>
      </c>
      <c r="C5274">
        <v>13597</v>
      </c>
      <c r="D5274">
        <v>231.15</v>
      </c>
      <c r="E5274">
        <v>41.61</v>
      </c>
      <c r="F5274">
        <f>COUNTIFS(mdr_rate_cleaned!$A$2:$A$10,B5274,mdr_rate_cleaned!$B$2:$B$10,"&lt;"&amp;C5274,mdr_rate_cleaned!$F$2:$F$10,"&gt;="&amp;C5274)</f>
        <v>1</v>
      </c>
      <c r="G5274">
        <v>1.7000000000000001E-2</v>
      </c>
      <c r="H5274">
        <v>231.15</v>
      </c>
      <c r="I5274" t="s">
        <v>15</v>
      </c>
      <c r="J5274" t="s">
        <v>15</v>
      </c>
      <c r="K5274">
        <v>41.61</v>
      </c>
      <c r="L5274">
        <v>0</v>
      </c>
    </row>
    <row r="5275" spans="1:12" x14ac:dyDescent="0.3">
      <c r="A5275" t="s">
        <v>5291</v>
      </c>
      <c r="B5275" t="s">
        <v>21</v>
      </c>
      <c r="C5275">
        <v>349</v>
      </c>
      <c r="D5275">
        <v>0</v>
      </c>
      <c r="E5275">
        <v>0</v>
      </c>
      <c r="F5275">
        <f>COUNTIFS(mdr_rate_cleaned!$A$2:$A$10,B5275,mdr_rate_cleaned!$B$2:$B$10,"&lt;"&amp;C5275,mdr_rate_cleaned!$F$2:$F$10,"&gt;="&amp;C5275)</f>
        <v>1</v>
      </c>
      <c r="G5275">
        <v>0</v>
      </c>
      <c r="H5275">
        <v>0</v>
      </c>
      <c r="I5275" t="s">
        <v>15</v>
      </c>
      <c r="J5275" t="s">
        <v>15</v>
      </c>
      <c r="K5275">
        <v>0</v>
      </c>
      <c r="L5275">
        <v>0</v>
      </c>
    </row>
    <row r="5276" spans="1:12" x14ac:dyDescent="0.3">
      <c r="A5276" t="s">
        <v>5292</v>
      </c>
      <c r="B5276" t="s">
        <v>17</v>
      </c>
      <c r="C5276">
        <v>1299</v>
      </c>
      <c r="D5276">
        <v>23.38</v>
      </c>
      <c r="E5276">
        <v>4.21</v>
      </c>
      <c r="F5276">
        <f>COUNTIFS(mdr_rate_cleaned!$A$2:$A$10,B5276,mdr_rate_cleaned!$B$2:$B$10,"&lt;"&amp;C5276,mdr_rate_cleaned!$F$2:$F$10,"&gt;="&amp;C5276)</f>
        <v>1</v>
      </c>
      <c r="G5276">
        <v>1.7999999999999999E-2</v>
      </c>
      <c r="H5276">
        <v>23.38</v>
      </c>
      <c r="I5276" t="s">
        <v>15</v>
      </c>
      <c r="J5276" t="s">
        <v>15</v>
      </c>
      <c r="K5276">
        <v>4.21</v>
      </c>
      <c r="L5276">
        <v>0</v>
      </c>
    </row>
    <row r="5277" spans="1:12" x14ac:dyDescent="0.3">
      <c r="A5277" t="s">
        <v>5293</v>
      </c>
      <c r="B5277" t="s">
        <v>21</v>
      </c>
      <c r="C5277">
        <v>2499</v>
      </c>
      <c r="D5277">
        <v>7.5</v>
      </c>
      <c r="E5277">
        <v>1.35</v>
      </c>
      <c r="F5277">
        <f>COUNTIFS(mdr_rate_cleaned!$A$2:$A$10,B5277,mdr_rate_cleaned!$B$2:$B$10,"&lt;"&amp;C5277,mdr_rate_cleaned!$F$2:$F$10,"&gt;="&amp;C5277)</f>
        <v>1</v>
      </c>
      <c r="G5277">
        <v>3.0000000000000001E-3</v>
      </c>
      <c r="H5277">
        <v>7.5</v>
      </c>
      <c r="I5277" t="s">
        <v>15</v>
      </c>
      <c r="J5277" t="s">
        <v>15</v>
      </c>
      <c r="K5277">
        <v>1.35</v>
      </c>
      <c r="L5277">
        <v>0</v>
      </c>
    </row>
    <row r="5278" spans="1:12" x14ac:dyDescent="0.3">
      <c r="A5278" t="s">
        <v>5294</v>
      </c>
      <c r="B5278" t="s">
        <v>13</v>
      </c>
      <c r="C5278">
        <v>1499</v>
      </c>
      <c r="D5278">
        <v>28.48</v>
      </c>
      <c r="E5278">
        <v>5.13</v>
      </c>
      <c r="F5278">
        <f>COUNTIFS(mdr_rate_cleaned!$A$2:$A$10,B5278,mdr_rate_cleaned!$B$2:$B$10,"&lt;"&amp;C5278,mdr_rate_cleaned!$F$2:$F$10,"&gt;="&amp;C5278)</f>
        <v>1</v>
      </c>
      <c r="G5278">
        <v>1.9E-2</v>
      </c>
      <c r="H5278">
        <v>28.48</v>
      </c>
      <c r="I5278" t="s">
        <v>15</v>
      </c>
      <c r="J5278" t="s">
        <v>15</v>
      </c>
      <c r="K5278">
        <v>5.13</v>
      </c>
      <c r="L5278">
        <v>0</v>
      </c>
    </row>
    <row r="5279" spans="1:12" x14ac:dyDescent="0.3">
      <c r="A5279" t="s">
        <v>5295</v>
      </c>
      <c r="B5279" t="s">
        <v>21</v>
      </c>
      <c r="C5279">
        <v>4097</v>
      </c>
      <c r="D5279">
        <v>12.29</v>
      </c>
      <c r="E5279">
        <v>2.21</v>
      </c>
      <c r="F5279">
        <f>COUNTIFS(mdr_rate_cleaned!$A$2:$A$10,B5279,mdr_rate_cleaned!$B$2:$B$10,"&lt;"&amp;C5279,mdr_rate_cleaned!$F$2:$F$10,"&gt;="&amp;C5279)</f>
        <v>1</v>
      </c>
      <c r="G5279">
        <v>3.0000000000000001E-3</v>
      </c>
      <c r="H5279">
        <v>12.29</v>
      </c>
      <c r="I5279" t="s">
        <v>15</v>
      </c>
      <c r="J5279" t="s">
        <v>15</v>
      </c>
      <c r="K5279">
        <v>2.21</v>
      </c>
      <c r="L5279">
        <v>0</v>
      </c>
    </row>
    <row r="5280" spans="1:12" x14ac:dyDescent="0.3">
      <c r="A5280" t="s">
        <v>5296</v>
      </c>
      <c r="B5280" t="s">
        <v>21</v>
      </c>
      <c r="C5280">
        <v>11797</v>
      </c>
      <c r="D5280">
        <v>35.39</v>
      </c>
      <c r="E5280">
        <v>6.37</v>
      </c>
      <c r="F5280">
        <f>COUNTIFS(mdr_rate_cleaned!$A$2:$A$10,B5280,mdr_rate_cleaned!$B$2:$B$10,"&lt;"&amp;C5280,mdr_rate_cleaned!$F$2:$F$10,"&gt;="&amp;C5280)</f>
        <v>1</v>
      </c>
      <c r="G5280">
        <v>3.0000000000000001E-3</v>
      </c>
      <c r="H5280">
        <v>35.39</v>
      </c>
      <c r="I5280" t="s">
        <v>15</v>
      </c>
      <c r="J5280" t="s">
        <v>15</v>
      </c>
      <c r="K5280">
        <v>6.37</v>
      </c>
      <c r="L5280">
        <v>0</v>
      </c>
    </row>
    <row r="5281" spans="1:12" x14ac:dyDescent="0.3">
      <c r="A5281" t="s">
        <v>5297</v>
      </c>
      <c r="B5281" t="s">
        <v>13</v>
      </c>
      <c r="C5281">
        <v>499</v>
      </c>
      <c r="D5281">
        <v>9.48</v>
      </c>
      <c r="E5281">
        <v>1.71</v>
      </c>
      <c r="F5281">
        <f>COUNTIFS(mdr_rate_cleaned!$A$2:$A$10,B5281,mdr_rate_cleaned!$B$2:$B$10,"&lt;"&amp;C5281,mdr_rate_cleaned!$F$2:$F$10,"&gt;="&amp;C5281)</f>
        <v>1</v>
      </c>
      <c r="G5281">
        <v>1.9E-2</v>
      </c>
      <c r="H5281">
        <v>9.48</v>
      </c>
      <c r="I5281" t="s">
        <v>15</v>
      </c>
      <c r="J5281" t="s">
        <v>15</v>
      </c>
      <c r="K5281">
        <v>1.71</v>
      </c>
      <c r="L5281">
        <v>0</v>
      </c>
    </row>
    <row r="5282" spans="1:12" x14ac:dyDescent="0.3">
      <c r="A5282" t="s">
        <v>5298</v>
      </c>
      <c r="B5282" t="s">
        <v>13</v>
      </c>
      <c r="C5282">
        <v>7297</v>
      </c>
      <c r="D5282">
        <v>124.05</v>
      </c>
      <c r="E5282">
        <v>22.33</v>
      </c>
      <c r="F5282">
        <f>COUNTIFS(mdr_rate_cleaned!$A$2:$A$10,B5282,mdr_rate_cleaned!$B$2:$B$10,"&lt;"&amp;C5282,mdr_rate_cleaned!$F$2:$F$10,"&gt;="&amp;C5282)</f>
        <v>1</v>
      </c>
      <c r="G5282">
        <v>1.7000000000000001E-2</v>
      </c>
      <c r="H5282">
        <v>124.05</v>
      </c>
      <c r="I5282" t="s">
        <v>15</v>
      </c>
      <c r="J5282" t="s">
        <v>15</v>
      </c>
      <c r="K5282">
        <v>22.33</v>
      </c>
      <c r="L5282">
        <v>0</v>
      </c>
    </row>
    <row r="5283" spans="1:12" x14ac:dyDescent="0.3">
      <c r="A5283" t="s">
        <v>5299</v>
      </c>
      <c r="B5283" t="s">
        <v>39</v>
      </c>
      <c r="C5283">
        <v>11498</v>
      </c>
      <c r="D5283">
        <v>103.48</v>
      </c>
      <c r="E5283">
        <v>18.63</v>
      </c>
      <c r="F5283">
        <f>COUNTIFS(mdr_rate_cleaned!$A$2:$A$10,B5283,mdr_rate_cleaned!$B$2:$B$10,"&lt;"&amp;C5283,mdr_rate_cleaned!$F$2:$F$10,"&gt;="&amp;C5283)</f>
        <v>1</v>
      </c>
      <c r="G5283">
        <v>8.9999999999999993E-3</v>
      </c>
      <c r="H5283">
        <v>103.48</v>
      </c>
      <c r="I5283" t="s">
        <v>15</v>
      </c>
      <c r="J5283" t="s">
        <v>15</v>
      </c>
      <c r="K5283">
        <v>18.63</v>
      </c>
      <c r="L5283">
        <v>0</v>
      </c>
    </row>
    <row r="5284" spans="1:12" x14ac:dyDescent="0.3">
      <c r="A5284" t="s">
        <v>5300</v>
      </c>
      <c r="B5284" t="s">
        <v>21</v>
      </c>
      <c r="C5284">
        <v>2798</v>
      </c>
      <c r="D5284">
        <v>8.39</v>
      </c>
      <c r="E5284">
        <v>1.51</v>
      </c>
      <c r="F5284">
        <f>COUNTIFS(mdr_rate_cleaned!$A$2:$A$10,B5284,mdr_rate_cleaned!$B$2:$B$10,"&lt;"&amp;C5284,mdr_rate_cleaned!$F$2:$F$10,"&gt;="&amp;C5284)</f>
        <v>1</v>
      </c>
      <c r="G5284">
        <v>3.0000000000000001E-3</v>
      </c>
      <c r="H5284">
        <v>8.39</v>
      </c>
      <c r="I5284" t="s">
        <v>15</v>
      </c>
      <c r="J5284" t="s">
        <v>15</v>
      </c>
      <c r="K5284">
        <v>1.51</v>
      </c>
      <c r="L5284">
        <v>0</v>
      </c>
    </row>
    <row r="5285" spans="1:12" x14ac:dyDescent="0.3">
      <c r="A5285" t="s">
        <v>5301</v>
      </c>
      <c r="B5285" t="s">
        <v>21</v>
      </c>
      <c r="C5285">
        <v>3097</v>
      </c>
      <c r="D5285">
        <v>9.2899999999999991</v>
      </c>
      <c r="E5285">
        <v>1.67</v>
      </c>
      <c r="F5285">
        <f>COUNTIFS(mdr_rate_cleaned!$A$2:$A$10,B5285,mdr_rate_cleaned!$B$2:$B$10,"&lt;"&amp;C5285,mdr_rate_cleaned!$F$2:$F$10,"&gt;="&amp;C5285)</f>
        <v>1</v>
      </c>
      <c r="G5285">
        <v>3.0000000000000001E-3</v>
      </c>
      <c r="H5285">
        <v>9.2899999999999991</v>
      </c>
      <c r="I5285" t="s">
        <v>15</v>
      </c>
      <c r="J5285" t="s">
        <v>15</v>
      </c>
      <c r="K5285">
        <v>1.67</v>
      </c>
      <c r="L5285">
        <v>0</v>
      </c>
    </row>
    <row r="5286" spans="1:12" x14ac:dyDescent="0.3">
      <c r="A5286" t="s">
        <v>5302</v>
      </c>
      <c r="B5286" t="s">
        <v>21</v>
      </c>
      <c r="C5286">
        <v>2598</v>
      </c>
      <c r="D5286">
        <v>7.79</v>
      </c>
      <c r="E5286">
        <v>1.4</v>
      </c>
      <c r="F5286">
        <f>COUNTIFS(mdr_rate_cleaned!$A$2:$A$10,B5286,mdr_rate_cleaned!$B$2:$B$10,"&lt;"&amp;C5286,mdr_rate_cleaned!$F$2:$F$10,"&gt;="&amp;C5286)</f>
        <v>1</v>
      </c>
      <c r="G5286">
        <v>3.0000000000000001E-3</v>
      </c>
      <c r="H5286">
        <v>7.79</v>
      </c>
      <c r="I5286" t="s">
        <v>15</v>
      </c>
      <c r="J5286" t="s">
        <v>15</v>
      </c>
      <c r="K5286">
        <v>1.4</v>
      </c>
      <c r="L5286">
        <v>0</v>
      </c>
    </row>
    <row r="5287" spans="1:12" x14ac:dyDescent="0.3">
      <c r="A5287" t="s">
        <v>5303</v>
      </c>
      <c r="B5287" t="s">
        <v>21</v>
      </c>
      <c r="C5287">
        <v>349</v>
      </c>
      <c r="D5287">
        <v>0</v>
      </c>
      <c r="E5287">
        <v>0</v>
      </c>
      <c r="F5287">
        <f>COUNTIFS(mdr_rate_cleaned!$A$2:$A$10,B5287,mdr_rate_cleaned!$B$2:$B$10,"&lt;"&amp;C5287,mdr_rate_cleaned!$F$2:$F$10,"&gt;="&amp;C5287)</f>
        <v>1</v>
      </c>
      <c r="G5287">
        <v>0</v>
      </c>
      <c r="H5287">
        <v>0</v>
      </c>
      <c r="I5287" t="s">
        <v>15</v>
      </c>
      <c r="J5287" t="s">
        <v>15</v>
      </c>
      <c r="K5287">
        <v>0</v>
      </c>
      <c r="L5287">
        <v>0</v>
      </c>
    </row>
    <row r="5288" spans="1:12" x14ac:dyDescent="0.3">
      <c r="A5288" t="s">
        <v>5304</v>
      </c>
      <c r="B5288" t="s">
        <v>17</v>
      </c>
      <c r="C5288">
        <v>4098</v>
      </c>
      <c r="D5288">
        <v>65.569999999999993</v>
      </c>
      <c r="E5288">
        <v>11.8</v>
      </c>
      <c r="F5288">
        <f>COUNTIFS(mdr_rate_cleaned!$A$2:$A$10,B5288,mdr_rate_cleaned!$B$2:$B$10,"&lt;"&amp;C5288,mdr_rate_cleaned!$F$2:$F$10,"&gt;="&amp;C5288)</f>
        <v>1</v>
      </c>
      <c r="G5288">
        <v>1.6E-2</v>
      </c>
      <c r="H5288">
        <v>65.569999999999993</v>
      </c>
      <c r="I5288" t="s">
        <v>15</v>
      </c>
      <c r="J5288" t="s">
        <v>15</v>
      </c>
      <c r="K5288">
        <v>11.8</v>
      </c>
      <c r="L5288">
        <v>0</v>
      </c>
    </row>
    <row r="5289" spans="1:12" x14ac:dyDescent="0.3">
      <c r="A5289" t="s">
        <v>5305</v>
      </c>
      <c r="B5289" t="s">
        <v>17</v>
      </c>
      <c r="C5289">
        <v>3499</v>
      </c>
      <c r="D5289">
        <v>55.98</v>
      </c>
      <c r="E5289">
        <v>10.08</v>
      </c>
      <c r="F5289">
        <f>COUNTIFS(mdr_rate_cleaned!$A$2:$A$10,B5289,mdr_rate_cleaned!$B$2:$B$10,"&lt;"&amp;C5289,mdr_rate_cleaned!$F$2:$F$10,"&gt;="&amp;C5289)</f>
        <v>1</v>
      </c>
      <c r="G5289">
        <v>1.6E-2</v>
      </c>
      <c r="H5289">
        <v>55.98</v>
      </c>
      <c r="I5289" t="s">
        <v>15</v>
      </c>
      <c r="J5289" t="s">
        <v>15</v>
      </c>
      <c r="K5289">
        <v>10.08</v>
      </c>
      <c r="L5289">
        <v>0</v>
      </c>
    </row>
    <row r="5290" spans="1:12" x14ac:dyDescent="0.3">
      <c r="A5290" t="s">
        <v>5306</v>
      </c>
      <c r="B5290" t="s">
        <v>21</v>
      </c>
      <c r="C5290">
        <v>599</v>
      </c>
      <c r="D5290">
        <v>0</v>
      </c>
      <c r="E5290">
        <v>0</v>
      </c>
      <c r="F5290">
        <f>COUNTIFS(mdr_rate_cleaned!$A$2:$A$10,B5290,mdr_rate_cleaned!$B$2:$B$10,"&lt;"&amp;C5290,mdr_rate_cleaned!$F$2:$F$10,"&gt;="&amp;C5290)</f>
        <v>1</v>
      </c>
      <c r="G5290">
        <v>0</v>
      </c>
      <c r="H5290">
        <v>0</v>
      </c>
      <c r="I5290" t="s">
        <v>15</v>
      </c>
      <c r="J5290" t="s">
        <v>15</v>
      </c>
      <c r="K5290">
        <v>0</v>
      </c>
      <c r="L5290">
        <v>0</v>
      </c>
    </row>
    <row r="5291" spans="1:12" x14ac:dyDescent="0.3">
      <c r="A5291" t="s">
        <v>5307</v>
      </c>
      <c r="B5291" t="s">
        <v>21</v>
      </c>
      <c r="C5291">
        <v>7999</v>
      </c>
      <c r="D5291">
        <v>24</v>
      </c>
      <c r="E5291">
        <v>4.32</v>
      </c>
      <c r="F5291">
        <f>COUNTIFS(mdr_rate_cleaned!$A$2:$A$10,B5291,mdr_rate_cleaned!$B$2:$B$10,"&lt;"&amp;C5291,mdr_rate_cleaned!$F$2:$F$10,"&gt;="&amp;C5291)</f>
        <v>1</v>
      </c>
      <c r="G5291">
        <v>3.0000000000000001E-3</v>
      </c>
      <c r="H5291">
        <v>24</v>
      </c>
      <c r="I5291" t="s">
        <v>15</v>
      </c>
      <c r="J5291" t="s">
        <v>15</v>
      </c>
      <c r="K5291">
        <v>4.32</v>
      </c>
      <c r="L5291">
        <v>0</v>
      </c>
    </row>
    <row r="5292" spans="1:12" x14ac:dyDescent="0.3">
      <c r="A5292" t="s">
        <v>5308</v>
      </c>
      <c r="B5292" t="s">
        <v>21</v>
      </c>
      <c r="C5292">
        <v>499</v>
      </c>
      <c r="D5292">
        <v>0</v>
      </c>
      <c r="E5292">
        <v>0</v>
      </c>
      <c r="F5292">
        <f>COUNTIFS(mdr_rate_cleaned!$A$2:$A$10,B5292,mdr_rate_cleaned!$B$2:$B$10,"&lt;"&amp;C5292,mdr_rate_cleaned!$F$2:$F$10,"&gt;="&amp;C5292)</f>
        <v>1</v>
      </c>
      <c r="G5292">
        <v>0</v>
      </c>
      <c r="H5292">
        <v>0</v>
      </c>
      <c r="I5292" t="s">
        <v>15</v>
      </c>
      <c r="J5292" t="s">
        <v>15</v>
      </c>
      <c r="K5292">
        <v>0</v>
      </c>
      <c r="L5292">
        <v>0</v>
      </c>
    </row>
    <row r="5293" spans="1:12" x14ac:dyDescent="0.3">
      <c r="A5293" t="s">
        <v>5309</v>
      </c>
      <c r="B5293" t="s">
        <v>21</v>
      </c>
      <c r="C5293">
        <v>349</v>
      </c>
      <c r="D5293">
        <v>0</v>
      </c>
      <c r="E5293">
        <v>0</v>
      </c>
      <c r="F5293">
        <f>COUNTIFS(mdr_rate_cleaned!$A$2:$A$10,B5293,mdr_rate_cleaned!$B$2:$B$10,"&lt;"&amp;C5293,mdr_rate_cleaned!$F$2:$F$10,"&gt;="&amp;C5293)</f>
        <v>1</v>
      </c>
      <c r="G5293">
        <v>0</v>
      </c>
      <c r="H5293">
        <v>0</v>
      </c>
      <c r="I5293" t="s">
        <v>15</v>
      </c>
      <c r="J5293" t="s">
        <v>15</v>
      </c>
      <c r="K5293">
        <v>0</v>
      </c>
      <c r="L5293">
        <v>0</v>
      </c>
    </row>
    <row r="5294" spans="1:12" x14ac:dyDescent="0.3">
      <c r="A5294" t="s">
        <v>5310</v>
      </c>
      <c r="B5294" t="s">
        <v>17</v>
      </c>
      <c r="C5294">
        <v>8798</v>
      </c>
      <c r="D5294">
        <v>140.77000000000001</v>
      </c>
      <c r="E5294">
        <v>25.34</v>
      </c>
      <c r="F5294">
        <f>COUNTIFS(mdr_rate_cleaned!$A$2:$A$10,B5294,mdr_rate_cleaned!$B$2:$B$10,"&lt;"&amp;C5294,mdr_rate_cleaned!$F$2:$F$10,"&gt;="&amp;C5294)</f>
        <v>1</v>
      </c>
      <c r="G5294">
        <v>1.6E-2</v>
      </c>
      <c r="H5294">
        <v>140.77000000000001</v>
      </c>
      <c r="I5294" t="s">
        <v>15</v>
      </c>
      <c r="J5294" t="s">
        <v>15</v>
      </c>
      <c r="K5294">
        <v>25.34</v>
      </c>
      <c r="L5294">
        <v>0</v>
      </c>
    </row>
    <row r="5295" spans="1:12" x14ac:dyDescent="0.3">
      <c r="A5295" t="s">
        <v>5311</v>
      </c>
      <c r="B5295" t="s">
        <v>39</v>
      </c>
      <c r="C5295">
        <v>3798</v>
      </c>
      <c r="D5295">
        <v>45.58</v>
      </c>
      <c r="E5295">
        <v>8.1999999999999993</v>
      </c>
      <c r="F5295">
        <f>COUNTIFS(mdr_rate_cleaned!$A$2:$A$10,B5295,mdr_rate_cleaned!$B$2:$B$10,"&lt;"&amp;C5295,mdr_rate_cleaned!$F$2:$F$10,"&gt;="&amp;C5295)</f>
        <v>1</v>
      </c>
      <c r="G5295">
        <v>1.2E-2</v>
      </c>
      <c r="H5295">
        <v>45.58</v>
      </c>
      <c r="I5295" t="s">
        <v>15</v>
      </c>
      <c r="J5295" t="s">
        <v>15</v>
      </c>
      <c r="K5295">
        <v>8.1999999999999993</v>
      </c>
      <c r="L5295">
        <v>0</v>
      </c>
    </row>
    <row r="5296" spans="1:12" x14ac:dyDescent="0.3">
      <c r="A5296" t="s">
        <v>5312</v>
      </c>
      <c r="B5296" t="s">
        <v>21</v>
      </c>
      <c r="C5296">
        <v>1098</v>
      </c>
      <c r="D5296">
        <v>0</v>
      </c>
      <c r="E5296">
        <v>0</v>
      </c>
      <c r="F5296">
        <f>COUNTIFS(mdr_rate_cleaned!$A$2:$A$10,B5296,mdr_rate_cleaned!$B$2:$B$10,"&lt;"&amp;C5296,mdr_rate_cleaned!$F$2:$F$10,"&gt;="&amp;C5296)</f>
        <v>1</v>
      </c>
      <c r="G5296">
        <v>0</v>
      </c>
      <c r="H5296">
        <v>0</v>
      </c>
      <c r="I5296" t="s">
        <v>15</v>
      </c>
      <c r="J5296" t="s">
        <v>15</v>
      </c>
      <c r="K5296">
        <v>0</v>
      </c>
      <c r="L5296">
        <v>0</v>
      </c>
    </row>
    <row r="5297" spans="1:12" x14ac:dyDescent="0.3">
      <c r="A5297" t="s">
        <v>5313</v>
      </c>
      <c r="B5297" t="s">
        <v>21</v>
      </c>
      <c r="C5297">
        <v>3798</v>
      </c>
      <c r="D5297">
        <v>11.39</v>
      </c>
      <c r="E5297">
        <v>2.0499999999999998</v>
      </c>
      <c r="F5297">
        <f>COUNTIFS(mdr_rate_cleaned!$A$2:$A$10,B5297,mdr_rate_cleaned!$B$2:$B$10,"&lt;"&amp;C5297,mdr_rate_cleaned!$F$2:$F$10,"&gt;="&amp;C5297)</f>
        <v>1</v>
      </c>
      <c r="G5297">
        <v>3.0000000000000001E-3</v>
      </c>
      <c r="H5297">
        <v>11.39</v>
      </c>
      <c r="I5297" t="s">
        <v>15</v>
      </c>
      <c r="J5297" t="s">
        <v>15</v>
      </c>
      <c r="K5297">
        <v>2.0499999999999998</v>
      </c>
      <c r="L5297">
        <v>0</v>
      </c>
    </row>
    <row r="5298" spans="1:12" x14ac:dyDescent="0.3">
      <c r="A5298" t="s">
        <v>5314</v>
      </c>
      <c r="B5298" t="s">
        <v>21</v>
      </c>
      <c r="C5298">
        <v>5097</v>
      </c>
      <c r="D5298">
        <v>15.29</v>
      </c>
      <c r="E5298">
        <v>2.75</v>
      </c>
      <c r="F5298">
        <f>COUNTIFS(mdr_rate_cleaned!$A$2:$A$10,B5298,mdr_rate_cleaned!$B$2:$B$10,"&lt;"&amp;C5298,mdr_rate_cleaned!$F$2:$F$10,"&gt;="&amp;C5298)</f>
        <v>1</v>
      </c>
      <c r="G5298">
        <v>3.0000000000000001E-3</v>
      </c>
      <c r="H5298">
        <v>15.29</v>
      </c>
      <c r="I5298" t="s">
        <v>15</v>
      </c>
      <c r="J5298" t="s">
        <v>15</v>
      </c>
      <c r="K5298">
        <v>2.75</v>
      </c>
      <c r="L5298">
        <v>0</v>
      </c>
    </row>
    <row r="5299" spans="1:12" x14ac:dyDescent="0.3">
      <c r="A5299" t="s">
        <v>5315</v>
      </c>
      <c r="B5299" t="s">
        <v>39</v>
      </c>
      <c r="C5299">
        <v>999</v>
      </c>
      <c r="D5299">
        <v>14.99</v>
      </c>
      <c r="E5299">
        <v>2.7</v>
      </c>
      <c r="F5299">
        <f>COUNTIFS(mdr_rate_cleaned!$A$2:$A$10,B5299,mdr_rate_cleaned!$B$2:$B$10,"&lt;"&amp;C5299,mdr_rate_cleaned!$F$2:$F$10,"&gt;="&amp;C5299)</f>
        <v>1</v>
      </c>
      <c r="G5299">
        <v>1.4999999999999999E-2</v>
      </c>
      <c r="H5299">
        <v>14.99</v>
      </c>
      <c r="I5299" t="s">
        <v>15</v>
      </c>
      <c r="J5299" t="s">
        <v>15</v>
      </c>
      <c r="K5299">
        <v>2.7</v>
      </c>
      <c r="L5299">
        <v>0</v>
      </c>
    </row>
    <row r="5300" spans="1:12" x14ac:dyDescent="0.3">
      <c r="A5300" t="s">
        <v>5316</v>
      </c>
      <c r="B5300" t="s">
        <v>17</v>
      </c>
      <c r="C5300">
        <v>1498</v>
      </c>
      <c r="D5300">
        <v>26.96</v>
      </c>
      <c r="E5300">
        <v>4.8499999999999996</v>
      </c>
      <c r="F5300">
        <f>COUNTIFS(mdr_rate_cleaned!$A$2:$A$10,B5300,mdr_rate_cleaned!$B$2:$B$10,"&lt;"&amp;C5300,mdr_rate_cleaned!$F$2:$F$10,"&gt;="&amp;C5300)</f>
        <v>1</v>
      </c>
      <c r="G5300">
        <v>1.7999999999999999E-2</v>
      </c>
      <c r="H5300">
        <v>26.96</v>
      </c>
      <c r="I5300" t="s">
        <v>15</v>
      </c>
      <c r="J5300" t="s">
        <v>15</v>
      </c>
      <c r="K5300">
        <v>4.8499999999999996</v>
      </c>
      <c r="L5300">
        <v>0</v>
      </c>
    </row>
    <row r="5301" spans="1:12" x14ac:dyDescent="0.3">
      <c r="A5301" t="s">
        <v>5317</v>
      </c>
      <c r="B5301" t="s">
        <v>17</v>
      </c>
      <c r="C5301">
        <v>2798</v>
      </c>
      <c r="D5301">
        <v>44.77</v>
      </c>
      <c r="E5301">
        <v>8.06</v>
      </c>
      <c r="F5301">
        <f>COUNTIFS(mdr_rate_cleaned!$A$2:$A$10,B5301,mdr_rate_cleaned!$B$2:$B$10,"&lt;"&amp;C5301,mdr_rate_cleaned!$F$2:$F$10,"&gt;="&amp;C5301)</f>
        <v>1</v>
      </c>
      <c r="G5301">
        <v>1.6E-2</v>
      </c>
      <c r="H5301">
        <v>44.77</v>
      </c>
      <c r="I5301" t="s">
        <v>15</v>
      </c>
      <c r="J5301" t="s">
        <v>15</v>
      </c>
      <c r="K5301">
        <v>8.06</v>
      </c>
      <c r="L5301">
        <v>0</v>
      </c>
    </row>
    <row r="5302" spans="1:12" x14ac:dyDescent="0.3">
      <c r="A5302" t="s">
        <v>5318</v>
      </c>
      <c r="B5302" t="s">
        <v>21</v>
      </c>
      <c r="C5302">
        <v>1947</v>
      </c>
      <c r="D5302">
        <v>0</v>
      </c>
      <c r="E5302">
        <v>0</v>
      </c>
      <c r="F5302">
        <f>COUNTIFS(mdr_rate_cleaned!$A$2:$A$10,B5302,mdr_rate_cleaned!$B$2:$B$10,"&lt;"&amp;C5302,mdr_rate_cleaned!$F$2:$F$10,"&gt;="&amp;C5302)</f>
        <v>1</v>
      </c>
      <c r="G5302">
        <v>0</v>
      </c>
      <c r="H5302">
        <v>0</v>
      </c>
      <c r="I5302" t="s">
        <v>15</v>
      </c>
      <c r="J5302" t="s">
        <v>15</v>
      </c>
      <c r="K5302">
        <v>0</v>
      </c>
      <c r="L5302">
        <v>0</v>
      </c>
    </row>
    <row r="5303" spans="1:12" x14ac:dyDescent="0.3">
      <c r="A5303" t="s">
        <v>5319</v>
      </c>
      <c r="B5303" t="s">
        <v>21</v>
      </c>
      <c r="C5303">
        <v>1947</v>
      </c>
      <c r="D5303">
        <v>0</v>
      </c>
      <c r="E5303">
        <v>0</v>
      </c>
      <c r="F5303">
        <f>COUNTIFS(mdr_rate_cleaned!$A$2:$A$10,B5303,mdr_rate_cleaned!$B$2:$B$10,"&lt;"&amp;C5303,mdr_rate_cleaned!$F$2:$F$10,"&gt;="&amp;C5303)</f>
        <v>1</v>
      </c>
      <c r="G5303">
        <v>0</v>
      </c>
      <c r="H5303">
        <v>0</v>
      </c>
      <c r="I5303" t="s">
        <v>15</v>
      </c>
      <c r="J5303" t="s">
        <v>15</v>
      </c>
      <c r="K5303">
        <v>0</v>
      </c>
      <c r="L5303">
        <v>0</v>
      </c>
    </row>
    <row r="5304" spans="1:12" x14ac:dyDescent="0.3">
      <c r="A5304" t="s">
        <v>5320</v>
      </c>
      <c r="B5304" t="s">
        <v>21</v>
      </c>
      <c r="C5304">
        <v>3798</v>
      </c>
      <c r="D5304">
        <v>11.39</v>
      </c>
      <c r="E5304">
        <v>2.0499999999999998</v>
      </c>
      <c r="F5304">
        <f>COUNTIFS(mdr_rate_cleaned!$A$2:$A$10,B5304,mdr_rate_cleaned!$B$2:$B$10,"&lt;"&amp;C5304,mdr_rate_cleaned!$F$2:$F$10,"&gt;="&amp;C5304)</f>
        <v>1</v>
      </c>
      <c r="G5304">
        <v>3.0000000000000001E-3</v>
      </c>
      <c r="H5304">
        <v>11.39</v>
      </c>
      <c r="I5304" t="s">
        <v>15</v>
      </c>
      <c r="J5304" t="s">
        <v>15</v>
      </c>
      <c r="K5304">
        <v>2.0499999999999998</v>
      </c>
      <c r="L5304">
        <v>0</v>
      </c>
    </row>
    <row r="5305" spans="1:12" x14ac:dyDescent="0.3">
      <c r="A5305" t="s">
        <v>5321</v>
      </c>
      <c r="B5305" t="s">
        <v>17</v>
      </c>
      <c r="C5305">
        <v>4298</v>
      </c>
      <c r="D5305">
        <v>68.77</v>
      </c>
      <c r="E5305">
        <v>12.38</v>
      </c>
      <c r="F5305">
        <f>COUNTIFS(mdr_rate_cleaned!$A$2:$A$10,B5305,mdr_rate_cleaned!$B$2:$B$10,"&lt;"&amp;C5305,mdr_rate_cleaned!$F$2:$F$10,"&gt;="&amp;C5305)</f>
        <v>1</v>
      </c>
      <c r="G5305">
        <v>1.6E-2</v>
      </c>
      <c r="H5305">
        <v>68.77</v>
      </c>
      <c r="I5305" t="s">
        <v>15</v>
      </c>
      <c r="J5305" t="s">
        <v>15</v>
      </c>
      <c r="K5305">
        <v>12.38</v>
      </c>
      <c r="L5305">
        <v>0</v>
      </c>
    </row>
    <row r="5306" spans="1:12" x14ac:dyDescent="0.3">
      <c r="A5306" t="s">
        <v>5322</v>
      </c>
      <c r="B5306" t="s">
        <v>21</v>
      </c>
      <c r="C5306">
        <v>2999</v>
      </c>
      <c r="D5306">
        <v>9</v>
      </c>
      <c r="E5306">
        <v>1.62</v>
      </c>
      <c r="F5306">
        <f>COUNTIFS(mdr_rate_cleaned!$A$2:$A$10,B5306,mdr_rate_cleaned!$B$2:$B$10,"&lt;"&amp;C5306,mdr_rate_cleaned!$F$2:$F$10,"&gt;="&amp;C5306)</f>
        <v>1</v>
      </c>
      <c r="G5306">
        <v>3.0000000000000001E-3</v>
      </c>
      <c r="H5306">
        <v>9</v>
      </c>
      <c r="I5306" t="s">
        <v>15</v>
      </c>
      <c r="J5306" t="s">
        <v>15</v>
      </c>
      <c r="K5306">
        <v>1.62</v>
      </c>
      <c r="L5306">
        <v>0</v>
      </c>
    </row>
    <row r="5307" spans="1:12" x14ac:dyDescent="0.3">
      <c r="A5307" t="s">
        <v>5323</v>
      </c>
      <c r="B5307" t="s">
        <v>17</v>
      </c>
      <c r="C5307">
        <v>9097</v>
      </c>
      <c r="D5307">
        <v>145.55000000000001</v>
      </c>
      <c r="E5307">
        <v>26.2</v>
      </c>
      <c r="F5307">
        <f>COUNTIFS(mdr_rate_cleaned!$A$2:$A$10,B5307,mdr_rate_cleaned!$B$2:$B$10,"&lt;"&amp;C5307,mdr_rate_cleaned!$F$2:$F$10,"&gt;="&amp;C5307)</f>
        <v>1</v>
      </c>
      <c r="G5307">
        <v>1.6E-2</v>
      </c>
      <c r="H5307">
        <v>145.55000000000001</v>
      </c>
      <c r="I5307" t="s">
        <v>15</v>
      </c>
      <c r="J5307" t="s">
        <v>15</v>
      </c>
      <c r="K5307">
        <v>26.2</v>
      </c>
      <c r="L5307">
        <v>0</v>
      </c>
    </row>
    <row r="5308" spans="1:12" x14ac:dyDescent="0.3">
      <c r="A5308" t="s">
        <v>5324</v>
      </c>
      <c r="B5308" t="s">
        <v>21</v>
      </c>
      <c r="C5308">
        <v>1499</v>
      </c>
      <c r="D5308">
        <v>0</v>
      </c>
      <c r="E5308">
        <v>0</v>
      </c>
      <c r="F5308">
        <f>COUNTIFS(mdr_rate_cleaned!$A$2:$A$10,B5308,mdr_rate_cleaned!$B$2:$B$10,"&lt;"&amp;C5308,mdr_rate_cleaned!$F$2:$F$10,"&gt;="&amp;C5308)</f>
        <v>1</v>
      </c>
      <c r="G5308">
        <v>0</v>
      </c>
      <c r="H5308">
        <v>0</v>
      </c>
      <c r="I5308" t="s">
        <v>15</v>
      </c>
      <c r="J5308" t="s">
        <v>15</v>
      </c>
      <c r="K5308">
        <v>0</v>
      </c>
      <c r="L5308">
        <v>0</v>
      </c>
    </row>
    <row r="5309" spans="1:12" x14ac:dyDescent="0.3">
      <c r="A5309" t="s">
        <v>5325</v>
      </c>
      <c r="B5309" t="s">
        <v>21</v>
      </c>
      <c r="C5309">
        <v>4498</v>
      </c>
      <c r="D5309">
        <v>13.49</v>
      </c>
      <c r="E5309">
        <v>2.4300000000000002</v>
      </c>
      <c r="F5309">
        <f>COUNTIFS(mdr_rate_cleaned!$A$2:$A$10,B5309,mdr_rate_cleaned!$B$2:$B$10,"&lt;"&amp;C5309,mdr_rate_cleaned!$F$2:$F$10,"&gt;="&amp;C5309)</f>
        <v>1</v>
      </c>
      <c r="G5309">
        <v>3.0000000000000001E-3</v>
      </c>
      <c r="H5309">
        <v>13.49</v>
      </c>
      <c r="I5309" t="s">
        <v>15</v>
      </c>
      <c r="J5309" t="s">
        <v>15</v>
      </c>
      <c r="K5309">
        <v>2.4300000000000002</v>
      </c>
      <c r="L5309">
        <v>0</v>
      </c>
    </row>
    <row r="5310" spans="1:12" x14ac:dyDescent="0.3">
      <c r="A5310" t="s">
        <v>5326</v>
      </c>
      <c r="B5310" t="s">
        <v>17</v>
      </c>
      <c r="C5310">
        <v>349</v>
      </c>
      <c r="D5310">
        <v>6.28</v>
      </c>
      <c r="E5310">
        <v>1.1299999999999999</v>
      </c>
      <c r="F5310">
        <f>COUNTIFS(mdr_rate_cleaned!$A$2:$A$10,B5310,mdr_rate_cleaned!$B$2:$B$10,"&lt;"&amp;C5310,mdr_rate_cleaned!$F$2:$F$10,"&gt;="&amp;C5310)</f>
        <v>1</v>
      </c>
      <c r="G5310">
        <v>1.7999999999999999E-2</v>
      </c>
      <c r="H5310">
        <v>6.28</v>
      </c>
      <c r="I5310" t="s">
        <v>15</v>
      </c>
      <c r="J5310" t="s">
        <v>15</v>
      </c>
      <c r="K5310">
        <v>1.1299999999999999</v>
      </c>
      <c r="L5310">
        <v>0</v>
      </c>
    </row>
    <row r="5311" spans="1:12" x14ac:dyDescent="0.3">
      <c r="A5311" t="s">
        <v>5327</v>
      </c>
      <c r="B5311" t="s">
        <v>21</v>
      </c>
      <c r="C5311">
        <v>4999</v>
      </c>
      <c r="D5311">
        <v>15</v>
      </c>
      <c r="E5311">
        <v>2.7</v>
      </c>
      <c r="F5311">
        <f>COUNTIFS(mdr_rate_cleaned!$A$2:$A$10,B5311,mdr_rate_cleaned!$B$2:$B$10,"&lt;"&amp;C5311,mdr_rate_cleaned!$F$2:$F$10,"&gt;="&amp;C5311)</f>
        <v>1</v>
      </c>
      <c r="G5311">
        <v>3.0000000000000001E-3</v>
      </c>
      <c r="H5311">
        <v>15</v>
      </c>
      <c r="I5311" t="s">
        <v>15</v>
      </c>
      <c r="J5311" t="s">
        <v>15</v>
      </c>
      <c r="K5311">
        <v>2.7</v>
      </c>
      <c r="L5311">
        <v>0</v>
      </c>
    </row>
    <row r="5312" spans="1:12" x14ac:dyDescent="0.3">
      <c r="A5312" t="s">
        <v>5328</v>
      </c>
      <c r="B5312" t="s">
        <v>21</v>
      </c>
      <c r="C5312">
        <v>1498</v>
      </c>
      <c r="D5312">
        <v>0</v>
      </c>
      <c r="E5312">
        <v>0</v>
      </c>
      <c r="F5312">
        <f>COUNTIFS(mdr_rate_cleaned!$A$2:$A$10,B5312,mdr_rate_cleaned!$B$2:$B$10,"&lt;"&amp;C5312,mdr_rate_cleaned!$F$2:$F$10,"&gt;="&amp;C5312)</f>
        <v>1</v>
      </c>
      <c r="G5312">
        <v>0</v>
      </c>
      <c r="H5312">
        <v>0</v>
      </c>
      <c r="I5312" t="s">
        <v>15</v>
      </c>
      <c r="J5312" t="s">
        <v>15</v>
      </c>
      <c r="K5312">
        <v>0</v>
      </c>
      <c r="L5312">
        <v>0</v>
      </c>
    </row>
    <row r="5313" spans="1:12" x14ac:dyDescent="0.3">
      <c r="A5313" t="s">
        <v>5329</v>
      </c>
      <c r="B5313" t="s">
        <v>21</v>
      </c>
      <c r="C5313">
        <v>5697</v>
      </c>
      <c r="D5313">
        <v>17.09</v>
      </c>
      <c r="E5313">
        <v>3.08</v>
      </c>
      <c r="F5313">
        <f>COUNTIFS(mdr_rate_cleaned!$A$2:$A$10,B5313,mdr_rate_cleaned!$B$2:$B$10,"&lt;"&amp;C5313,mdr_rate_cleaned!$F$2:$F$10,"&gt;="&amp;C5313)</f>
        <v>1</v>
      </c>
      <c r="G5313">
        <v>3.0000000000000001E-3</v>
      </c>
      <c r="H5313">
        <v>17.09</v>
      </c>
      <c r="I5313" t="s">
        <v>15</v>
      </c>
      <c r="J5313" t="s">
        <v>15</v>
      </c>
      <c r="K5313">
        <v>3.08</v>
      </c>
      <c r="L5313">
        <v>0</v>
      </c>
    </row>
    <row r="5314" spans="1:12" x14ac:dyDescent="0.3">
      <c r="A5314" t="s">
        <v>5330</v>
      </c>
      <c r="B5314" t="s">
        <v>17</v>
      </c>
      <c r="C5314">
        <v>3499</v>
      </c>
      <c r="D5314">
        <v>55.98</v>
      </c>
      <c r="E5314">
        <v>10.08</v>
      </c>
      <c r="F5314">
        <f>COUNTIFS(mdr_rate_cleaned!$A$2:$A$10,B5314,mdr_rate_cleaned!$B$2:$B$10,"&lt;"&amp;C5314,mdr_rate_cleaned!$F$2:$F$10,"&gt;="&amp;C5314)</f>
        <v>1</v>
      </c>
      <c r="G5314">
        <v>1.6E-2</v>
      </c>
      <c r="H5314">
        <v>55.98</v>
      </c>
      <c r="I5314" t="s">
        <v>15</v>
      </c>
      <c r="J5314" t="s">
        <v>15</v>
      </c>
      <c r="K5314">
        <v>10.08</v>
      </c>
      <c r="L5314">
        <v>0</v>
      </c>
    </row>
    <row r="5315" spans="1:12" x14ac:dyDescent="0.3">
      <c r="A5315" t="s">
        <v>5331</v>
      </c>
      <c r="B5315" t="s">
        <v>21</v>
      </c>
      <c r="C5315">
        <v>8998</v>
      </c>
      <c r="D5315">
        <v>26.99</v>
      </c>
      <c r="E5315">
        <v>4.8600000000000003</v>
      </c>
      <c r="F5315">
        <f>COUNTIFS(mdr_rate_cleaned!$A$2:$A$10,B5315,mdr_rate_cleaned!$B$2:$B$10,"&lt;"&amp;C5315,mdr_rate_cleaned!$F$2:$F$10,"&gt;="&amp;C5315)</f>
        <v>1</v>
      </c>
      <c r="G5315">
        <v>3.0000000000000001E-3</v>
      </c>
      <c r="H5315">
        <v>26.99</v>
      </c>
      <c r="I5315" t="s">
        <v>15</v>
      </c>
      <c r="J5315" t="s">
        <v>15</v>
      </c>
      <c r="K5315">
        <v>4.8600000000000003</v>
      </c>
      <c r="L5315">
        <v>0</v>
      </c>
    </row>
    <row r="5316" spans="1:12" x14ac:dyDescent="0.3">
      <c r="A5316" t="s">
        <v>5332</v>
      </c>
      <c r="B5316" t="s">
        <v>13</v>
      </c>
      <c r="C5316">
        <v>5998</v>
      </c>
      <c r="D5316">
        <v>143.94999999999999</v>
      </c>
      <c r="E5316">
        <v>25.91</v>
      </c>
      <c r="F5316">
        <f>COUNTIFS(mdr_rate_cleaned!$A$2:$A$10,B5316,mdr_rate_cleaned!$B$2:$B$10,"&lt;"&amp;C5316,mdr_rate_cleaned!$F$2:$F$10,"&gt;="&amp;C5316)</f>
        <v>1</v>
      </c>
      <c r="G5316">
        <v>1.7000000000000001E-2</v>
      </c>
      <c r="H5316">
        <v>101.97</v>
      </c>
      <c r="I5316" t="s">
        <v>14</v>
      </c>
      <c r="J5316" t="s">
        <v>15</v>
      </c>
      <c r="K5316">
        <v>18.350000000000001</v>
      </c>
      <c r="L5316">
        <v>49.54</v>
      </c>
    </row>
    <row r="5317" spans="1:12" x14ac:dyDescent="0.3">
      <c r="A5317" t="s">
        <v>5333</v>
      </c>
      <c r="B5317" t="s">
        <v>21</v>
      </c>
      <c r="C5317">
        <v>2098</v>
      </c>
      <c r="D5317">
        <v>6.29</v>
      </c>
      <c r="E5317">
        <v>1.1299999999999999</v>
      </c>
      <c r="F5317">
        <f>COUNTIFS(mdr_rate_cleaned!$A$2:$A$10,B5317,mdr_rate_cleaned!$B$2:$B$10,"&lt;"&amp;C5317,mdr_rate_cleaned!$F$2:$F$10,"&gt;="&amp;C5317)</f>
        <v>1</v>
      </c>
      <c r="G5317">
        <v>3.0000000000000001E-3</v>
      </c>
      <c r="H5317">
        <v>6.29</v>
      </c>
      <c r="I5317" t="s">
        <v>15</v>
      </c>
      <c r="J5317" t="s">
        <v>15</v>
      </c>
      <c r="K5317">
        <v>1.1299999999999999</v>
      </c>
      <c r="L5317">
        <v>0</v>
      </c>
    </row>
    <row r="5318" spans="1:12" x14ac:dyDescent="0.3">
      <c r="A5318" t="s">
        <v>5334</v>
      </c>
      <c r="B5318" t="s">
        <v>21</v>
      </c>
      <c r="C5318">
        <v>10498</v>
      </c>
      <c r="D5318">
        <v>31.49</v>
      </c>
      <c r="E5318">
        <v>5.67</v>
      </c>
      <c r="F5318">
        <f>COUNTIFS(mdr_rate_cleaned!$A$2:$A$10,B5318,mdr_rate_cleaned!$B$2:$B$10,"&lt;"&amp;C5318,mdr_rate_cleaned!$F$2:$F$10,"&gt;="&amp;C5318)</f>
        <v>1</v>
      </c>
      <c r="G5318">
        <v>3.0000000000000001E-3</v>
      </c>
      <c r="H5318">
        <v>31.49</v>
      </c>
      <c r="I5318" t="s">
        <v>15</v>
      </c>
      <c r="J5318" t="s">
        <v>15</v>
      </c>
      <c r="K5318">
        <v>5.67</v>
      </c>
      <c r="L5318">
        <v>0</v>
      </c>
    </row>
    <row r="5319" spans="1:12" x14ac:dyDescent="0.3">
      <c r="A5319" t="s">
        <v>5335</v>
      </c>
      <c r="B5319" t="s">
        <v>17</v>
      </c>
      <c r="C5319">
        <v>9997</v>
      </c>
      <c r="D5319">
        <v>159.94999999999999</v>
      </c>
      <c r="E5319">
        <v>28.79</v>
      </c>
      <c r="F5319">
        <f>COUNTIFS(mdr_rate_cleaned!$A$2:$A$10,B5319,mdr_rate_cleaned!$B$2:$B$10,"&lt;"&amp;C5319,mdr_rate_cleaned!$F$2:$F$10,"&gt;="&amp;C5319)</f>
        <v>1</v>
      </c>
      <c r="G5319">
        <v>1.6E-2</v>
      </c>
      <c r="H5319">
        <v>159.94999999999999</v>
      </c>
      <c r="I5319" t="s">
        <v>15</v>
      </c>
      <c r="J5319" t="s">
        <v>15</v>
      </c>
      <c r="K5319">
        <v>28.79</v>
      </c>
      <c r="L5319">
        <v>0</v>
      </c>
    </row>
    <row r="5320" spans="1:12" x14ac:dyDescent="0.3">
      <c r="A5320" t="s">
        <v>5336</v>
      </c>
      <c r="B5320" t="s">
        <v>21</v>
      </c>
      <c r="C5320">
        <v>999</v>
      </c>
      <c r="D5320">
        <v>0</v>
      </c>
      <c r="E5320">
        <v>0</v>
      </c>
      <c r="F5320">
        <f>COUNTIFS(mdr_rate_cleaned!$A$2:$A$10,B5320,mdr_rate_cleaned!$B$2:$B$10,"&lt;"&amp;C5320,mdr_rate_cleaned!$F$2:$F$10,"&gt;="&amp;C5320)</f>
        <v>1</v>
      </c>
      <c r="G5320">
        <v>0</v>
      </c>
      <c r="H5320">
        <v>0</v>
      </c>
      <c r="I5320" t="s">
        <v>15</v>
      </c>
      <c r="J5320" t="s">
        <v>15</v>
      </c>
      <c r="K5320">
        <v>0</v>
      </c>
      <c r="L5320">
        <v>0</v>
      </c>
    </row>
    <row r="5321" spans="1:12" x14ac:dyDescent="0.3">
      <c r="A5321" t="s">
        <v>5337</v>
      </c>
      <c r="B5321" t="s">
        <v>21</v>
      </c>
      <c r="C5321">
        <v>499</v>
      </c>
      <c r="D5321">
        <v>0</v>
      </c>
      <c r="E5321">
        <v>0</v>
      </c>
      <c r="F5321">
        <f>COUNTIFS(mdr_rate_cleaned!$A$2:$A$10,B5321,mdr_rate_cleaned!$B$2:$B$10,"&lt;"&amp;C5321,mdr_rate_cleaned!$F$2:$F$10,"&gt;="&amp;C5321)</f>
        <v>1</v>
      </c>
      <c r="G5321">
        <v>0</v>
      </c>
      <c r="H5321">
        <v>0</v>
      </c>
      <c r="I5321" t="s">
        <v>15</v>
      </c>
      <c r="J5321" t="s">
        <v>15</v>
      </c>
      <c r="K5321">
        <v>0</v>
      </c>
      <c r="L5321">
        <v>0</v>
      </c>
    </row>
    <row r="5322" spans="1:12" x14ac:dyDescent="0.3">
      <c r="A5322" t="s">
        <v>5338</v>
      </c>
      <c r="B5322" t="s">
        <v>21</v>
      </c>
      <c r="C5322">
        <v>848</v>
      </c>
      <c r="D5322">
        <v>0</v>
      </c>
      <c r="E5322">
        <v>0</v>
      </c>
      <c r="F5322">
        <f>COUNTIFS(mdr_rate_cleaned!$A$2:$A$10,B5322,mdr_rate_cleaned!$B$2:$B$10,"&lt;"&amp;C5322,mdr_rate_cleaned!$F$2:$F$10,"&gt;="&amp;C5322)</f>
        <v>1</v>
      </c>
      <c r="G5322">
        <v>0</v>
      </c>
      <c r="H5322">
        <v>0</v>
      </c>
      <c r="I5322" t="s">
        <v>15</v>
      </c>
      <c r="J5322" t="s">
        <v>15</v>
      </c>
      <c r="K5322">
        <v>0</v>
      </c>
      <c r="L5322">
        <v>0</v>
      </c>
    </row>
    <row r="5323" spans="1:12" x14ac:dyDescent="0.3">
      <c r="A5323" t="s">
        <v>5339</v>
      </c>
      <c r="B5323" t="s">
        <v>13</v>
      </c>
      <c r="C5323">
        <v>2999</v>
      </c>
      <c r="D5323">
        <v>50.98</v>
      </c>
      <c r="E5323">
        <v>9.18</v>
      </c>
      <c r="F5323">
        <f>COUNTIFS(mdr_rate_cleaned!$A$2:$A$10,B5323,mdr_rate_cleaned!$B$2:$B$10,"&lt;"&amp;C5323,mdr_rate_cleaned!$F$2:$F$10,"&gt;="&amp;C5323)</f>
        <v>1</v>
      </c>
      <c r="G5323">
        <v>1.7000000000000001E-2</v>
      </c>
      <c r="H5323">
        <v>50.98</v>
      </c>
      <c r="I5323" t="s">
        <v>15</v>
      </c>
      <c r="J5323" t="s">
        <v>15</v>
      </c>
      <c r="K5323">
        <v>9.18</v>
      </c>
      <c r="L5323">
        <v>0</v>
      </c>
    </row>
    <row r="5324" spans="1:12" x14ac:dyDescent="0.3">
      <c r="A5324" t="s">
        <v>5340</v>
      </c>
      <c r="B5324" t="s">
        <v>21</v>
      </c>
      <c r="C5324">
        <v>3499</v>
      </c>
      <c r="D5324">
        <v>10.5</v>
      </c>
      <c r="E5324">
        <v>1.89</v>
      </c>
      <c r="F5324">
        <f>COUNTIFS(mdr_rate_cleaned!$A$2:$A$10,B5324,mdr_rate_cleaned!$B$2:$B$10,"&lt;"&amp;C5324,mdr_rate_cleaned!$F$2:$F$10,"&gt;="&amp;C5324)</f>
        <v>1</v>
      </c>
      <c r="G5324">
        <v>3.0000000000000001E-3</v>
      </c>
      <c r="H5324">
        <v>10.5</v>
      </c>
      <c r="I5324" t="s">
        <v>15</v>
      </c>
      <c r="J5324" t="s">
        <v>15</v>
      </c>
      <c r="K5324">
        <v>1.89</v>
      </c>
      <c r="L5324">
        <v>0</v>
      </c>
    </row>
    <row r="5325" spans="1:12" x14ac:dyDescent="0.3">
      <c r="A5325" t="s">
        <v>5341</v>
      </c>
      <c r="B5325" t="s">
        <v>21</v>
      </c>
      <c r="C5325">
        <v>2999</v>
      </c>
      <c r="D5325">
        <v>9</v>
      </c>
      <c r="E5325">
        <v>1.62</v>
      </c>
      <c r="F5325">
        <f>COUNTIFS(mdr_rate_cleaned!$A$2:$A$10,B5325,mdr_rate_cleaned!$B$2:$B$10,"&lt;"&amp;C5325,mdr_rate_cleaned!$F$2:$F$10,"&gt;="&amp;C5325)</f>
        <v>1</v>
      </c>
      <c r="G5325">
        <v>3.0000000000000001E-3</v>
      </c>
      <c r="H5325">
        <v>9</v>
      </c>
      <c r="I5325" t="s">
        <v>15</v>
      </c>
      <c r="J5325" t="s">
        <v>15</v>
      </c>
      <c r="K5325">
        <v>1.62</v>
      </c>
      <c r="L5325">
        <v>0</v>
      </c>
    </row>
    <row r="5326" spans="1:12" x14ac:dyDescent="0.3">
      <c r="A5326" t="s">
        <v>5342</v>
      </c>
      <c r="B5326" t="s">
        <v>39</v>
      </c>
      <c r="C5326">
        <v>3298</v>
      </c>
      <c r="D5326">
        <v>39.58</v>
      </c>
      <c r="E5326">
        <v>7.12</v>
      </c>
      <c r="F5326">
        <f>COUNTIFS(mdr_rate_cleaned!$A$2:$A$10,B5326,mdr_rate_cleaned!$B$2:$B$10,"&lt;"&amp;C5326,mdr_rate_cleaned!$F$2:$F$10,"&gt;="&amp;C5326)</f>
        <v>1</v>
      </c>
      <c r="G5326">
        <v>1.2E-2</v>
      </c>
      <c r="H5326">
        <v>39.58</v>
      </c>
      <c r="I5326" t="s">
        <v>15</v>
      </c>
      <c r="J5326" t="s">
        <v>15</v>
      </c>
      <c r="K5326">
        <v>7.12</v>
      </c>
      <c r="L5326">
        <v>0</v>
      </c>
    </row>
    <row r="5327" spans="1:12" x14ac:dyDescent="0.3">
      <c r="A5327" t="s">
        <v>5343</v>
      </c>
      <c r="B5327" t="s">
        <v>21</v>
      </c>
      <c r="C5327">
        <v>5298</v>
      </c>
      <c r="D5327">
        <v>15.89</v>
      </c>
      <c r="E5327">
        <v>2.86</v>
      </c>
      <c r="F5327">
        <f>COUNTIFS(mdr_rate_cleaned!$A$2:$A$10,B5327,mdr_rate_cleaned!$B$2:$B$10,"&lt;"&amp;C5327,mdr_rate_cleaned!$F$2:$F$10,"&gt;="&amp;C5327)</f>
        <v>1</v>
      </c>
      <c r="G5327">
        <v>3.0000000000000001E-3</v>
      </c>
      <c r="H5327">
        <v>15.89</v>
      </c>
      <c r="I5327" t="s">
        <v>15</v>
      </c>
      <c r="J5327" t="s">
        <v>15</v>
      </c>
      <c r="K5327">
        <v>2.86</v>
      </c>
      <c r="L5327">
        <v>0</v>
      </c>
    </row>
    <row r="5328" spans="1:12" x14ac:dyDescent="0.3">
      <c r="A5328" t="s">
        <v>5344</v>
      </c>
      <c r="B5328" t="s">
        <v>21</v>
      </c>
      <c r="C5328">
        <v>2498</v>
      </c>
      <c r="D5328">
        <v>7.49</v>
      </c>
      <c r="E5328">
        <v>1.35</v>
      </c>
      <c r="F5328">
        <f>COUNTIFS(mdr_rate_cleaned!$A$2:$A$10,B5328,mdr_rate_cleaned!$B$2:$B$10,"&lt;"&amp;C5328,mdr_rate_cleaned!$F$2:$F$10,"&gt;="&amp;C5328)</f>
        <v>1</v>
      </c>
      <c r="G5328">
        <v>3.0000000000000001E-3</v>
      </c>
      <c r="H5328">
        <v>7.49</v>
      </c>
      <c r="I5328" t="s">
        <v>15</v>
      </c>
      <c r="J5328" t="s">
        <v>15</v>
      </c>
      <c r="K5328">
        <v>1.35</v>
      </c>
      <c r="L5328">
        <v>0</v>
      </c>
    </row>
    <row r="5329" spans="1:12" x14ac:dyDescent="0.3">
      <c r="A5329" t="s">
        <v>5345</v>
      </c>
      <c r="B5329" t="s">
        <v>39</v>
      </c>
      <c r="C5329">
        <v>2999</v>
      </c>
      <c r="D5329">
        <v>35.99</v>
      </c>
      <c r="E5329">
        <v>6.48</v>
      </c>
      <c r="F5329">
        <f>COUNTIFS(mdr_rate_cleaned!$A$2:$A$10,B5329,mdr_rate_cleaned!$B$2:$B$10,"&lt;"&amp;C5329,mdr_rate_cleaned!$F$2:$F$10,"&gt;="&amp;C5329)</f>
        <v>1</v>
      </c>
      <c r="G5329">
        <v>1.2E-2</v>
      </c>
      <c r="H5329">
        <v>35.99</v>
      </c>
      <c r="I5329" t="s">
        <v>15</v>
      </c>
      <c r="J5329" t="s">
        <v>15</v>
      </c>
      <c r="K5329">
        <v>6.48</v>
      </c>
      <c r="L5329">
        <v>0</v>
      </c>
    </row>
    <row r="5330" spans="1:12" x14ac:dyDescent="0.3">
      <c r="A5330" t="s">
        <v>5346</v>
      </c>
      <c r="B5330" t="s">
        <v>17</v>
      </c>
      <c r="C5330">
        <v>4498</v>
      </c>
      <c r="D5330">
        <v>71.97</v>
      </c>
      <c r="E5330">
        <v>12.95</v>
      </c>
      <c r="F5330">
        <f>COUNTIFS(mdr_rate_cleaned!$A$2:$A$10,B5330,mdr_rate_cleaned!$B$2:$B$10,"&lt;"&amp;C5330,mdr_rate_cleaned!$F$2:$F$10,"&gt;="&amp;C5330)</f>
        <v>1</v>
      </c>
      <c r="G5330">
        <v>1.6E-2</v>
      </c>
      <c r="H5330">
        <v>71.97</v>
      </c>
      <c r="I5330" t="s">
        <v>15</v>
      </c>
      <c r="J5330" t="s">
        <v>15</v>
      </c>
      <c r="K5330">
        <v>12.95</v>
      </c>
      <c r="L5330">
        <v>0</v>
      </c>
    </row>
    <row r="5331" spans="1:12" x14ac:dyDescent="0.3">
      <c r="A5331" t="s">
        <v>5347</v>
      </c>
      <c r="B5331" t="s">
        <v>21</v>
      </c>
      <c r="C5331">
        <v>2998</v>
      </c>
      <c r="D5331">
        <v>8.99</v>
      </c>
      <c r="E5331">
        <v>1.62</v>
      </c>
      <c r="F5331">
        <f>COUNTIFS(mdr_rate_cleaned!$A$2:$A$10,B5331,mdr_rate_cleaned!$B$2:$B$10,"&lt;"&amp;C5331,mdr_rate_cleaned!$F$2:$F$10,"&gt;="&amp;C5331)</f>
        <v>1</v>
      </c>
      <c r="G5331">
        <v>3.0000000000000001E-3</v>
      </c>
      <c r="H5331">
        <v>8.99</v>
      </c>
      <c r="I5331" t="s">
        <v>15</v>
      </c>
      <c r="J5331" t="s">
        <v>15</v>
      </c>
      <c r="K5331">
        <v>1.62</v>
      </c>
      <c r="L5331">
        <v>0</v>
      </c>
    </row>
    <row r="5332" spans="1:12" x14ac:dyDescent="0.3">
      <c r="A5332" t="s">
        <v>5348</v>
      </c>
      <c r="B5332" t="s">
        <v>13</v>
      </c>
      <c r="C5332">
        <v>7999</v>
      </c>
      <c r="D5332">
        <v>135.97999999999999</v>
      </c>
      <c r="E5332">
        <v>24.48</v>
      </c>
      <c r="F5332">
        <f>COUNTIFS(mdr_rate_cleaned!$A$2:$A$10,B5332,mdr_rate_cleaned!$B$2:$B$10,"&lt;"&amp;C5332,mdr_rate_cleaned!$F$2:$F$10,"&gt;="&amp;C5332)</f>
        <v>1</v>
      </c>
      <c r="G5332">
        <v>1.7000000000000001E-2</v>
      </c>
      <c r="H5332">
        <v>135.97999999999999</v>
      </c>
      <c r="I5332" t="s">
        <v>15</v>
      </c>
      <c r="J5332" t="s">
        <v>15</v>
      </c>
      <c r="K5332">
        <v>24.48</v>
      </c>
      <c r="L5332">
        <v>0</v>
      </c>
    </row>
    <row r="5333" spans="1:12" x14ac:dyDescent="0.3">
      <c r="A5333" t="s">
        <v>5349</v>
      </c>
      <c r="B5333" t="s">
        <v>21</v>
      </c>
      <c r="C5333">
        <v>2999</v>
      </c>
      <c r="D5333">
        <v>9</v>
      </c>
      <c r="E5333">
        <v>1.62</v>
      </c>
      <c r="F5333">
        <f>COUNTIFS(mdr_rate_cleaned!$A$2:$A$10,B5333,mdr_rate_cleaned!$B$2:$B$10,"&lt;"&amp;C5333,mdr_rate_cleaned!$F$2:$F$10,"&gt;="&amp;C5333)</f>
        <v>1</v>
      </c>
      <c r="G5333">
        <v>3.0000000000000001E-3</v>
      </c>
      <c r="H5333">
        <v>9</v>
      </c>
      <c r="I5333" t="s">
        <v>15</v>
      </c>
      <c r="J5333" t="s">
        <v>15</v>
      </c>
      <c r="K5333">
        <v>1.62</v>
      </c>
      <c r="L5333">
        <v>0</v>
      </c>
    </row>
    <row r="5334" spans="1:12" x14ac:dyDescent="0.3">
      <c r="A5334" t="s">
        <v>5350</v>
      </c>
      <c r="B5334" t="s">
        <v>13</v>
      </c>
      <c r="C5334">
        <v>648</v>
      </c>
      <c r="D5334">
        <v>12.31</v>
      </c>
      <c r="E5334">
        <v>2.2200000000000002</v>
      </c>
      <c r="F5334">
        <f>COUNTIFS(mdr_rate_cleaned!$A$2:$A$10,B5334,mdr_rate_cleaned!$B$2:$B$10,"&lt;"&amp;C5334,mdr_rate_cleaned!$F$2:$F$10,"&gt;="&amp;C5334)</f>
        <v>1</v>
      </c>
      <c r="G5334">
        <v>1.9E-2</v>
      </c>
      <c r="H5334">
        <v>12.31</v>
      </c>
      <c r="I5334" t="s">
        <v>15</v>
      </c>
      <c r="J5334" t="s">
        <v>15</v>
      </c>
      <c r="K5334">
        <v>2.2200000000000002</v>
      </c>
      <c r="L5334">
        <v>0</v>
      </c>
    </row>
    <row r="5335" spans="1:12" x14ac:dyDescent="0.3">
      <c r="A5335" t="s">
        <v>5351</v>
      </c>
      <c r="B5335" t="s">
        <v>17</v>
      </c>
      <c r="C5335">
        <v>499</v>
      </c>
      <c r="D5335">
        <v>8.98</v>
      </c>
      <c r="E5335">
        <v>1.62</v>
      </c>
      <c r="F5335">
        <f>COUNTIFS(mdr_rate_cleaned!$A$2:$A$10,B5335,mdr_rate_cleaned!$B$2:$B$10,"&lt;"&amp;C5335,mdr_rate_cleaned!$F$2:$F$10,"&gt;="&amp;C5335)</f>
        <v>1</v>
      </c>
      <c r="G5335">
        <v>1.7999999999999999E-2</v>
      </c>
      <c r="H5335">
        <v>8.98</v>
      </c>
      <c r="I5335" t="s">
        <v>15</v>
      </c>
      <c r="J5335" t="s">
        <v>15</v>
      </c>
      <c r="K5335">
        <v>1.62</v>
      </c>
      <c r="L5335">
        <v>0</v>
      </c>
    </row>
    <row r="5336" spans="1:12" x14ac:dyDescent="0.3">
      <c r="A5336" t="s">
        <v>5352</v>
      </c>
      <c r="B5336" t="s">
        <v>13</v>
      </c>
      <c r="C5336">
        <v>349</v>
      </c>
      <c r="D5336">
        <v>6.63</v>
      </c>
      <c r="E5336">
        <v>1.19</v>
      </c>
      <c r="F5336">
        <f>COUNTIFS(mdr_rate_cleaned!$A$2:$A$10,B5336,mdr_rate_cleaned!$B$2:$B$10,"&lt;"&amp;C5336,mdr_rate_cleaned!$F$2:$F$10,"&gt;="&amp;C5336)</f>
        <v>1</v>
      </c>
      <c r="G5336">
        <v>1.9E-2</v>
      </c>
      <c r="H5336">
        <v>6.63</v>
      </c>
      <c r="I5336" t="s">
        <v>15</v>
      </c>
      <c r="J5336" t="s">
        <v>15</v>
      </c>
      <c r="K5336">
        <v>1.19</v>
      </c>
      <c r="L5336">
        <v>0</v>
      </c>
    </row>
    <row r="5337" spans="1:12" x14ac:dyDescent="0.3">
      <c r="A5337" t="s">
        <v>5353</v>
      </c>
      <c r="B5337" t="s">
        <v>21</v>
      </c>
      <c r="C5337">
        <v>1799</v>
      </c>
      <c r="D5337">
        <v>0</v>
      </c>
      <c r="E5337">
        <v>0</v>
      </c>
      <c r="F5337">
        <f>COUNTIFS(mdr_rate_cleaned!$A$2:$A$10,B5337,mdr_rate_cleaned!$B$2:$B$10,"&lt;"&amp;C5337,mdr_rate_cleaned!$F$2:$F$10,"&gt;="&amp;C5337)</f>
        <v>1</v>
      </c>
      <c r="G5337">
        <v>0</v>
      </c>
      <c r="H5337">
        <v>0</v>
      </c>
      <c r="I5337" t="s">
        <v>15</v>
      </c>
      <c r="J5337" t="s">
        <v>15</v>
      </c>
      <c r="K5337">
        <v>0</v>
      </c>
      <c r="L5337">
        <v>0</v>
      </c>
    </row>
    <row r="5338" spans="1:12" x14ac:dyDescent="0.3">
      <c r="A5338" t="s">
        <v>5354</v>
      </c>
      <c r="B5338" t="s">
        <v>13</v>
      </c>
      <c r="C5338">
        <v>9297</v>
      </c>
      <c r="D5338">
        <v>158.05000000000001</v>
      </c>
      <c r="E5338">
        <v>28.45</v>
      </c>
      <c r="F5338">
        <f>COUNTIFS(mdr_rate_cleaned!$A$2:$A$10,B5338,mdr_rate_cleaned!$B$2:$B$10,"&lt;"&amp;C5338,mdr_rate_cleaned!$F$2:$F$10,"&gt;="&amp;C5338)</f>
        <v>1</v>
      </c>
      <c r="G5338">
        <v>1.7000000000000001E-2</v>
      </c>
      <c r="H5338">
        <v>158.05000000000001</v>
      </c>
      <c r="I5338" t="s">
        <v>15</v>
      </c>
      <c r="J5338" t="s">
        <v>15</v>
      </c>
      <c r="K5338">
        <v>28.45</v>
      </c>
      <c r="L5338">
        <v>0</v>
      </c>
    </row>
    <row r="5339" spans="1:12" x14ac:dyDescent="0.3">
      <c r="A5339" t="s">
        <v>5355</v>
      </c>
      <c r="B5339" t="s">
        <v>17</v>
      </c>
      <c r="C5339">
        <v>999</v>
      </c>
      <c r="D5339">
        <v>17.98</v>
      </c>
      <c r="E5339">
        <v>3.24</v>
      </c>
      <c r="F5339">
        <f>COUNTIFS(mdr_rate_cleaned!$A$2:$A$10,B5339,mdr_rate_cleaned!$B$2:$B$10,"&lt;"&amp;C5339,mdr_rate_cleaned!$F$2:$F$10,"&gt;="&amp;C5339)</f>
        <v>1</v>
      </c>
      <c r="G5339">
        <v>1.7999999999999999E-2</v>
      </c>
      <c r="H5339">
        <v>17.98</v>
      </c>
      <c r="I5339" t="s">
        <v>15</v>
      </c>
      <c r="J5339" t="s">
        <v>15</v>
      </c>
      <c r="K5339">
        <v>3.24</v>
      </c>
      <c r="L5339">
        <v>0</v>
      </c>
    </row>
    <row r="5340" spans="1:12" x14ac:dyDescent="0.3">
      <c r="A5340" t="s">
        <v>5356</v>
      </c>
      <c r="B5340" t="s">
        <v>13</v>
      </c>
      <c r="C5340">
        <v>3147</v>
      </c>
      <c r="D5340">
        <v>53.5</v>
      </c>
      <c r="E5340">
        <v>9.6300000000000008</v>
      </c>
      <c r="F5340">
        <f>COUNTIFS(mdr_rate_cleaned!$A$2:$A$10,B5340,mdr_rate_cleaned!$B$2:$B$10,"&lt;"&amp;C5340,mdr_rate_cleaned!$F$2:$F$10,"&gt;="&amp;C5340)</f>
        <v>1</v>
      </c>
      <c r="G5340">
        <v>1.7000000000000001E-2</v>
      </c>
      <c r="H5340">
        <v>53.5</v>
      </c>
      <c r="I5340" t="s">
        <v>15</v>
      </c>
      <c r="J5340" t="s">
        <v>15</v>
      </c>
      <c r="K5340">
        <v>9.6300000000000008</v>
      </c>
      <c r="L5340">
        <v>0</v>
      </c>
    </row>
    <row r="5341" spans="1:12" x14ac:dyDescent="0.3">
      <c r="A5341" t="s">
        <v>5357</v>
      </c>
      <c r="B5341" t="s">
        <v>21</v>
      </c>
      <c r="C5341">
        <v>2499</v>
      </c>
      <c r="D5341">
        <v>7.5</v>
      </c>
      <c r="E5341">
        <v>1.35</v>
      </c>
      <c r="F5341">
        <f>COUNTIFS(mdr_rate_cleaned!$A$2:$A$10,B5341,mdr_rate_cleaned!$B$2:$B$10,"&lt;"&amp;C5341,mdr_rate_cleaned!$F$2:$F$10,"&gt;="&amp;C5341)</f>
        <v>1</v>
      </c>
      <c r="G5341">
        <v>3.0000000000000001E-3</v>
      </c>
      <c r="H5341">
        <v>7.5</v>
      </c>
      <c r="I5341" t="s">
        <v>15</v>
      </c>
      <c r="J5341" t="s">
        <v>15</v>
      </c>
      <c r="K5341">
        <v>1.35</v>
      </c>
      <c r="L5341">
        <v>0</v>
      </c>
    </row>
    <row r="5342" spans="1:12" x14ac:dyDescent="0.3">
      <c r="A5342" t="s">
        <v>5358</v>
      </c>
      <c r="B5342" t="s">
        <v>39</v>
      </c>
      <c r="C5342">
        <v>799</v>
      </c>
      <c r="D5342">
        <v>11.99</v>
      </c>
      <c r="E5342">
        <v>2.16</v>
      </c>
      <c r="F5342">
        <f>COUNTIFS(mdr_rate_cleaned!$A$2:$A$10,B5342,mdr_rate_cleaned!$B$2:$B$10,"&lt;"&amp;C5342,mdr_rate_cleaned!$F$2:$F$10,"&gt;="&amp;C5342)</f>
        <v>1</v>
      </c>
      <c r="G5342">
        <v>1.4999999999999999E-2</v>
      </c>
      <c r="H5342">
        <v>11.99</v>
      </c>
      <c r="I5342" t="s">
        <v>15</v>
      </c>
      <c r="J5342" t="s">
        <v>15</v>
      </c>
      <c r="K5342">
        <v>2.16</v>
      </c>
      <c r="L5342">
        <v>0</v>
      </c>
    </row>
    <row r="5343" spans="1:12" x14ac:dyDescent="0.3">
      <c r="A5343" t="s">
        <v>5359</v>
      </c>
      <c r="B5343" t="s">
        <v>17</v>
      </c>
      <c r="C5343">
        <v>2798</v>
      </c>
      <c r="D5343">
        <v>44.77</v>
      </c>
      <c r="E5343">
        <v>8.06</v>
      </c>
      <c r="F5343">
        <f>COUNTIFS(mdr_rate_cleaned!$A$2:$A$10,B5343,mdr_rate_cleaned!$B$2:$B$10,"&lt;"&amp;C5343,mdr_rate_cleaned!$F$2:$F$10,"&gt;="&amp;C5343)</f>
        <v>1</v>
      </c>
      <c r="G5343">
        <v>1.6E-2</v>
      </c>
      <c r="H5343">
        <v>44.77</v>
      </c>
      <c r="I5343" t="s">
        <v>15</v>
      </c>
      <c r="J5343" t="s">
        <v>15</v>
      </c>
      <c r="K5343">
        <v>8.06</v>
      </c>
      <c r="L5343">
        <v>0</v>
      </c>
    </row>
    <row r="5344" spans="1:12" x14ac:dyDescent="0.3">
      <c r="A5344" t="s">
        <v>5360</v>
      </c>
      <c r="B5344" t="s">
        <v>21</v>
      </c>
      <c r="C5344">
        <v>4999</v>
      </c>
      <c r="D5344">
        <v>15</v>
      </c>
      <c r="E5344">
        <v>2.7</v>
      </c>
      <c r="F5344">
        <f>COUNTIFS(mdr_rate_cleaned!$A$2:$A$10,B5344,mdr_rate_cleaned!$B$2:$B$10,"&lt;"&amp;C5344,mdr_rate_cleaned!$F$2:$F$10,"&gt;="&amp;C5344)</f>
        <v>1</v>
      </c>
      <c r="G5344">
        <v>3.0000000000000001E-3</v>
      </c>
      <c r="H5344">
        <v>15</v>
      </c>
      <c r="I5344" t="s">
        <v>15</v>
      </c>
      <c r="J5344" t="s">
        <v>15</v>
      </c>
      <c r="K5344">
        <v>2.7</v>
      </c>
      <c r="L5344">
        <v>0</v>
      </c>
    </row>
    <row r="5345" spans="1:12" x14ac:dyDescent="0.3">
      <c r="A5345" t="s">
        <v>5361</v>
      </c>
      <c r="B5345" t="s">
        <v>13</v>
      </c>
      <c r="C5345">
        <v>1098</v>
      </c>
      <c r="D5345">
        <v>20.86</v>
      </c>
      <c r="E5345">
        <v>3.75</v>
      </c>
      <c r="F5345">
        <f>COUNTIFS(mdr_rate_cleaned!$A$2:$A$10,B5345,mdr_rate_cleaned!$B$2:$B$10,"&lt;"&amp;C5345,mdr_rate_cleaned!$F$2:$F$10,"&gt;="&amp;C5345)</f>
        <v>1</v>
      </c>
      <c r="G5345">
        <v>1.9E-2</v>
      </c>
      <c r="H5345">
        <v>20.86</v>
      </c>
      <c r="I5345" t="s">
        <v>15</v>
      </c>
      <c r="J5345" t="s">
        <v>15</v>
      </c>
      <c r="K5345">
        <v>3.75</v>
      </c>
      <c r="L5345">
        <v>0</v>
      </c>
    </row>
    <row r="5346" spans="1:12" x14ac:dyDescent="0.3">
      <c r="A5346" t="s">
        <v>5362</v>
      </c>
      <c r="B5346" t="s">
        <v>21</v>
      </c>
      <c r="C5346">
        <v>10998</v>
      </c>
      <c r="D5346">
        <v>32.99</v>
      </c>
      <c r="E5346">
        <v>5.94</v>
      </c>
      <c r="F5346">
        <f>COUNTIFS(mdr_rate_cleaned!$A$2:$A$10,B5346,mdr_rate_cleaned!$B$2:$B$10,"&lt;"&amp;C5346,mdr_rate_cleaned!$F$2:$F$10,"&gt;="&amp;C5346)</f>
        <v>1</v>
      </c>
      <c r="G5346">
        <v>3.0000000000000001E-3</v>
      </c>
      <c r="H5346">
        <v>32.99</v>
      </c>
      <c r="I5346" t="s">
        <v>15</v>
      </c>
      <c r="J5346" t="s">
        <v>15</v>
      </c>
      <c r="K5346">
        <v>5.94</v>
      </c>
      <c r="L5346">
        <v>0</v>
      </c>
    </row>
    <row r="5347" spans="1:12" x14ac:dyDescent="0.3">
      <c r="A5347" t="s">
        <v>5363</v>
      </c>
      <c r="B5347" t="s">
        <v>13</v>
      </c>
      <c r="C5347">
        <v>12998</v>
      </c>
      <c r="D5347">
        <v>220.97</v>
      </c>
      <c r="E5347">
        <v>39.770000000000003</v>
      </c>
      <c r="F5347">
        <f>COUNTIFS(mdr_rate_cleaned!$A$2:$A$10,B5347,mdr_rate_cleaned!$B$2:$B$10,"&lt;"&amp;C5347,mdr_rate_cleaned!$F$2:$F$10,"&gt;="&amp;C5347)</f>
        <v>1</v>
      </c>
      <c r="G5347">
        <v>1.7000000000000001E-2</v>
      </c>
      <c r="H5347">
        <v>220.97</v>
      </c>
      <c r="I5347" t="s">
        <v>15</v>
      </c>
      <c r="J5347" t="s">
        <v>15</v>
      </c>
      <c r="K5347">
        <v>39.770000000000003</v>
      </c>
      <c r="L5347">
        <v>0</v>
      </c>
    </row>
    <row r="5348" spans="1:12" x14ac:dyDescent="0.3">
      <c r="A5348" t="s">
        <v>5364</v>
      </c>
      <c r="B5348" t="s">
        <v>13</v>
      </c>
      <c r="C5348">
        <v>12998</v>
      </c>
      <c r="D5348">
        <v>220.97</v>
      </c>
      <c r="E5348">
        <v>39.770000000000003</v>
      </c>
      <c r="F5348">
        <f>COUNTIFS(mdr_rate_cleaned!$A$2:$A$10,B5348,mdr_rate_cleaned!$B$2:$B$10,"&lt;"&amp;C5348,mdr_rate_cleaned!$F$2:$F$10,"&gt;="&amp;C5348)</f>
        <v>1</v>
      </c>
      <c r="G5348">
        <v>1.7000000000000001E-2</v>
      </c>
      <c r="H5348">
        <v>220.97</v>
      </c>
      <c r="I5348" t="s">
        <v>15</v>
      </c>
      <c r="J5348" t="s">
        <v>15</v>
      </c>
      <c r="K5348">
        <v>39.770000000000003</v>
      </c>
      <c r="L5348">
        <v>0</v>
      </c>
    </row>
    <row r="5349" spans="1:12" x14ac:dyDescent="0.3">
      <c r="A5349" t="s">
        <v>5365</v>
      </c>
      <c r="B5349" t="s">
        <v>13</v>
      </c>
      <c r="C5349">
        <v>3497</v>
      </c>
      <c r="D5349">
        <v>59.45</v>
      </c>
      <c r="E5349">
        <v>10.7</v>
      </c>
      <c r="F5349">
        <f>COUNTIFS(mdr_rate_cleaned!$A$2:$A$10,B5349,mdr_rate_cleaned!$B$2:$B$10,"&lt;"&amp;C5349,mdr_rate_cleaned!$F$2:$F$10,"&gt;="&amp;C5349)</f>
        <v>1</v>
      </c>
      <c r="G5349">
        <v>1.7000000000000001E-2</v>
      </c>
      <c r="H5349">
        <v>59.45</v>
      </c>
      <c r="I5349" t="s">
        <v>15</v>
      </c>
      <c r="J5349" t="s">
        <v>15</v>
      </c>
      <c r="K5349">
        <v>10.7</v>
      </c>
      <c r="L5349">
        <v>0</v>
      </c>
    </row>
    <row r="5350" spans="1:12" x14ac:dyDescent="0.3">
      <c r="A5350" t="s">
        <v>5366</v>
      </c>
      <c r="B5350" t="s">
        <v>13</v>
      </c>
      <c r="C5350">
        <v>9197</v>
      </c>
      <c r="D5350">
        <v>156.35</v>
      </c>
      <c r="E5350">
        <v>28.14</v>
      </c>
      <c r="F5350">
        <f>COUNTIFS(mdr_rate_cleaned!$A$2:$A$10,B5350,mdr_rate_cleaned!$B$2:$B$10,"&lt;"&amp;C5350,mdr_rate_cleaned!$F$2:$F$10,"&gt;="&amp;C5350)</f>
        <v>1</v>
      </c>
      <c r="G5350">
        <v>1.7000000000000001E-2</v>
      </c>
      <c r="H5350">
        <v>156.35</v>
      </c>
      <c r="I5350" t="s">
        <v>15</v>
      </c>
      <c r="J5350" t="s">
        <v>15</v>
      </c>
      <c r="K5350">
        <v>28.14</v>
      </c>
      <c r="L5350">
        <v>0</v>
      </c>
    </row>
    <row r="5351" spans="1:12" x14ac:dyDescent="0.3">
      <c r="A5351" t="s">
        <v>5367</v>
      </c>
      <c r="B5351" t="s">
        <v>17</v>
      </c>
      <c r="C5351">
        <v>499</v>
      </c>
      <c r="D5351">
        <v>8.98</v>
      </c>
      <c r="E5351">
        <v>1.62</v>
      </c>
      <c r="F5351">
        <f>COUNTIFS(mdr_rate_cleaned!$A$2:$A$10,B5351,mdr_rate_cleaned!$B$2:$B$10,"&lt;"&amp;C5351,mdr_rate_cleaned!$F$2:$F$10,"&gt;="&amp;C5351)</f>
        <v>1</v>
      </c>
      <c r="G5351">
        <v>1.7999999999999999E-2</v>
      </c>
      <c r="H5351">
        <v>8.98</v>
      </c>
      <c r="I5351" t="s">
        <v>15</v>
      </c>
      <c r="J5351" t="s">
        <v>15</v>
      </c>
      <c r="K5351">
        <v>1.62</v>
      </c>
      <c r="L5351">
        <v>0</v>
      </c>
    </row>
    <row r="5352" spans="1:12" x14ac:dyDescent="0.3">
      <c r="A5352" t="s">
        <v>5368</v>
      </c>
      <c r="B5352" t="s">
        <v>21</v>
      </c>
      <c r="C5352">
        <v>4999</v>
      </c>
      <c r="D5352">
        <v>15</v>
      </c>
      <c r="E5352">
        <v>2.7</v>
      </c>
      <c r="F5352">
        <f>COUNTIFS(mdr_rate_cleaned!$A$2:$A$10,B5352,mdr_rate_cleaned!$B$2:$B$10,"&lt;"&amp;C5352,mdr_rate_cleaned!$F$2:$F$10,"&gt;="&amp;C5352)</f>
        <v>1</v>
      </c>
      <c r="G5352">
        <v>3.0000000000000001E-3</v>
      </c>
      <c r="H5352">
        <v>15</v>
      </c>
      <c r="I5352" t="s">
        <v>15</v>
      </c>
      <c r="J5352" t="s">
        <v>15</v>
      </c>
      <c r="K5352">
        <v>2.7</v>
      </c>
      <c r="L5352">
        <v>0</v>
      </c>
    </row>
    <row r="5353" spans="1:12" x14ac:dyDescent="0.3">
      <c r="A5353" t="s">
        <v>5369</v>
      </c>
      <c r="B5353" t="s">
        <v>21</v>
      </c>
      <c r="C5353">
        <v>1499</v>
      </c>
      <c r="D5353">
        <v>0</v>
      </c>
      <c r="E5353">
        <v>0</v>
      </c>
      <c r="F5353">
        <f>COUNTIFS(mdr_rate_cleaned!$A$2:$A$10,B5353,mdr_rate_cleaned!$B$2:$B$10,"&lt;"&amp;C5353,mdr_rate_cleaned!$F$2:$F$10,"&gt;="&amp;C5353)</f>
        <v>1</v>
      </c>
      <c r="G5353">
        <v>0</v>
      </c>
      <c r="H5353">
        <v>0</v>
      </c>
      <c r="I5353" t="s">
        <v>15</v>
      </c>
      <c r="J5353" t="s">
        <v>15</v>
      </c>
      <c r="K5353">
        <v>0</v>
      </c>
      <c r="L5353">
        <v>0</v>
      </c>
    </row>
    <row r="5354" spans="1:12" x14ac:dyDescent="0.3">
      <c r="A5354" t="s">
        <v>5370</v>
      </c>
      <c r="B5354" t="s">
        <v>17</v>
      </c>
      <c r="C5354">
        <v>1299</v>
      </c>
      <c r="D5354">
        <v>23.38</v>
      </c>
      <c r="E5354">
        <v>4.21</v>
      </c>
      <c r="F5354">
        <f>COUNTIFS(mdr_rate_cleaned!$A$2:$A$10,B5354,mdr_rate_cleaned!$B$2:$B$10,"&lt;"&amp;C5354,mdr_rate_cleaned!$F$2:$F$10,"&gt;="&amp;C5354)</f>
        <v>1</v>
      </c>
      <c r="G5354">
        <v>1.7999999999999999E-2</v>
      </c>
      <c r="H5354">
        <v>23.38</v>
      </c>
      <c r="I5354" t="s">
        <v>15</v>
      </c>
      <c r="J5354" t="s">
        <v>15</v>
      </c>
      <c r="K5354">
        <v>4.21</v>
      </c>
      <c r="L5354">
        <v>0</v>
      </c>
    </row>
    <row r="5355" spans="1:12" x14ac:dyDescent="0.3">
      <c r="A5355" t="s">
        <v>5371</v>
      </c>
      <c r="B5355" t="s">
        <v>21</v>
      </c>
      <c r="C5355">
        <v>2098</v>
      </c>
      <c r="D5355">
        <v>6.29</v>
      </c>
      <c r="E5355">
        <v>1.1299999999999999</v>
      </c>
      <c r="F5355">
        <f>COUNTIFS(mdr_rate_cleaned!$A$2:$A$10,B5355,mdr_rate_cleaned!$B$2:$B$10,"&lt;"&amp;C5355,mdr_rate_cleaned!$F$2:$F$10,"&gt;="&amp;C5355)</f>
        <v>1</v>
      </c>
      <c r="G5355">
        <v>3.0000000000000001E-3</v>
      </c>
      <c r="H5355">
        <v>6.29</v>
      </c>
      <c r="I5355" t="s">
        <v>15</v>
      </c>
      <c r="J5355" t="s">
        <v>15</v>
      </c>
      <c r="K5355">
        <v>1.1299999999999999</v>
      </c>
      <c r="L5355">
        <v>0</v>
      </c>
    </row>
    <row r="5356" spans="1:12" x14ac:dyDescent="0.3">
      <c r="A5356" t="s">
        <v>5372</v>
      </c>
      <c r="B5356" t="s">
        <v>17</v>
      </c>
      <c r="C5356">
        <v>5298</v>
      </c>
      <c r="D5356">
        <v>84.77</v>
      </c>
      <c r="E5356">
        <v>15.26</v>
      </c>
      <c r="F5356">
        <f>COUNTIFS(mdr_rate_cleaned!$A$2:$A$10,B5356,mdr_rate_cleaned!$B$2:$B$10,"&lt;"&amp;C5356,mdr_rate_cleaned!$F$2:$F$10,"&gt;="&amp;C5356)</f>
        <v>1</v>
      </c>
      <c r="G5356">
        <v>1.6E-2</v>
      </c>
      <c r="H5356">
        <v>84.77</v>
      </c>
      <c r="I5356" t="s">
        <v>15</v>
      </c>
      <c r="J5356" t="s">
        <v>15</v>
      </c>
      <c r="K5356">
        <v>15.26</v>
      </c>
      <c r="L5356">
        <v>0</v>
      </c>
    </row>
    <row r="5357" spans="1:12" x14ac:dyDescent="0.3">
      <c r="A5357" t="s">
        <v>5373</v>
      </c>
      <c r="B5357" t="s">
        <v>13</v>
      </c>
      <c r="C5357">
        <v>799</v>
      </c>
      <c r="D5357">
        <v>15.18</v>
      </c>
      <c r="E5357">
        <v>2.73</v>
      </c>
      <c r="F5357">
        <f>COUNTIFS(mdr_rate_cleaned!$A$2:$A$10,B5357,mdr_rate_cleaned!$B$2:$B$10,"&lt;"&amp;C5357,mdr_rate_cleaned!$F$2:$F$10,"&gt;="&amp;C5357)</f>
        <v>1</v>
      </c>
      <c r="G5357">
        <v>1.9E-2</v>
      </c>
      <c r="H5357">
        <v>15.18</v>
      </c>
      <c r="I5357" t="s">
        <v>15</v>
      </c>
      <c r="J5357" t="s">
        <v>15</v>
      </c>
      <c r="K5357">
        <v>2.73</v>
      </c>
      <c r="L5357">
        <v>0</v>
      </c>
    </row>
    <row r="5358" spans="1:12" x14ac:dyDescent="0.3">
      <c r="A5358" t="s">
        <v>5374</v>
      </c>
      <c r="B5358" t="s">
        <v>39</v>
      </c>
      <c r="C5358">
        <v>299</v>
      </c>
      <c r="D5358">
        <v>4.49</v>
      </c>
      <c r="E5358">
        <v>0.81</v>
      </c>
      <c r="F5358">
        <f>COUNTIFS(mdr_rate_cleaned!$A$2:$A$10,B5358,mdr_rate_cleaned!$B$2:$B$10,"&lt;"&amp;C5358,mdr_rate_cleaned!$F$2:$F$10,"&gt;="&amp;C5358)</f>
        <v>1</v>
      </c>
      <c r="G5358">
        <v>1.4999999999999999E-2</v>
      </c>
      <c r="H5358">
        <v>4.49</v>
      </c>
      <c r="I5358" t="s">
        <v>15</v>
      </c>
      <c r="J5358" t="s">
        <v>15</v>
      </c>
      <c r="K5358">
        <v>0.81</v>
      </c>
      <c r="L5358">
        <v>0</v>
      </c>
    </row>
    <row r="5359" spans="1:12" x14ac:dyDescent="0.3">
      <c r="A5359" t="s">
        <v>5375</v>
      </c>
      <c r="B5359" t="s">
        <v>21</v>
      </c>
      <c r="C5359">
        <v>999</v>
      </c>
      <c r="D5359">
        <v>0</v>
      </c>
      <c r="E5359">
        <v>0</v>
      </c>
      <c r="F5359">
        <f>COUNTIFS(mdr_rate_cleaned!$A$2:$A$10,B5359,mdr_rate_cleaned!$B$2:$B$10,"&lt;"&amp;C5359,mdr_rate_cleaned!$F$2:$F$10,"&gt;="&amp;C5359)</f>
        <v>1</v>
      </c>
      <c r="G5359">
        <v>0</v>
      </c>
      <c r="H5359">
        <v>0</v>
      </c>
      <c r="I5359" t="s">
        <v>15</v>
      </c>
      <c r="J5359" t="s">
        <v>15</v>
      </c>
      <c r="K5359">
        <v>0</v>
      </c>
      <c r="L5359">
        <v>0</v>
      </c>
    </row>
    <row r="5360" spans="1:12" x14ac:dyDescent="0.3">
      <c r="A5360" t="s">
        <v>5376</v>
      </c>
      <c r="B5360" t="s">
        <v>21</v>
      </c>
      <c r="C5360">
        <v>5998</v>
      </c>
      <c r="D5360">
        <v>17.989999999999998</v>
      </c>
      <c r="E5360">
        <v>3.24</v>
      </c>
      <c r="F5360">
        <f>COUNTIFS(mdr_rate_cleaned!$A$2:$A$10,B5360,mdr_rate_cleaned!$B$2:$B$10,"&lt;"&amp;C5360,mdr_rate_cleaned!$F$2:$F$10,"&gt;="&amp;C5360)</f>
        <v>1</v>
      </c>
      <c r="G5360">
        <v>3.0000000000000001E-3</v>
      </c>
      <c r="H5360">
        <v>17.989999999999998</v>
      </c>
      <c r="I5360" t="s">
        <v>15</v>
      </c>
      <c r="J5360" t="s">
        <v>15</v>
      </c>
      <c r="K5360">
        <v>3.24</v>
      </c>
      <c r="L5360">
        <v>0</v>
      </c>
    </row>
    <row r="5361" spans="1:12" x14ac:dyDescent="0.3">
      <c r="A5361" t="s">
        <v>5377</v>
      </c>
      <c r="B5361" t="s">
        <v>17</v>
      </c>
      <c r="C5361">
        <v>2499</v>
      </c>
      <c r="D5361">
        <v>39.979999999999997</v>
      </c>
      <c r="E5361">
        <v>7.2</v>
      </c>
      <c r="F5361">
        <f>COUNTIFS(mdr_rate_cleaned!$A$2:$A$10,B5361,mdr_rate_cleaned!$B$2:$B$10,"&lt;"&amp;C5361,mdr_rate_cleaned!$F$2:$F$10,"&gt;="&amp;C5361)</f>
        <v>1</v>
      </c>
      <c r="G5361">
        <v>1.6E-2</v>
      </c>
      <c r="H5361">
        <v>39.979999999999997</v>
      </c>
      <c r="I5361" t="s">
        <v>15</v>
      </c>
      <c r="J5361" t="s">
        <v>15</v>
      </c>
      <c r="K5361">
        <v>7.2</v>
      </c>
      <c r="L5361">
        <v>0</v>
      </c>
    </row>
    <row r="5362" spans="1:12" x14ac:dyDescent="0.3">
      <c r="A5362" t="s">
        <v>5378</v>
      </c>
      <c r="B5362" t="s">
        <v>21</v>
      </c>
      <c r="C5362">
        <v>2999</v>
      </c>
      <c r="D5362">
        <v>9</v>
      </c>
      <c r="E5362">
        <v>1.62</v>
      </c>
      <c r="F5362">
        <f>COUNTIFS(mdr_rate_cleaned!$A$2:$A$10,B5362,mdr_rate_cleaned!$B$2:$B$10,"&lt;"&amp;C5362,mdr_rate_cleaned!$F$2:$F$10,"&gt;="&amp;C5362)</f>
        <v>1</v>
      </c>
      <c r="G5362">
        <v>3.0000000000000001E-3</v>
      </c>
      <c r="H5362">
        <v>9</v>
      </c>
      <c r="I5362" t="s">
        <v>15</v>
      </c>
      <c r="J5362" t="s">
        <v>15</v>
      </c>
      <c r="K5362">
        <v>1.62</v>
      </c>
      <c r="L5362">
        <v>0</v>
      </c>
    </row>
    <row r="5363" spans="1:12" x14ac:dyDescent="0.3">
      <c r="A5363" t="s">
        <v>5379</v>
      </c>
      <c r="B5363" t="s">
        <v>39</v>
      </c>
      <c r="C5363">
        <v>3499</v>
      </c>
      <c r="D5363">
        <v>41.99</v>
      </c>
      <c r="E5363">
        <v>7.56</v>
      </c>
      <c r="F5363">
        <f>COUNTIFS(mdr_rate_cleaned!$A$2:$A$10,B5363,mdr_rate_cleaned!$B$2:$B$10,"&lt;"&amp;C5363,mdr_rate_cleaned!$F$2:$F$10,"&gt;="&amp;C5363)</f>
        <v>1</v>
      </c>
      <c r="G5363">
        <v>1.2E-2</v>
      </c>
      <c r="H5363">
        <v>41.99</v>
      </c>
      <c r="I5363" t="s">
        <v>15</v>
      </c>
      <c r="J5363" t="s">
        <v>15</v>
      </c>
      <c r="K5363">
        <v>7.56</v>
      </c>
      <c r="L5363">
        <v>0</v>
      </c>
    </row>
    <row r="5364" spans="1:12" x14ac:dyDescent="0.3">
      <c r="A5364" t="s">
        <v>5380</v>
      </c>
      <c r="B5364" t="s">
        <v>13</v>
      </c>
      <c r="C5364">
        <v>4197</v>
      </c>
      <c r="D5364">
        <v>71.349999999999994</v>
      </c>
      <c r="E5364">
        <v>12.84</v>
      </c>
      <c r="F5364">
        <f>COUNTIFS(mdr_rate_cleaned!$A$2:$A$10,B5364,mdr_rate_cleaned!$B$2:$B$10,"&lt;"&amp;C5364,mdr_rate_cleaned!$F$2:$F$10,"&gt;="&amp;C5364)</f>
        <v>1</v>
      </c>
      <c r="G5364">
        <v>1.7000000000000001E-2</v>
      </c>
      <c r="H5364">
        <v>71.349999999999994</v>
      </c>
      <c r="I5364" t="s">
        <v>15</v>
      </c>
      <c r="J5364" t="s">
        <v>15</v>
      </c>
      <c r="K5364">
        <v>12.84</v>
      </c>
      <c r="L5364">
        <v>0</v>
      </c>
    </row>
    <row r="5365" spans="1:12" x14ac:dyDescent="0.3">
      <c r="A5365" t="s">
        <v>5381</v>
      </c>
      <c r="B5365" t="s">
        <v>39</v>
      </c>
      <c r="C5365">
        <v>998</v>
      </c>
      <c r="D5365">
        <v>14.97</v>
      </c>
      <c r="E5365">
        <v>2.69</v>
      </c>
      <c r="F5365">
        <f>COUNTIFS(mdr_rate_cleaned!$A$2:$A$10,B5365,mdr_rate_cleaned!$B$2:$B$10,"&lt;"&amp;C5365,mdr_rate_cleaned!$F$2:$F$10,"&gt;="&amp;C5365)</f>
        <v>1</v>
      </c>
      <c r="G5365">
        <v>1.4999999999999999E-2</v>
      </c>
      <c r="H5365">
        <v>14.97</v>
      </c>
      <c r="I5365" t="s">
        <v>15</v>
      </c>
      <c r="J5365" t="s">
        <v>15</v>
      </c>
      <c r="K5365">
        <v>2.69</v>
      </c>
      <c r="L5365">
        <v>0</v>
      </c>
    </row>
    <row r="5366" spans="1:12" x14ac:dyDescent="0.3">
      <c r="A5366" t="s">
        <v>5382</v>
      </c>
      <c r="B5366" t="s">
        <v>13</v>
      </c>
      <c r="C5366">
        <v>2499</v>
      </c>
      <c r="D5366">
        <v>42.48</v>
      </c>
      <c r="E5366">
        <v>7.65</v>
      </c>
      <c r="F5366">
        <f>COUNTIFS(mdr_rate_cleaned!$A$2:$A$10,B5366,mdr_rate_cleaned!$B$2:$B$10,"&lt;"&amp;C5366,mdr_rate_cleaned!$F$2:$F$10,"&gt;="&amp;C5366)</f>
        <v>1</v>
      </c>
      <c r="G5366">
        <v>1.7000000000000001E-2</v>
      </c>
      <c r="H5366">
        <v>42.48</v>
      </c>
      <c r="I5366" t="s">
        <v>15</v>
      </c>
      <c r="J5366" t="s">
        <v>15</v>
      </c>
      <c r="K5366">
        <v>7.65</v>
      </c>
      <c r="L5366">
        <v>0</v>
      </c>
    </row>
    <row r="5367" spans="1:12" x14ac:dyDescent="0.3">
      <c r="A5367" t="s">
        <v>5383</v>
      </c>
      <c r="B5367" t="s">
        <v>21</v>
      </c>
      <c r="C5367">
        <v>4999</v>
      </c>
      <c r="D5367">
        <v>15</v>
      </c>
      <c r="E5367">
        <v>2.7</v>
      </c>
      <c r="F5367">
        <f>COUNTIFS(mdr_rate_cleaned!$A$2:$A$10,B5367,mdr_rate_cleaned!$B$2:$B$10,"&lt;"&amp;C5367,mdr_rate_cleaned!$F$2:$F$10,"&gt;="&amp;C5367)</f>
        <v>1</v>
      </c>
      <c r="G5367">
        <v>3.0000000000000001E-3</v>
      </c>
      <c r="H5367">
        <v>15</v>
      </c>
      <c r="I5367" t="s">
        <v>15</v>
      </c>
      <c r="J5367" t="s">
        <v>15</v>
      </c>
      <c r="K5367">
        <v>2.7</v>
      </c>
      <c r="L5367">
        <v>0</v>
      </c>
    </row>
    <row r="5368" spans="1:12" x14ac:dyDescent="0.3">
      <c r="A5368" t="s">
        <v>5384</v>
      </c>
      <c r="B5368" t="s">
        <v>21</v>
      </c>
      <c r="C5368">
        <v>3098</v>
      </c>
      <c r="D5368">
        <v>9.2899999999999991</v>
      </c>
      <c r="E5368">
        <v>1.67</v>
      </c>
      <c r="F5368">
        <f>COUNTIFS(mdr_rate_cleaned!$A$2:$A$10,B5368,mdr_rate_cleaned!$B$2:$B$10,"&lt;"&amp;C5368,mdr_rate_cleaned!$F$2:$F$10,"&gt;="&amp;C5368)</f>
        <v>1</v>
      </c>
      <c r="G5368">
        <v>3.0000000000000001E-3</v>
      </c>
      <c r="H5368">
        <v>9.2899999999999991</v>
      </c>
      <c r="I5368" t="s">
        <v>15</v>
      </c>
      <c r="J5368" t="s">
        <v>15</v>
      </c>
      <c r="K5368">
        <v>1.67</v>
      </c>
      <c r="L5368">
        <v>0</v>
      </c>
    </row>
    <row r="5369" spans="1:12" x14ac:dyDescent="0.3">
      <c r="A5369" t="s">
        <v>5385</v>
      </c>
      <c r="B5369" t="s">
        <v>21</v>
      </c>
      <c r="C5369">
        <v>999</v>
      </c>
      <c r="D5369">
        <v>0</v>
      </c>
      <c r="E5369">
        <v>0</v>
      </c>
      <c r="F5369">
        <f>COUNTIFS(mdr_rate_cleaned!$A$2:$A$10,B5369,mdr_rate_cleaned!$B$2:$B$10,"&lt;"&amp;C5369,mdr_rate_cleaned!$F$2:$F$10,"&gt;="&amp;C5369)</f>
        <v>1</v>
      </c>
      <c r="G5369">
        <v>0</v>
      </c>
      <c r="H5369">
        <v>0</v>
      </c>
      <c r="I5369" t="s">
        <v>15</v>
      </c>
      <c r="J5369" t="s">
        <v>15</v>
      </c>
      <c r="K5369">
        <v>0</v>
      </c>
      <c r="L5369">
        <v>0</v>
      </c>
    </row>
    <row r="5370" spans="1:12" x14ac:dyDescent="0.3">
      <c r="A5370" t="s">
        <v>5386</v>
      </c>
      <c r="B5370" t="s">
        <v>17</v>
      </c>
      <c r="C5370">
        <v>5498</v>
      </c>
      <c r="D5370">
        <v>87.97</v>
      </c>
      <c r="E5370">
        <v>15.83</v>
      </c>
      <c r="F5370">
        <f>COUNTIFS(mdr_rate_cleaned!$A$2:$A$10,B5370,mdr_rate_cleaned!$B$2:$B$10,"&lt;"&amp;C5370,mdr_rate_cleaned!$F$2:$F$10,"&gt;="&amp;C5370)</f>
        <v>1</v>
      </c>
      <c r="G5370">
        <v>1.6E-2</v>
      </c>
      <c r="H5370">
        <v>87.97</v>
      </c>
      <c r="I5370" t="s">
        <v>15</v>
      </c>
      <c r="J5370" t="s">
        <v>15</v>
      </c>
      <c r="K5370">
        <v>15.83</v>
      </c>
      <c r="L5370">
        <v>0</v>
      </c>
    </row>
    <row r="5371" spans="1:12" x14ac:dyDescent="0.3">
      <c r="A5371" t="s">
        <v>5387</v>
      </c>
      <c r="B5371" t="s">
        <v>13</v>
      </c>
      <c r="C5371">
        <v>3848</v>
      </c>
      <c r="D5371">
        <v>65.42</v>
      </c>
      <c r="E5371">
        <v>11.78</v>
      </c>
      <c r="F5371">
        <f>COUNTIFS(mdr_rate_cleaned!$A$2:$A$10,B5371,mdr_rate_cleaned!$B$2:$B$10,"&lt;"&amp;C5371,mdr_rate_cleaned!$F$2:$F$10,"&gt;="&amp;C5371)</f>
        <v>1</v>
      </c>
      <c r="G5371">
        <v>1.7000000000000001E-2</v>
      </c>
      <c r="H5371">
        <v>65.42</v>
      </c>
      <c r="I5371" t="s">
        <v>15</v>
      </c>
      <c r="J5371" t="s">
        <v>15</v>
      </c>
      <c r="K5371">
        <v>11.78</v>
      </c>
      <c r="L5371">
        <v>0</v>
      </c>
    </row>
    <row r="5372" spans="1:12" x14ac:dyDescent="0.3">
      <c r="A5372" t="s">
        <v>5388</v>
      </c>
      <c r="B5372" t="s">
        <v>21</v>
      </c>
      <c r="C5372">
        <v>349</v>
      </c>
      <c r="D5372">
        <v>0</v>
      </c>
      <c r="E5372">
        <v>0</v>
      </c>
      <c r="F5372">
        <f>COUNTIFS(mdr_rate_cleaned!$A$2:$A$10,B5372,mdr_rate_cleaned!$B$2:$B$10,"&lt;"&amp;C5372,mdr_rate_cleaned!$F$2:$F$10,"&gt;="&amp;C5372)</f>
        <v>1</v>
      </c>
      <c r="G5372">
        <v>0</v>
      </c>
      <c r="H5372">
        <v>0</v>
      </c>
      <c r="I5372" t="s">
        <v>15</v>
      </c>
      <c r="J5372" t="s">
        <v>15</v>
      </c>
      <c r="K5372">
        <v>0</v>
      </c>
      <c r="L5372">
        <v>0</v>
      </c>
    </row>
    <row r="5373" spans="1:12" x14ac:dyDescent="0.3">
      <c r="A5373" t="s">
        <v>5389</v>
      </c>
      <c r="B5373" t="s">
        <v>13</v>
      </c>
      <c r="C5373">
        <v>999</v>
      </c>
      <c r="D5373">
        <v>18.98</v>
      </c>
      <c r="E5373">
        <v>3.42</v>
      </c>
      <c r="F5373">
        <f>COUNTIFS(mdr_rate_cleaned!$A$2:$A$10,B5373,mdr_rate_cleaned!$B$2:$B$10,"&lt;"&amp;C5373,mdr_rate_cleaned!$F$2:$F$10,"&gt;="&amp;C5373)</f>
        <v>1</v>
      </c>
      <c r="G5373">
        <v>1.9E-2</v>
      </c>
      <c r="H5373">
        <v>18.98</v>
      </c>
      <c r="I5373" t="s">
        <v>15</v>
      </c>
      <c r="J5373" t="s">
        <v>15</v>
      </c>
      <c r="K5373">
        <v>3.42</v>
      </c>
      <c r="L5373">
        <v>0</v>
      </c>
    </row>
    <row r="5374" spans="1:12" x14ac:dyDescent="0.3">
      <c r="A5374" t="s">
        <v>5390</v>
      </c>
      <c r="B5374" t="s">
        <v>13</v>
      </c>
      <c r="C5374">
        <v>5348</v>
      </c>
      <c r="D5374">
        <v>90.92</v>
      </c>
      <c r="E5374">
        <v>16.37</v>
      </c>
      <c r="F5374">
        <f>COUNTIFS(mdr_rate_cleaned!$A$2:$A$10,B5374,mdr_rate_cleaned!$B$2:$B$10,"&lt;"&amp;C5374,mdr_rate_cleaned!$F$2:$F$10,"&gt;="&amp;C5374)</f>
        <v>1</v>
      </c>
      <c r="G5374">
        <v>1.7000000000000001E-2</v>
      </c>
      <c r="H5374">
        <v>90.92</v>
      </c>
      <c r="I5374" t="s">
        <v>15</v>
      </c>
      <c r="J5374" t="s">
        <v>15</v>
      </c>
      <c r="K5374">
        <v>16.37</v>
      </c>
      <c r="L5374">
        <v>0</v>
      </c>
    </row>
    <row r="5375" spans="1:12" x14ac:dyDescent="0.3">
      <c r="A5375" t="s">
        <v>5391</v>
      </c>
      <c r="B5375" t="s">
        <v>13</v>
      </c>
      <c r="C5375">
        <v>11497</v>
      </c>
      <c r="D5375">
        <v>195.45</v>
      </c>
      <c r="E5375">
        <v>35.18</v>
      </c>
      <c r="F5375">
        <f>COUNTIFS(mdr_rate_cleaned!$A$2:$A$10,B5375,mdr_rate_cleaned!$B$2:$B$10,"&lt;"&amp;C5375,mdr_rate_cleaned!$F$2:$F$10,"&gt;="&amp;C5375)</f>
        <v>1</v>
      </c>
      <c r="G5375">
        <v>1.7000000000000001E-2</v>
      </c>
      <c r="H5375">
        <v>195.45</v>
      </c>
      <c r="I5375" t="s">
        <v>15</v>
      </c>
      <c r="J5375" t="s">
        <v>15</v>
      </c>
      <c r="K5375">
        <v>35.18</v>
      </c>
      <c r="L5375">
        <v>0</v>
      </c>
    </row>
    <row r="5376" spans="1:12" x14ac:dyDescent="0.3">
      <c r="A5376" t="s">
        <v>5392</v>
      </c>
      <c r="B5376" t="s">
        <v>17</v>
      </c>
      <c r="C5376">
        <v>4897</v>
      </c>
      <c r="D5376">
        <v>78.349999999999994</v>
      </c>
      <c r="E5376">
        <v>14.1</v>
      </c>
      <c r="F5376">
        <f>COUNTIFS(mdr_rate_cleaned!$A$2:$A$10,B5376,mdr_rate_cleaned!$B$2:$B$10,"&lt;"&amp;C5376,mdr_rate_cleaned!$F$2:$F$10,"&gt;="&amp;C5376)</f>
        <v>1</v>
      </c>
      <c r="G5376">
        <v>1.6E-2</v>
      </c>
      <c r="H5376">
        <v>78.349999999999994</v>
      </c>
      <c r="I5376" t="s">
        <v>15</v>
      </c>
      <c r="J5376" t="s">
        <v>15</v>
      </c>
      <c r="K5376">
        <v>14.1</v>
      </c>
      <c r="L5376">
        <v>0</v>
      </c>
    </row>
    <row r="5377" spans="1:12" x14ac:dyDescent="0.3">
      <c r="A5377" t="s">
        <v>5393</v>
      </c>
      <c r="B5377" t="s">
        <v>21</v>
      </c>
      <c r="C5377">
        <v>1499</v>
      </c>
      <c r="D5377">
        <v>0</v>
      </c>
      <c r="E5377">
        <v>0</v>
      </c>
      <c r="F5377">
        <f>COUNTIFS(mdr_rate_cleaned!$A$2:$A$10,B5377,mdr_rate_cleaned!$B$2:$B$10,"&lt;"&amp;C5377,mdr_rate_cleaned!$F$2:$F$10,"&gt;="&amp;C5377)</f>
        <v>1</v>
      </c>
      <c r="G5377">
        <v>0</v>
      </c>
      <c r="H5377">
        <v>0</v>
      </c>
      <c r="I5377" t="s">
        <v>15</v>
      </c>
      <c r="J5377" t="s">
        <v>15</v>
      </c>
      <c r="K5377">
        <v>0</v>
      </c>
      <c r="L5377">
        <v>0</v>
      </c>
    </row>
    <row r="5378" spans="1:12" x14ac:dyDescent="0.3">
      <c r="A5378" t="s">
        <v>5394</v>
      </c>
      <c r="B5378" t="s">
        <v>21</v>
      </c>
      <c r="C5378">
        <v>2298</v>
      </c>
      <c r="D5378">
        <v>6.89</v>
      </c>
      <c r="E5378">
        <v>1.24</v>
      </c>
      <c r="F5378">
        <f>COUNTIFS(mdr_rate_cleaned!$A$2:$A$10,B5378,mdr_rate_cleaned!$B$2:$B$10,"&lt;"&amp;C5378,mdr_rate_cleaned!$F$2:$F$10,"&gt;="&amp;C5378)</f>
        <v>1</v>
      </c>
      <c r="G5378">
        <v>3.0000000000000001E-3</v>
      </c>
      <c r="H5378">
        <v>6.89</v>
      </c>
      <c r="I5378" t="s">
        <v>15</v>
      </c>
      <c r="J5378" t="s">
        <v>15</v>
      </c>
      <c r="K5378">
        <v>1.24</v>
      </c>
      <c r="L5378">
        <v>0</v>
      </c>
    </row>
    <row r="5379" spans="1:12" x14ac:dyDescent="0.3">
      <c r="A5379" t="s">
        <v>5395</v>
      </c>
      <c r="B5379" t="s">
        <v>21</v>
      </c>
      <c r="C5379">
        <v>1299</v>
      </c>
      <c r="D5379">
        <v>0</v>
      </c>
      <c r="E5379">
        <v>0</v>
      </c>
      <c r="F5379">
        <f>COUNTIFS(mdr_rate_cleaned!$A$2:$A$10,B5379,mdr_rate_cleaned!$B$2:$B$10,"&lt;"&amp;C5379,mdr_rate_cleaned!$F$2:$F$10,"&gt;="&amp;C5379)</f>
        <v>1</v>
      </c>
      <c r="G5379">
        <v>0</v>
      </c>
      <c r="H5379">
        <v>0</v>
      </c>
      <c r="I5379" t="s">
        <v>15</v>
      </c>
      <c r="J5379" t="s">
        <v>15</v>
      </c>
      <c r="K5379">
        <v>0</v>
      </c>
      <c r="L5379">
        <v>0</v>
      </c>
    </row>
    <row r="5380" spans="1:12" x14ac:dyDescent="0.3">
      <c r="A5380" t="s">
        <v>5396</v>
      </c>
      <c r="B5380" t="s">
        <v>17</v>
      </c>
      <c r="C5380">
        <v>1799</v>
      </c>
      <c r="D5380">
        <v>32.380000000000003</v>
      </c>
      <c r="E5380">
        <v>5.83</v>
      </c>
      <c r="F5380">
        <f>COUNTIFS(mdr_rate_cleaned!$A$2:$A$10,B5380,mdr_rate_cleaned!$B$2:$B$10,"&lt;"&amp;C5380,mdr_rate_cleaned!$F$2:$F$10,"&gt;="&amp;C5380)</f>
        <v>1</v>
      </c>
      <c r="G5380">
        <v>1.7999999999999999E-2</v>
      </c>
      <c r="H5380">
        <v>32.380000000000003</v>
      </c>
      <c r="I5380" t="s">
        <v>15</v>
      </c>
      <c r="J5380" t="s">
        <v>15</v>
      </c>
      <c r="K5380">
        <v>5.83</v>
      </c>
      <c r="L5380">
        <v>0</v>
      </c>
    </row>
    <row r="5381" spans="1:12" x14ac:dyDescent="0.3">
      <c r="A5381" t="s">
        <v>5397</v>
      </c>
      <c r="B5381" t="s">
        <v>21</v>
      </c>
      <c r="C5381">
        <v>599</v>
      </c>
      <c r="D5381">
        <v>0</v>
      </c>
      <c r="E5381">
        <v>0</v>
      </c>
      <c r="F5381">
        <f>COUNTIFS(mdr_rate_cleaned!$A$2:$A$10,B5381,mdr_rate_cleaned!$B$2:$B$10,"&lt;"&amp;C5381,mdr_rate_cleaned!$F$2:$F$10,"&gt;="&amp;C5381)</f>
        <v>1</v>
      </c>
      <c r="G5381">
        <v>0</v>
      </c>
      <c r="H5381">
        <v>0</v>
      </c>
      <c r="I5381" t="s">
        <v>15</v>
      </c>
      <c r="J5381" t="s">
        <v>15</v>
      </c>
      <c r="K5381">
        <v>0</v>
      </c>
      <c r="L5381">
        <v>0</v>
      </c>
    </row>
    <row r="5382" spans="1:12" x14ac:dyDescent="0.3">
      <c r="A5382" t="s">
        <v>5398</v>
      </c>
      <c r="B5382" t="s">
        <v>17</v>
      </c>
      <c r="C5382">
        <v>3598</v>
      </c>
      <c r="D5382">
        <v>57.57</v>
      </c>
      <c r="E5382">
        <v>10.36</v>
      </c>
      <c r="F5382">
        <f>COUNTIFS(mdr_rate_cleaned!$A$2:$A$10,B5382,mdr_rate_cleaned!$B$2:$B$10,"&lt;"&amp;C5382,mdr_rate_cleaned!$F$2:$F$10,"&gt;="&amp;C5382)</f>
        <v>1</v>
      </c>
      <c r="G5382">
        <v>1.6E-2</v>
      </c>
      <c r="H5382">
        <v>57.57</v>
      </c>
      <c r="I5382" t="s">
        <v>15</v>
      </c>
      <c r="J5382" t="s">
        <v>15</v>
      </c>
      <c r="K5382">
        <v>10.36</v>
      </c>
      <c r="L5382">
        <v>0</v>
      </c>
    </row>
    <row r="5383" spans="1:12" x14ac:dyDescent="0.3">
      <c r="A5383" t="s">
        <v>5399</v>
      </c>
      <c r="B5383" t="s">
        <v>13</v>
      </c>
      <c r="C5383">
        <v>798</v>
      </c>
      <c r="D5383">
        <v>15.16</v>
      </c>
      <c r="E5383">
        <v>2.73</v>
      </c>
      <c r="F5383">
        <f>COUNTIFS(mdr_rate_cleaned!$A$2:$A$10,B5383,mdr_rate_cleaned!$B$2:$B$10,"&lt;"&amp;C5383,mdr_rate_cleaned!$F$2:$F$10,"&gt;="&amp;C5383)</f>
        <v>1</v>
      </c>
      <c r="G5383">
        <v>1.9E-2</v>
      </c>
      <c r="H5383">
        <v>15.16</v>
      </c>
      <c r="I5383" t="s">
        <v>15</v>
      </c>
      <c r="J5383" t="s">
        <v>15</v>
      </c>
      <c r="K5383">
        <v>2.73</v>
      </c>
      <c r="L5383">
        <v>0</v>
      </c>
    </row>
    <row r="5384" spans="1:12" x14ac:dyDescent="0.3">
      <c r="A5384" t="s">
        <v>5400</v>
      </c>
      <c r="B5384" t="s">
        <v>39</v>
      </c>
      <c r="C5384">
        <v>1799</v>
      </c>
      <c r="D5384">
        <v>26.99</v>
      </c>
      <c r="E5384">
        <v>4.8600000000000003</v>
      </c>
      <c r="F5384">
        <f>COUNTIFS(mdr_rate_cleaned!$A$2:$A$10,B5384,mdr_rate_cleaned!$B$2:$B$10,"&lt;"&amp;C5384,mdr_rate_cleaned!$F$2:$F$10,"&gt;="&amp;C5384)</f>
        <v>1</v>
      </c>
      <c r="G5384">
        <v>1.4999999999999999E-2</v>
      </c>
      <c r="H5384">
        <v>26.99</v>
      </c>
      <c r="I5384" t="s">
        <v>15</v>
      </c>
      <c r="J5384" t="s">
        <v>15</v>
      </c>
      <c r="K5384">
        <v>4.8600000000000003</v>
      </c>
      <c r="L5384">
        <v>0</v>
      </c>
    </row>
    <row r="5385" spans="1:12" x14ac:dyDescent="0.3">
      <c r="A5385" t="s">
        <v>5401</v>
      </c>
      <c r="B5385" t="s">
        <v>13</v>
      </c>
      <c r="C5385">
        <v>5498</v>
      </c>
      <c r="D5385">
        <v>93.47</v>
      </c>
      <c r="E5385">
        <v>16.82</v>
      </c>
      <c r="F5385">
        <f>COUNTIFS(mdr_rate_cleaned!$A$2:$A$10,B5385,mdr_rate_cleaned!$B$2:$B$10,"&lt;"&amp;C5385,mdr_rate_cleaned!$F$2:$F$10,"&gt;="&amp;C5385)</f>
        <v>1</v>
      </c>
      <c r="G5385">
        <v>1.7000000000000001E-2</v>
      </c>
      <c r="H5385">
        <v>93.47</v>
      </c>
      <c r="I5385" t="s">
        <v>15</v>
      </c>
      <c r="J5385" t="s">
        <v>15</v>
      </c>
      <c r="K5385">
        <v>16.82</v>
      </c>
      <c r="L5385">
        <v>0</v>
      </c>
    </row>
    <row r="5386" spans="1:12" x14ac:dyDescent="0.3">
      <c r="A5386" t="s">
        <v>5402</v>
      </c>
      <c r="B5386" t="s">
        <v>21</v>
      </c>
      <c r="C5386">
        <v>2499</v>
      </c>
      <c r="D5386">
        <v>7.5</v>
      </c>
      <c r="E5386">
        <v>1.35</v>
      </c>
      <c r="F5386">
        <f>COUNTIFS(mdr_rate_cleaned!$A$2:$A$10,B5386,mdr_rate_cleaned!$B$2:$B$10,"&lt;"&amp;C5386,mdr_rate_cleaned!$F$2:$F$10,"&gt;="&amp;C5386)</f>
        <v>1</v>
      </c>
      <c r="G5386">
        <v>3.0000000000000001E-3</v>
      </c>
      <c r="H5386">
        <v>7.5</v>
      </c>
      <c r="I5386" t="s">
        <v>15</v>
      </c>
      <c r="J5386" t="s">
        <v>15</v>
      </c>
      <c r="K5386">
        <v>1.35</v>
      </c>
      <c r="L5386">
        <v>0</v>
      </c>
    </row>
    <row r="5387" spans="1:12" x14ac:dyDescent="0.3">
      <c r="A5387" t="s">
        <v>5403</v>
      </c>
      <c r="B5387" t="s">
        <v>17</v>
      </c>
      <c r="C5387">
        <v>4597</v>
      </c>
      <c r="D5387">
        <v>73.55</v>
      </c>
      <c r="E5387">
        <v>13.24</v>
      </c>
      <c r="F5387">
        <f>COUNTIFS(mdr_rate_cleaned!$A$2:$A$10,B5387,mdr_rate_cleaned!$B$2:$B$10,"&lt;"&amp;C5387,mdr_rate_cleaned!$F$2:$F$10,"&gt;="&amp;C5387)</f>
        <v>1</v>
      </c>
      <c r="G5387">
        <v>1.6E-2</v>
      </c>
      <c r="H5387">
        <v>73.55</v>
      </c>
      <c r="I5387" t="s">
        <v>15</v>
      </c>
      <c r="J5387" t="s">
        <v>15</v>
      </c>
      <c r="K5387">
        <v>13.24</v>
      </c>
      <c r="L5387">
        <v>0</v>
      </c>
    </row>
    <row r="5388" spans="1:12" x14ac:dyDescent="0.3">
      <c r="A5388" t="s">
        <v>5404</v>
      </c>
      <c r="B5388" t="s">
        <v>21</v>
      </c>
      <c r="C5388">
        <v>4999</v>
      </c>
      <c r="D5388">
        <v>15</v>
      </c>
      <c r="E5388">
        <v>2.7</v>
      </c>
      <c r="F5388">
        <f>COUNTIFS(mdr_rate_cleaned!$A$2:$A$10,B5388,mdr_rate_cleaned!$B$2:$B$10,"&lt;"&amp;C5388,mdr_rate_cleaned!$F$2:$F$10,"&gt;="&amp;C5388)</f>
        <v>1</v>
      </c>
      <c r="G5388">
        <v>3.0000000000000001E-3</v>
      </c>
      <c r="H5388">
        <v>15</v>
      </c>
      <c r="I5388" t="s">
        <v>15</v>
      </c>
      <c r="J5388" t="s">
        <v>15</v>
      </c>
      <c r="K5388">
        <v>2.7</v>
      </c>
      <c r="L5388">
        <v>0</v>
      </c>
    </row>
    <row r="5389" spans="1:12" x14ac:dyDescent="0.3">
      <c r="A5389" t="s">
        <v>5405</v>
      </c>
      <c r="B5389" t="s">
        <v>17</v>
      </c>
      <c r="C5389">
        <v>299</v>
      </c>
      <c r="D5389">
        <v>5.38</v>
      </c>
      <c r="E5389">
        <v>0.97</v>
      </c>
      <c r="F5389">
        <f>COUNTIFS(mdr_rate_cleaned!$A$2:$A$10,B5389,mdr_rate_cleaned!$B$2:$B$10,"&lt;"&amp;C5389,mdr_rate_cleaned!$F$2:$F$10,"&gt;="&amp;C5389)</f>
        <v>1</v>
      </c>
      <c r="G5389">
        <v>1.7999999999999999E-2</v>
      </c>
      <c r="H5389">
        <v>5.38</v>
      </c>
      <c r="I5389" t="s">
        <v>15</v>
      </c>
      <c r="J5389" t="s">
        <v>15</v>
      </c>
      <c r="K5389">
        <v>0.97</v>
      </c>
      <c r="L5389">
        <v>0</v>
      </c>
    </row>
    <row r="5390" spans="1:12" x14ac:dyDescent="0.3">
      <c r="A5390" t="s">
        <v>5406</v>
      </c>
      <c r="B5390" t="s">
        <v>39</v>
      </c>
      <c r="C5390">
        <v>299</v>
      </c>
      <c r="D5390">
        <v>4.49</v>
      </c>
      <c r="E5390">
        <v>0.81</v>
      </c>
      <c r="F5390">
        <f>COUNTIFS(mdr_rate_cleaned!$A$2:$A$10,B5390,mdr_rate_cleaned!$B$2:$B$10,"&lt;"&amp;C5390,mdr_rate_cleaned!$F$2:$F$10,"&gt;="&amp;C5390)</f>
        <v>1</v>
      </c>
      <c r="G5390">
        <v>1.4999999999999999E-2</v>
      </c>
      <c r="H5390">
        <v>4.49</v>
      </c>
      <c r="I5390" t="s">
        <v>15</v>
      </c>
      <c r="J5390" t="s">
        <v>15</v>
      </c>
      <c r="K5390">
        <v>0.81</v>
      </c>
      <c r="L5390">
        <v>0</v>
      </c>
    </row>
    <row r="5391" spans="1:12" x14ac:dyDescent="0.3">
      <c r="A5391" t="s">
        <v>5407</v>
      </c>
      <c r="B5391" t="s">
        <v>17</v>
      </c>
      <c r="C5391">
        <v>799</v>
      </c>
      <c r="D5391">
        <v>14.38</v>
      </c>
      <c r="E5391">
        <v>2.59</v>
      </c>
      <c r="F5391">
        <f>COUNTIFS(mdr_rate_cleaned!$A$2:$A$10,B5391,mdr_rate_cleaned!$B$2:$B$10,"&lt;"&amp;C5391,mdr_rate_cleaned!$F$2:$F$10,"&gt;="&amp;C5391)</f>
        <v>1</v>
      </c>
      <c r="G5391">
        <v>1.7999999999999999E-2</v>
      </c>
      <c r="H5391">
        <v>14.38</v>
      </c>
      <c r="I5391" t="s">
        <v>15</v>
      </c>
      <c r="J5391" t="s">
        <v>15</v>
      </c>
      <c r="K5391">
        <v>2.59</v>
      </c>
      <c r="L5391">
        <v>0</v>
      </c>
    </row>
    <row r="5392" spans="1:12" x14ac:dyDescent="0.3">
      <c r="A5392" t="s">
        <v>5408</v>
      </c>
      <c r="B5392" t="s">
        <v>21</v>
      </c>
      <c r="C5392">
        <v>3499</v>
      </c>
      <c r="D5392">
        <v>10.5</v>
      </c>
      <c r="E5392">
        <v>1.89</v>
      </c>
      <c r="F5392">
        <f>COUNTIFS(mdr_rate_cleaned!$A$2:$A$10,B5392,mdr_rate_cleaned!$B$2:$B$10,"&lt;"&amp;C5392,mdr_rate_cleaned!$F$2:$F$10,"&gt;="&amp;C5392)</f>
        <v>1</v>
      </c>
      <c r="G5392">
        <v>3.0000000000000001E-3</v>
      </c>
      <c r="H5392">
        <v>10.5</v>
      </c>
      <c r="I5392" t="s">
        <v>15</v>
      </c>
      <c r="J5392" t="s">
        <v>15</v>
      </c>
      <c r="K5392">
        <v>1.89</v>
      </c>
      <c r="L5392">
        <v>0</v>
      </c>
    </row>
    <row r="5393" spans="1:12" x14ac:dyDescent="0.3">
      <c r="A5393" t="s">
        <v>5409</v>
      </c>
      <c r="B5393" t="s">
        <v>17</v>
      </c>
      <c r="C5393">
        <v>3499</v>
      </c>
      <c r="D5393">
        <v>55.98</v>
      </c>
      <c r="E5393">
        <v>10.08</v>
      </c>
      <c r="F5393">
        <f>COUNTIFS(mdr_rate_cleaned!$A$2:$A$10,B5393,mdr_rate_cleaned!$B$2:$B$10,"&lt;"&amp;C5393,mdr_rate_cleaned!$F$2:$F$10,"&gt;="&amp;C5393)</f>
        <v>1</v>
      </c>
      <c r="G5393">
        <v>1.6E-2</v>
      </c>
      <c r="H5393">
        <v>55.98</v>
      </c>
      <c r="I5393" t="s">
        <v>15</v>
      </c>
      <c r="J5393" t="s">
        <v>15</v>
      </c>
      <c r="K5393">
        <v>10.08</v>
      </c>
      <c r="L5393">
        <v>0</v>
      </c>
    </row>
    <row r="5394" spans="1:12" x14ac:dyDescent="0.3">
      <c r="A5394" t="s">
        <v>5410</v>
      </c>
      <c r="B5394" t="s">
        <v>21</v>
      </c>
      <c r="C5394">
        <v>2999</v>
      </c>
      <c r="D5394">
        <v>9</v>
      </c>
      <c r="E5394">
        <v>1.62</v>
      </c>
      <c r="F5394">
        <f>COUNTIFS(mdr_rate_cleaned!$A$2:$A$10,B5394,mdr_rate_cleaned!$B$2:$B$10,"&lt;"&amp;C5394,mdr_rate_cleaned!$F$2:$F$10,"&gt;="&amp;C5394)</f>
        <v>1</v>
      </c>
      <c r="G5394">
        <v>3.0000000000000001E-3</v>
      </c>
      <c r="H5394">
        <v>9</v>
      </c>
      <c r="I5394" t="s">
        <v>15</v>
      </c>
      <c r="J5394" t="s">
        <v>15</v>
      </c>
      <c r="K5394">
        <v>1.62</v>
      </c>
      <c r="L5394">
        <v>0</v>
      </c>
    </row>
    <row r="5395" spans="1:12" x14ac:dyDescent="0.3">
      <c r="A5395" t="s">
        <v>5411</v>
      </c>
      <c r="B5395" t="s">
        <v>17</v>
      </c>
      <c r="C5395">
        <v>1799</v>
      </c>
      <c r="D5395">
        <v>32.380000000000003</v>
      </c>
      <c r="E5395">
        <v>5.83</v>
      </c>
      <c r="F5395">
        <f>COUNTIFS(mdr_rate_cleaned!$A$2:$A$10,B5395,mdr_rate_cleaned!$B$2:$B$10,"&lt;"&amp;C5395,mdr_rate_cleaned!$F$2:$F$10,"&gt;="&amp;C5395)</f>
        <v>1</v>
      </c>
      <c r="G5395">
        <v>1.7999999999999999E-2</v>
      </c>
      <c r="H5395">
        <v>32.380000000000003</v>
      </c>
      <c r="I5395" t="s">
        <v>15</v>
      </c>
      <c r="J5395" t="s">
        <v>15</v>
      </c>
      <c r="K5395">
        <v>5.83</v>
      </c>
      <c r="L5395">
        <v>0</v>
      </c>
    </row>
    <row r="5396" spans="1:12" x14ac:dyDescent="0.3">
      <c r="A5396" t="s">
        <v>5412</v>
      </c>
      <c r="B5396" t="s">
        <v>17</v>
      </c>
      <c r="C5396">
        <v>648</v>
      </c>
      <c r="D5396">
        <v>11.66</v>
      </c>
      <c r="E5396">
        <v>2.1</v>
      </c>
      <c r="F5396">
        <f>COUNTIFS(mdr_rate_cleaned!$A$2:$A$10,B5396,mdr_rate_cleaned!$B$2:$B$10,"&lt;"&amp;C5396,mdr_rate_cleaned!$F$2:$F$10,"&gt;="&amp;C5396)</f>
        <v>1</v>
      </c>
      <c r="G5396">
        <v>1.7999999999999999E-2</v>
      </c>
      <c r="H5396">
        <v>11.66</v>
      </c>
      <c r="I5396" t="s">
        <v>15</v>
      </c>
      <c r="J5396" t="s">
        <v>15</v>
      </c>
      <c r="K5396">
        <v>2.1</v>
      </c>
      <c r="L5396">
        <v>0</v>
      </c>
    </row>
    <row r="5397" spans="1:12" x14ac:dyDescent="0.3">
      <c r="A5397" t="s">
        <v>5413</v>
      </c>
      <c r="B5397" t="s">
        <v>39</v>
      </c>
      <c r="C5397">
        <v>1499</v>
      </c>
      <c r="D5397">
        <v>22.49</v>
      </c>
      <c r="E5397">
        <v>4.05</v>
      </c>
      <c r="F5397">
        <f>COUNTIFS(mdr_rate_cleaned!$A$2:$A$10,B5397,mdr_rate_cleaned!$B$2:$B$10,"&lt;"&amp;C5397,mdr_rate_cleaned!$F$2:$F$10,"&gt;="&amp;C5397)</f>
        <v>1</v>
      </c>
      <c r="G5397">
        <v>1.4999999999999999E-2</v>
      </c>
      <c r="H5397">
        <v>22.49</v>
      </c>
      <c r="I5397" t="s">
        <v>15</v>
      </c>
      <c r="J5397" t="s">
        <v>15</v>
      </c>
      <c r="K5397">
        <v>4.05</v>
      </c>
      <c r="L5397">
        <v>0</v>
      </c>
    </row>
    <row r="5398" spans="1:12" x14ac:dyDescent="0.3">
      <c r="A5398" t="s">
        <v>5414</v>
      </c>
      <c r="B5398" t="s">
        <v>17</v>
      </c>
      <c r="C5398">
        <v>6297</v>
      </c>
      <c r="D5398">
        <v>100.75</v>
      </c>
      <c r="E5398">
        <v>18.14</v>
      </c>
      <c r="F5398">
        <f>COUNTIFS(mdr_rate_cleaned!$A$2:$A$10,B5398,mdr_rate_cleaned!$B$2:$B$10,"&lt;"&amp;C5398,mdr_rate_cleaned!$F$2:$F$10,"&gt;="&amp;C5398)</f>
        <v>1</v>
      </c>
      <c r="G5398">
        <v>1.6E-2</v>
      </c>
      <c r="H5398">
        <v>100.75</v>
      </c>
      <c r="I5398" t="s">
        <v>15</v>
      </c>
      <c r="J5398" t="s">
        <v>15</v>
      </c>
      <c r="K5398">
        <v>18.14</v>
      </c>
      <c r="L5398">
        <v>0</v>
      </c>
    </row>
    <row r="5399" spans="1:12" x14ac:dyDescent="0.3">
      <c r="A5399" t="s">
        <v>5415</v>
      </c>
      <c r="B5399" t="s">
        <v>21</v>
      </c>
      <c r="C5399">
        <v>12497</v>
      </c>
      <c r="D5399">
        <v>37.49</v>
      </c>
      <c r="E5399">
        <v>6.75</v>
      </c>
      <c r="F5399">
        <f>COUNTIFS(mdr_rate_cleaned!$A$2:$A$10,B5399,mdr_rate_cleaned!$B$2:$B$10,"&lt;"&amp;C5399,mdr_rate_cleaned!$F$2:$F$10,"&gt;="&amp;C5399)</f>
        <v>1</v>
      </c>
      <c r="G5399">
        <v>3.0000000000000001E-3</v>
      </c>
      <c r="H5399">
        <v>37.49</v>
      </c>
      <c r="I5399" t="s">
        <v>15</v>
      </c>
      <c r="J5399" t="s">
        <v>15</v>
      </c>
      <c r="K5399">
        <v>6.75</v>
      </c>
      <c r="L5399">
        <v>0</v>
      </c>
    </row>
    <row r="5400" spans="1:12" x14ac:dyDescent="0.3">
      <c r="A5400" t="s">
        <v>5416</v>
      </c>
      <c r="B5400" t="s">
        <v>17</v>
      </c>
      <c r="C5400">
        <v>7597</v>
      </c>
      <c r="D5400">
        <v>121.55</v>
      </c>
      <c r="E5400">
        <v>21.88</v>
      </c>
      <c r="F5400">
        <f>COUNTIFS(mdr_rate_cleaned!$A$2:$A$10,B5400,mdr_rate_cleaned!$B$2:$B$10,"&lt;"&amp;C5400,mdr_rate_cleaned!$F$2:$F$10,"&gt;="&amp;C5400)</f>
        <v>1</v>
      </c>
      <c r="G5400">
        <v>1.6E-2</v>
      </c>
      <c r="H5400">
        <v>121.55</v>
      </c>
      <c r="I5400" t="s">
        <v>15</v>
      </c>
      <c r="J5400" t="s">
        <v>15</v>
      </c>
      <c r="K5400">
        <v>21.88</v>
      </c>
      <c r="L5400">
        <v>0</v>
      </c>
    </row>
    <row r="5401" spans="1:12" x14ac:dyDescent="0.3">
      <c r="A5401" t="s">
        <v>5417</v>
      </c>
      <c r="B5401" t="s">
        <v>17</v>
      </c>
      <c r="C5401">
        <v>299</v>
      </c>
      <c r="D5401">
        <v>5.38</v>
      </c>
      <c r="E5401">
        <v>0.97</v>
      </c>
      <c r="F5401">
        <f>COUNTIFS(mdr_rate_cleaned!$A$2:$A$10,B5401,mdr_rate_cleaned!$B$2:$B$10,"&lt;"&amp;C5401,mdr_rate_cleaned!$F$2:$F$10,"&gt;="&amp;C5401)</f>
        <v>1</v>
      </c>
      <c r="G5401">
        <v>1.7999999999999999E-2</v>
      </c>
      <c r="H5401">
        <v>5.38</v>
      </c>
      <c r="I5401" t="s">
        <v>15</v>
      </c>
      <c r="J5401" t="s">
        <v>15</v>
      </c>
      <c r="K5401">
        <v>0.97</v>
      </c>
      <c r="L5401">
        <v>0</v>
      </c>
    </row>
    <row r="5402" spans="1:12" x14ac:dyDescent="0.3">
      <c r="A5402" t="s">
        <v>5418</v>
      </c>
      <c r="B5402" t="s">
        <v>21</v>
      </c>
      <c r="C5402">
        <v>1798</v>
      </c>
      <c r="D5402">
        <v>0</v>
      </c>
      <c r="E5402">
        <v>0</v>
      </c>
      <c r="F5402">
        <f>COUNTIFS(mdr_rate_cleaned!$A$2:$A$10,B5402,mdr_rate_cleaned!$B$2:$B$10,"&lt;"&amp;C5402,mdr_rate_cleaned!$F$2:$F$10,"&gt;="&amp;C5402)</f>
        <v>1</v>
      </c>
      <c r="G5402">
        <v>0</v>
      </c>
      <c r="H5402">
        <v>0</v>
      </c>
      <c r="I5402" t="s">
        <v>15</v>
      </c>
      <c r="J5402" t="s">
        <v>15</v>
      </c>
      <c r="K5402">
        <v>0</v>
      </c>
      <c r="L5402">
        <v>0</v>
      </c>
    </row>
    <row r="5403" spans="1:12" x14ac:dyDescent="0.3">
      <c r="A5403" t="s">
        <v>5419</v>
      </c>
      <c r="B5403" t="s">
        <v>21</v>
      </c>
      <c r="C5403">
        <v>2798</v>
      </c>
      <c r="D5403">
        <v>8.39</v>
      </c>
      <c r="E5403">
        <v>1.51</v>
      </c>
      <c r="F5403">
        <f>COUNTIFS(mdr_rate_cleaned!$A$2:$A$10,B5403,mdr_rate_cleaned!$B$2:$B$10,"&lt;"&amp;C5403,mdr_rate_cleaned!$F$2:$F$10,"&gt;="&amp;C5403)</f>
        <v>1</v>
      </c>
      <c r="G5403">
        <v>3.0000000000000001E-3</v>
      </c>
      <c r="H5403">
        <v>8.39</v>
      </c>
      <c r="I5403" t="s">
        <v>15</v>
      </c>
      <c r="J5403" t="s">
        <v>15</v>
      </c>
      <c r="K5403">
        <v>1.51</v>
      </c>
      <c r="L5403">
        <v>0</v>
      </c>
    </row>
    <row r="5404" spans="1:12" x14ac:dyDescent="0.3">
      <c r="A5404" t="s">
        <v>5420</v>
      </c>
      <c r="B5404" t="s">
        <v>21</v>
      </c>
      <c r="C5404">
        <v>299</v>
      </c>
      <c r="D5404">
        <v>0</v>
      </c>
      <c r="E5404">
        <v>0</v>
      </c>
      <c r="F5404">
        <f>COUNTIFS(mdr_rate_cleaned!$A$2:$A$10,B5404,mdr_rate_cleaned!$B$2:$B$10,"&lt;"&amp;C5404,mdr_rate_cleaned!$F$2:$F$10,"&gt;="&amp;C5404)</f>
        <v>1</v>
      </c>
      <c r="G5404">
        <v>0</v>
      </c>
      <c r="H5404">
        <v>0</v>
      </c>
      <c r="I5404" t="s">
        <v>15</v>
      </c>
      <c r="J5404" t="s">
        <v>15</v>
      </c>
      <c r="K5404">
        <v>0</v>
      </c>
      <c r="L5404">
        <v>0</v>
      </c>
    </row>
    <row r="5405" spans="1:12" x14ac:dyDescent="0.3">
      <c r="A5405" t="s">
        <v>5421</v>
      </c>
      <c r="B5405" t="s">
        <v>17</v>
      </c>
      <c r="C5405">
        <v>4999</v>
      </c>
      <c r="D5405">
        <v>79.98</v>
      </c>
      <c r="E5405">
        <v>14.4</v>
      </c>
      <c r="F5405">
        <f>COUNTIFS(mdr_rate_cleaned!$A$2:$A$10,B5405,mdr_rate_cleaned!$B$2:$B$10,"&lt;"&amp;C5405,mdr_rate_cleaned!$F$2:$F$10,"&gt;="&amp;C5405)</f>
        <v>1</v>
      </c>
      <c r="G5405">
        <v>1.6E-2</v>
      </c>
      <c r="H5405">
        <v>79.98</v>
      </c>
      <c r="I5405" t="s">
        <v>15</v>
      </c>
      <c r="J5405" t="s">
        <v>15</v>
      </c>
      <c r="K5405">
        <v>14.4</v>
      </c>
      <c r="L5405">
        <v>0</v>
      </c>
    </row>
    <row r="5406" spans="1:12" x14ac:dyDescent="0.3">
      <c r="A5406" t="s">
        <v>5422</v>
      </c>
      <c r="B5406" t="s">
        <v>39</v>
      </c>
      <c r="C5406">
        <v>10498</v>
      </c>
      <c r="D5406">
        <v>94.48</v>
      </c>
      <c r="E5406">
        <v>17.010000000000002</v>
      </c>
      <c r="F5406">
        <f>COUNTIFS(mdr_rate_cleaned!$A$2:$A$10,B5406,mdr_rate_cleaned!$B$2:$B$10,"&lt;"&amp;C5406,mdr_rate_cleaned!$F$2:$F$10,"&gt;="&amp;C5406)</f>
        <v>1</v>
      </c>
      <c r="G5406">
        <v>8.9999999999999993E-3</v>
      </c>
      <c r="H5406">
        <v>94.48</v>
      </c>
      <c r="I5406" t="s">
        <v>15</v>
      </c>
      <c r="J5406" t="s">
        <v>15</v>
      </c>
      <c r="K5406">
        <v>17.010000000000002</v>
      </c>
      <c r="L5406">
        <v>0</v>
      </c>
    </row>
    <row r="5407" spans="1:12" x14ac:dyDescent="0.3">
      <c r="A5407" t="s">
        <v>5423</v>
      </c>
      <c r="B5407" t="s">
        <v>13</v>
      </c>
      <c r="C5407">
        <v>3499</v>
      </c>
      <c r="D5407">
        <v>59.48</v>
      </c>
      <c r="E5407">
        <v>10.71</v>
      </c>
      <c r="F5407">
        <f>COUNTIFS(mdr_rate_cleaned!$A$2:$A$10,B5407,mdr_rate_cleaned!$B$2:$B$10,"&lt;"&amp;C5407,mdr_rate_cleaned!$F$2:$F$10,"&gt;="&amp;C5407)</f>
        <v>1</v>
      </c>
      <c r="G5407">
        <v>1.7000000000000001E-2</v>
      </c>
      <c r="H5407">
        <v>59.48</v>
      </c>
      <c r="I5407" t="s">
        <v>15</v>
      </c>
      <c r="J5407" t="s">
        <v>15</v>
      </c>
      <c r="K5407">
        <v>10.71</v>
      </c>
      <c r="L5407">
        <v>0</v>
      </c>
    </row>
    <row r="5408" spans="1:12" x14ac:dyDescent="0.3">
      <c r="A5408" t="s">
        <v>5424</v>
      </c>
      <c r="B5408" t="s">
        <v>21</v>
      </c>
      <c r="C5408">
        <v>6797</v>
      </c>
      <c r="D5408">
        <v>20.39</v>
      </c>
      <c r="E5408">
        <v>3.67</v>
      </c>
      <c r="F5408">
        <f>COUNTIFS(mdr_rate_cleaned!$A$2:$A$10,B5408,mdr_rate_cleaned!$B$2:$B$10,"&lt;"&amp;C5408,mdr_rate_cleaned!$F$2:$F$10,"&gt;="&amp;C5408)</f>
        <v>1</v>
      </c>
      <c r="G5408">
        <v>3.0000000000000001E-3</v>
      </c>
      <c r="H5408">
        <v>20.39</v>
      </c>
      <c r="I5408" t="s">
        <v>15</v>
      </c>
      <c r="J5408" t="s">
        <v>15</v>
      </c>
      <c r="K5408">
        <v>3.67</v>
      </c>
      <c r="L5408">
        <v>0</v>
      </c>
    </row>
    <row r="5409" spans="1:12" x14ac:dyDescent="0.3">
      <c r="A5409" t="s">
        <v>5425</v>
      </c>
      <c r="B5409" t="s">
        <v>21</v>
      </c>
      <c r="C5409">
        <v>9298</v>
      </c>
      <c r="D5409">
        <v>27.89</v>
      </c>
      <c r="E5409">
        <v>5.0199999999999996</v>
      </c>
      <c r="F5409">
        <f>COUNTIFS(mdr_rate_cleaned!$A$2:$A$10,B5409,mdr_rate_cleaned!$B$2:$B$10,"&lt;"&amp;C5409,mdr_rate_cleaned!$F$2:$F$10,"&gt;="&amp;C5409)</f>
        <v>1</v>
      </c>
      <c r="G5409">
        <v>3.0000000000000001E-3</v>
      </c>
      <c r="H5409">
        <v>27.89</v>
      </c>
      <c r="I5409" t="s">
        <v>15</v>
      </c>
      <c r="J5409" t="s">
        <v>15</v>
      </c>
      <c r="K5409">
        <v>5.0199999999999996</v>
      </c>
      <c r="L5409">
        <v>0</v>
      </c>
    </row>
    <row r="5410" spans="1:12" x14ac:dyDescent="0.3">
      <c r="A5410" t="s">
        <v>5426</v>
      </c>
      <c r="B5410" t="s">
        <v>21</v>
      </c>
      <c r="C5410">
        <v>349</v>
      </c>
      <c r="D5410">
        <v>0</v>
      </c>
      <c r="E5410">
        <v>0</v>
      </c>
      <c r="F5410">
        <f>COUNTIFS(mdr_rate_cleaned!$A$2:$A$10,B5410,mdr_rate_cleaned!$B$2:$B$10,"&lt;"&amp;C5410,mdr_rate_cleaned!$F$2:$F$10,"&gt;="&amp;C5410)</f>
        <v>1</v>
      </c>
      <c r="G5410">
        <v>0</v>
      </c>
      <c r="H5410">
        <v>0</v>
      </c>
      <c r="I5410" t="s">
        <v>15</v>
      </c>
      <c r="J5410" t="s">
        <v>15</v>
      </c>
      <c r="K5410">
        <v>0</v>
      </c>
      <c r="L5410">
        <v>0</v>
      </c>
    </row>
    <row r="5411" spans="1:12" x14ac:dyDescent="0.3">
      <c r="A5411" t="s">
        <v>5427</v>
      </c>
      <c r="B5411" t="s">
        <v>21</v>
      </c>
      <c r="C5411">
        <v>4998</v>
      </c>
      <c r="D5411">
        <v>14.99</v>
      </c>
      <c r="E5411">
        <v>2.7</v>
      </c>
      <c r="F5411">
        <f>COUNTIFS(mdr_rate_cleaned!$A$2:$A$10,B5411,mdr_rate_cleaned!$B$2:$B$10,"&lt;"&amp;C5411,mdr_rate_cleaned!$F$2:$F$10,"&gt;="&amp;C5411)</f>
        <v>1</v>
      </c>
      <c r="G5411">
        <v>3.0000000000000001E-3</v>
      </c>
      <c r="H5411">
        <v>14.99</v>
      </c>
      <c r="I5411" t="s">
        <v>15</v>
      </c>
      <c r="J5411" t="s">
        <v>15</v>
      </c>
      <c r="K5411">
        <v>2.7</v>
      </c>
      <c r="L5411">
        <v>0</v>
      </c>
    </row>
    <row r="5412" spans="1:12" x14ac:dyDescent="0.3">
      <c r="A5412" t="s">
        <v>5428</v>
      </c>
      <c r="B5412" t="s">
        <v>21</v>
      </c>
      <c r="C5412">
        <v>4498</v>
      </c>
      <c r="D5412">
        <v>13.49</v>
      </c>
      <c r="E5412">
        <v>2.4300000000000002</v>
      </c>
      <c r="F5412">
        <f>COUNTIFS(mdr_rate_cleaned!$A$2:$A$10,B5412,mdr_rate_cleaned!$B$2:$B$10,"&lt;"&amp;C5412,mdr_rate_cleaned!$F$2:$F$10,"&gt;="&amp;C5412)</f>
        <v>1</v>
      </c>
      <c r="G5412">
        <v>3.0000000000000001E-3</v>
      </c>
      <c r="H5412">
        <v>13.49</v>
      </c>
      <c r="I5412" t="s">
        <v>15</v>
      </c>
      <c r="J5412" t="s">
        <v>15</v>
      </c>
      <c r="K5412">
        <v>2.4300000000000002</v>
      </c>
      <c r="L5412">
        <v>0</v>
      </c>
    </row>
    <row r="5413" spans="1:12" x14ac:dyDescent="0.3">
      <c r="A5413" t="s">
        <v>5429</v>
      </c>
      <c r="B5413" t="s">
        <v>39</v>
      </c>
      <c r="C5413">
        <v>9498</v>
      </c>
      <c r="D5413">
        <v>113.98</v>
      </c>
      <c r="E5413">
        <v>20.52</v>
      </c>
      <c r="F5413">
        <f>COUNTIFS(mdr_rate_cleaned!$A$2:$A$10,B5413,mdr_rate_cleaned!$B$2:$B$10,"&lt;"&amp;C5413,mdr_rate_cleaned!$F$2:$F$10,"&gt;="&amp;C5413)</f>
        <v>1</v>
      </c>
      <c r="G5413">
        <v>1.2E-2</v>
      </c>
      <c r="H5413">
        <v>113.98</v>
      </c>
      <c r="I5413" t="s">
        <v>15</v>
      </c>
      <c r="J5413" t="s">
        <v>15</v>
      </c>
      <c r="K5413">
        <v>20.52</v>
      </c>
      <c r="L5413">
        <v>0</v>
      </c>
    </row>
    <row r="5414" spans="1:12" x14ac:dyDescent="0.3">
      <c r="A5414" t="s">
        <v>5430</v>
      </c>
      <c r="B5414" t="s">
        <v>21</v>
      </c>
      <c r="C5414">
        <v>499</v>
      </c>
      <c r="D5414">
        <v>0</v>
      </c>
      <c r="E5414">
        <v>0</v>
      </c>
      <c r="F5414">
        <f>COUNTIFS(mdr_rate_cleaned!$A$2:$A$10,B5414,mdr_rate_cleaned!$B$2:$B$10,"&lt;"&amp;C5414,mdr_rate_cleaned!$F$2:$F$10,"&gt;="&amp;C5414)</f>
        <v>1</v>
      </c>
      <c r="G5414">
        <v>0</v>
      </c>
      <c r="H5414">
        <v>0</v>
      </c>
      <c r="I5414" t="s">
        <v>15</v>
      </c>
      <c r="J5414" t="s">
        <v>15</v>
      </c>
      <c r="K5414">
        <v>0</v>
      </c>
      <c r="L5414">
        <v>0</v>
      </c>
    </row>
    <row r="5415" spans="1:12" x14ac:dyDescent="0.3">
      <c r="A5415" t="s">
        <v>5431</v>
      </c>
      <c r="B5415" t="s">
        <v>13</v>
      </c>
      <c r="C5415">
        <v>2999</v>
      </c>
      <c r="D5415">
        <v>71.98</v>
      </c>
      <c r="E5415">
        <v>12.96</v>
      </c>
      <c r="F5415">
        <f>COUNTIFS(mdr_rate_cleaned!$A$2:$A$10,B5415,mdr_rate_cleaned!$B$2:$B$10,"&lt;"&amp;C5415,mdr_rate_cleaned!$F$2:$F$10,"&gt;="&amp;C5415)</f>
        <v>1</v>
      </c>
      <c r="G5415">
        <v>1.7000000000000001E-2</v>
      </c>
      <c r="H5415">
        <v>50.98</v>
      </c>
      <c r="I5415" t="s">
        <v>14</v>
      </c>
      <c r="J5415" t="s">
        <v>15</v>
      </c>
      <c r="K5415">
        <v>9.18</v>
      </c>
      <c r="L5415">
        <v>24.78</v>
      </c>
    </row>
    <row r="5416" spans="1:12" x14ac:dyDescent="0.3">
      <c r="A5416" t="s">
        <v>5432</v>
      </c>
      <c r="B5416" t="s">
        <v>17</v>
      </c>
      <c r="C5416">
        <v>8498</v>
      </c>
      <c r="D5416">
        <v>135.97</v>
      </c>
      <c r="E5416">
        <v>24.47</v>
      </c>
      <c r="F5416">
        <f>COUNTIFS(mdr_rate_cleaned!$A$2:$A$10,B5416,mdr_rate_cleaned!$B$2:$B$10,"&lt;"&amp;C5416,mdr_rate_cleaned!$F$2:$F$10,"&gt;="&amp;C5416)</f>
        <v>1</v>
      </c>
      <c r="G5416">
        <v>1.6E-2</v>
      </c>
      <c r="H5416">
        <v>135.97</v>
      </c>
      <c r="I5416" t="s">
        <v>15</v>
      </c>
      <c r="J5416" t="s">
        <v>15</v>
      </c>
      <c r="K5416">
        <v>24.47</v>
      </c>
      <c r="L5416">
        <v>0</v>
      </c>
    </row>
    <row r="5417" spans="1:12" x14ac:dyDescent="0.3">
      <c r="A5417" t="s">
        <v>5433</v>
      </c>
      <c r="B5417" t="s">
        <v>17</v>
      </c>
      <c r="C5417">
        <v>1598</v>
      </c>
      <c r="D5417">
        <v>28.76</v>
      </c>
      <c r="E5417">
        <v>5.18</v>
      </c>
      <c r="F5417">
        <f>COUNTIFS(mdr_rate_cleaned!$A$2:$A$10,B5417,mdr_rate_cleaned!$B$2:$B$10,"&lt;"&amp;C5417,mdr_rate_cleaned!$F$2:$F$10,"&gt;="&amp;C5417)</f>
        <v>1</v>
      </c>
      <c r="G5417">
        <v>1.7999999999999999E-2</v>
      </c>
      <c r="H5417">
        <v>28.76</v>
      </c>
      <c r="I5417" t="s">
        <v>15</v>
      </c>
      <c r="J5417" t="s">
        <v>15</v>
      </c>
      <c r="K5417">
        <v>5.18</v>
      </c>
      <c r="L5417">
        <v>0</v>
      </c>
    </row>
    <row r="5418" spans="1:12" x14ac:dyDescent="0.3">
      <c r="A5418" t="s">
        <v>5434</v>
      </c>
      <c r="B5418" t="s">
        <v>21</v>
      </c>
      <c r="C5418">
        <v>2797</v>
      </c>
      <c r="D5418">
        <v>8.39</v>
      </c>
      <c r="E5418">
        <v>1.51</v>
      </c>
      <c r="F5418">
        <f>COUNTIFS(mdr_rate_cleaned!$A$2:$A$10,B5418,mdr_rate_cleaned!$B$2:$B$10,"&lt;"&amp;C5418,mdr_rate_cleaned!$F$2:$F$10,"&gt;="&amp;C5418)</f>
        <v>1</v>
      </c>
      <c r="G5418">
        <v>3.0000000000000001E-3</v>
      </c>
      <c r="H5418">
        <v>8.39</v>
      </c>
      <c r="I5418" t="s">
        <v>15</v>
      </c>
      <c r="J5418" t="s">
        <v>15</v>
      </c>
      <c r="K5418">
        <v>1.51</v>
      </c>
      <c r="L5418">
        <v>0</v>
      </c>
    </row>
    <row r="5419" spans="1:12" x14ac:dyDescent="0.3">
      <c r="A5419" t="s">
        <v>5435</v>
      </c>
      <c r="B5419" t="s">
        <v>21</v>
      </c>
      <c r="C5419">
        <v>5298</v>
      </c>
      <c r="D5419">
        <v>15.89</v>
      </c>
      <c r="E5419">
        <v>2.86</v>
      </c>
      <c r="F5419">
        <f>COUNTIFS(mdr_rate_cleaned!$A$2:$A$10,B5419,mdr_rate_cleaned!$B$2:$B$10,"&lt;"&amp;C5419,mdr_rate_cleaned!$F$2:$F$10,"&gt;="&amp;C5419)</f>
        <v>1</v>
      </c>
      <c r="G5419">
        <v>3.0000000000000001E-3</v>
      </c>
      <c r="H5419">
        <v>15.89</v>
      </c>
      <c r="I5419" t="s">
        <v>15</v>
      </c>
      <c r="J5419" t="s">
        <v>15</v>
      </c>
      <c r="K5419">
        <v>2.86</v>
      </c>
      <c r="L5419">
        <v>0</v>
      </c>
    </row>
    <row r="5420" spans="1:12" x14ac:dyDescent="0.3">
      <c r="A5420" t="s">
        <v>5436</v>
      </c>
      <c r="B5420" t="s">
        <v>39</v>
      </c>
      <c r="C5420">
        <v>3798</v>
      </c>
      <c r="D5420">
        <v>45.58</v>
      </c>
      <c r="E5420">
        <v>8.1999999999999993</v>
      </c>
      <c r="F5420">
        <f>COUNTIFS(mdr_rate_cleaned!$A$2:$A$10,B5420,mdr_rate_cleaned!$B$2:$B$10,"&lt;"&amp;C5420,mdr_rate_cleaned!$F$2:$F$10,"&gt;="&amp;C5420)</f>
        <v>1</v>
      </c>
      <c r="G5420">
        <v>1.2E-2</v>
      </c>
      <c r="H5420">
        <v>45.58</v>
      </c>
      <c r="I5420" t="s">
        <v>15</v>
      </c>
      <c r="J5420" t="s">
        <v>15</v>
      </c>
      <c r="K5420">
        <v>8.1999999999999993</v>
      </c>
      <c r="L5420">
        <v>0</v>
      </c>
    </row>
    <row r="5421" spans="1:12" x14ac:dyDescent="0.3">
      <c r="A5421" t="s">
        <v>5437</v>
      </c>
      <c r="B5421" t="s">
        <v>21</v>
      </c>
      <c r="C5421">
        <v>4597</v>
      </c>
      <c r="D5421">
        <v>13.79</v>
      </c>
      <c r="E5421">
        <v>2.48</v>
      </c>
      <c r="F5421">
        <f>COUNTIFS(mdr_rate_cleaned!$A$2:$A$10,B5421,mdr_rate_cleaned!$B$2:$B$10,"&lt;"&amp;C5421,mdr_rate_cleaned!$F$2:$F$10,"&gt;="&amp;C5421)</f>
        <v>1</v>
      </c>
      <c r="G5421">
        <v>3.0000000000000001E-3</v>
      </c>
      <c r="H5421">
        <v>13.79</v>
      </c>
      <c r="I5421" t="s">
        <v>15</v>
      </c>
      <c r="J5421" t="s">
        <v>15</v>
      </c>
      <c r="K5421">
        <v>2.48</v>
      </c>
      <c r="L5421">
        <v>0</v>
      </c>
    </row>
    <row r="5422" spans="1:12" x14ac:dyDescent="0.3">
      <c r="A5422" t="s">
        <v>5438</v>
      </c>
      <c r="B5422" t="s">
        <v>21</v>
      </c>
      <c r="C5422">
        <v>1499</v>
      </c>
      <c r="D5422">
        <v>0</v>
      </c>
      <c r="E5422">
        <v>0</v>
      </c>
      <c r="F5422">
        <f>COUNTIFS(mdr_rate_cleaned!$A$2:$A$10,B5422,mdr_rate_cleaned!$B$2:$B$10,"&lt;"&amp;C5422,mdr_rate_cleaned!$F$2:$F$10,"&gt;="&amp;C5422)</f>
        <v>1</v>
      </c>
      <c r="G5422">
        <v>0</v>
      </c>
      <c r="H5422">
        <v>0</v>
      </c>
      <c r="I5422" t="s">
        <v>15</v>
      </c>
      <c r="J5422" t="s">
        <v>15</v>
      </c>
      <c r="K5422">
        <v>0</v>
      </c>
      <c r="L5422">
        <v>0</v>
      </c>
    </row>
    <row r="5423" spans="1:12" x14ac:dyDescent="0.3">
      <c r="A5423" t="s">
        <v>5439</v>
      </c>
      <c r="B5423" t="s">
        <v>39</v>
      </c>
      <c r="C5423">
        <v>1098</v>
      </c>
      <c r="D5423">
        <v>16.47</v>
      </c>
      <c r="E5423">
        <v>2.96</v>
      </c>
      <c r="F5423">
        <f>COUNTIFS(mdr_rate_cleaned!$A$2:$A$10,B5423,mdr_rate_cleaned!$B$2:$B$10,"&lt;"&amp;C5423,mdr_rate_cleaned!$F$2:$F$10,"&gt;="&amp;C5423)</f>
        <v>1</v>
      </c>
      <c r="G5423">
        <v>1.4999999999999999E-2</v>
      </c>
      <c r="H5423">
        <v>16.47</v>
      </c>
      <c r="I5423" t="s">
        <v>15</v>
      </c>
      <c r="J5423" t="s">
        <v>15</v>
      </c>
      <c r="K5423">
        <v>2.96</v>
      </c>
      <c r="L5423">
        <v>0</v>
      </c>
    </row>
    <row r="5424" spans="1:12" x14ac:dyDescent="0.3">
      <c r="A5424" t="s">
        <v>5440</v>
      </c>
      <c r="B5424" t="s">
        <v>21</v>
      </c>
      <c r="C5424">
        <v>7999</v>
      </c>
      <c r="D5424">
        <v>24</v>
      </c>
      <c r="E5424">
        <v>4.32</v>
      </c>
      <c r="F5424">
        <f>COUNTIFS(mdr_rate_cleaned!$A$2:$A$10,B5424,mdr_rate_cleaned!$B$2:$B$10,"&lt;"&amp;C5424,mdr_rate_cleaned!$F$2:$F$10,"&gt;="&amp;C5424)</f>
        <v>1</v>
      </c>
      <c r="G5424">
        <v>3.0000000000000001E-3</v>
      </c>
      <c r="H5424">
        <v>24</v>
      </c>
      <c r="I5424" t="s">
        <v>15</v>
      </c>
      <c r="J5424" t="s">
        <v>15</v>
      </c>
      <c r="K5424">
        <v>4.32</v>
      </c>
      <c r="L5424">
        <v>0</v>
      </c>
    </row>
    <row r="5425" spans="1:12" x14ac:dyDescent="0.3">
      <c r="A5425" t="s">
        <v>5441</v>
      </c>
      <c r="B5425" t="s">
        <v>17</v>
      </c>
      <c r="C5425">
        <v>599</v>
      </c>
      <c r="D5425">
        <v>10.78</v>
      </c>
      <c r="E5425">
        <v>1.94</v>
      </c>
      <c r="F5425">
        <f>COUNTIFS(mdr_rate_cleaned!$A$2:$A$10,B5425,mdr_rate_cleaned!$B$2:$B$10,"&lt;"&amp;C5425,mdr_rate_cleaned!$F$2:$F$10,"&gt;="&amp;C5425)</f>
        <v>1</v>
      </c>
      <c r="G5425">
        <v>1.7999999999999999E-2</v>
      </c>
      <c r="H5425">
        <v>10.78</v>
      </c>
      <c r="I5425" t="s">
        <v>15</v>
      </c>
      <c r="J5425" t="s">
        <v>15</v>
      </c>
      <c r="K5425">
        <v>1.94</v>
      </c>
      <c r="L5425">
        <v>0</v>
      </c>
    </row>
    <row r="5426" spans="1:12" x14ac:dyDescent="0.3">
      <c r="A5426" t="s">
        <v>5442</v>
      </c>
      <c r="B5426" t="s">
        <v>17</v>
      </c>
      <c r="C5426">
        <v>7999</v>
      </c>
      <c r="D5426">
        <v>127.98</v>
      </c>
      <c r="E5426">
        <v>23.04</v>
      </c>
      <c r="F5426">
        <f>COUNTIFS(mdr_rate_cleaned!$A$2:$A$10,B5426,mdr_rate_cleaned!$B$2:$B$10,"&lt;"&amp;C5426,mdr_rate_cleaned!$F$2:$F$10,"&gt;="&amp;C5426)</f>
        <v>1</v>
      </c>
      <c r="G5426">
        <v>1.6E-2</v>
      </c>
      <c r="H5426">
        <v>127.98</v>
      </c>
      <c r="I5426" t="s">
        <v>15</v>
      </c>
      <c r="J5426" t="s">
        <v>15</v>
      </c>
      <c r="K5426">
        <v>23.04</v>
      </c>
      <c r="L5426">
        <v>0</v>
      </c>
    </row>
    <row r="5427" spans="1:12" x14ac:dyDescent="0.3">
      <c r="A5427" t="s">
        <v>5443</v>
      </c>
      <c r="B5427" t="s">
        <v>21</v>
      </c>
      <c r="C5427">
        <v>499</v>
      </c>
      <c r="D5427">
        <v>0</v>
      </c>
      <c r="E5427">
        <v>0</v>
      </c>
      <c r="F5427">
        <f>COUNTIFS(mdr_rate_cleaned!$A$2:$A$10,B5427,mdr_rate_cleaned!$B$2:$B$10,"&lt;"&amp;C5427,mdr_rate_cleaned!$F$2:$F$10,"&gt;="&amp;C5427)</f>
        <v>1</v>
      </c>
      <c r="G5427">
        <v>0</v>
      </c>
      <c r="H5427">
        <v>0</v>
      </c>
      <c r="I5427" t="s">
        <v>15</v>
      </c>
      <c r="J5427" t="s">
        <v>15</v>
      </c>
      <c r="K5427">
        <v>0</v>
      </c>
      <c r="L5427">
        <v>0</v>
      </c>
    </row>
    <row r="5428" spans="1:12" x14ac:dyDescent="0.3">
      <c r="A5428" t="s">
        <v>5444</v>
      </c>
      <c r="B5428" t="s">
        <v>39</v>
      </c>
      <c r="C5428">
        <v>999</v>
      </c>
      <c r="D5428">
        <v>14.99</v>
      </c>
      <c r="E5428">
        <v>2.7</v>
      </c>
      <c r="F5428">
        <f>COUNTIFS(mdr_rate_cleaned!$A$2:$A$10,B5428,mdr_rate_cleaned!$B$2:$B$10,"&lt;"&amp;C5428,mdr_rate_cleaned!$F$2:$F$10,"&gt;="&amp;C5428)</f>
        <v>1</v>
      </c>
      <c r="G5428">
        <v>1.4999999999999999E-2</v>
      </c>
      <c r="H5428">
        <v>14.99</v>
      </c>
      <c r="I5428" t="s">
        <v>15</v>
      </c>
      <c r="J5428" t="s">
        <v>15</v>
      </c>
      <c r="K5428">
        <v>2.7</v>
      </c>
      <c r="L5428">
        <v>0</v>
      </c>
    </row>
    <row r="5429" spans="1:12" x14ac:dyDescent="0.3">
      <c r="A5429" t="s">
        <v>5445</v>
      </c>
      <c r="B5429" t="s">
        <v>13</v>
      </c>
      <c r="C5429">
        <v>8298</v>
      </c>
      <c r="D5429">
        <v>141.07</v>
      </c>
      <c r="E5429">
        <v>25.39</v>
      </c>
      <c r="F5429">
        <f>COUNTIFS(mdr_rate_cleaned!$A$2:$A$10,B5429,mdr_rate_cleaned!$B$2:$B$10,"&lt;"&amp;C5429,mdr_rate_cleaned!$F$2:$F$10,"&gt;="&amp;C5429)</f>
        <v>1</v>
      </c>
      <c r="G5429">
        <v>1.7000000000000001E-2</v>
      </c>
      <c r="H5429">
        <v>141.07</v>
      </c>
      <c r="I5429" t="s">
        <v>15</v>
      </c>
      <c r="J5429" t="s">
        <v>15</v>
      </c>
      <c r="K5429">
        <v>25.39</v>
      </c>
      <c r="L5429">
        <v>0</v>
      </c>
    </row>
    <row r="5430" spans="1:12" x14ac:dyDescent="0.3">
      <c r="A5430" t="s">
        <v>5446</v>
      </c>
      <c r="B5430" t="s">
        <v>17</v>
      </c>
      <c r="C5430">
        <v>898</v>
      </c>
      <c r="D5430">
        <v>16.16</v>
      </c>
      <c r="E5430">
        <v>2.91</v>
      </c>
      <c r="F5430">
        <f>COUNTIFS(mdr_rate_cleaned!$A$2:$A$10,B5430,mdr_rate_cleaned!$B$2:$B$10,"&lt;"&amp;C5430,mdr_rate_cleaned!$F$2:$F$10,"&gt;="&amp;C5430)</f>
        <v>1</v>
      </c>
      <c r="G5430">
        <v>1.7999999999999999E-2</v>
      </c>
      <c r="H5430">
        <v>16.16</v>
      </c>
      <c r="I5430" t="s">
        <v>15</v>
      </c>
      <c r="J5430" t="s">
        <v>15</v>
      </c>
      <c r="K5430">
        <v>2.91</v>
      </c>
      <c r="L5430">
        <v>0</v>
      </c>
    </row>
    <row r="5431" spans="1:12" x14ac:dyDescent="0.3">
      <c r="A5431" t="s">
        <v>5447</v>
      </c>
      <c r="B5431" t="s">
        <v>17</v>
      </c>
      <c r="C5431">
        <v>7999</v>
      </c>
      <c r="D5431">
        <v>127.98</v>
      </c>
      <c r="E5431">
        <v>23.04</v>
      </c>
      <c r="F5431">
        <f>COUNTIFS(mdr_rate_cleaned!$A$2:$A$10,B5431,mdr_rate_cleaned!$B$2:$B$10,"&lt;"&amp;C5431,mdr_rate_cleaned!$F$2:$F$10,"&gt;="&amp;C5431)</f>
        <v>1</v>
      </c>
      <c r="G5431">
        <v>1.6E-2</v>
      </c>
      <c r="H5431">
        <v>127.98</v>
      </c>
      <c r="I5431" t="s">
        <v>15</v>
      </c>
      <c r="J5431" t="s">
        <v>15</v>
      </c>
      <c r="K5431">
        <v>23.04</v>
      </c>
      <c r="L5431">
        <v>0</v>
      </c>
    </row>
    <row r="5432" spans="1:12" x14ac:dyDescent="0.3">
      <c r="A5432" t="s">
        <v>5448</v>
      </c>
      <c r="B5432" t="s">
        <v>21</v>
      </c>
      <c r="C5432">
        <v>5348</v>
      </c>
      <c r="D5432">
        <v>16.04</v>
      </c>
      <c r="E5432">
        <v>2.89</v>
      </c>
      <c r="F5432">
        <f>COUNTIFS(mdr_rate_cleaned!$A$2:$A$10,B5432,mdr_rate_cleaned!$B$2:$B$10,"&lt;"&amp;C5432,mdr_rate_cleaned!$F$2:$F$10,"&gt;="&amp;C5432)</f>
        <v>1</v>
      </c>
      <c r="G5432">
        <v>3.0000000000000001E-3</v>
      </c>
      <c r="H5432">
        <v>16.04</v>
      </c>
      <c r="I5432" t="s">
        <v>15</v>
      </c>
      <c r="J5432" t="s">
        <v>15</v>
      </c>
      <c r="K5432">
        <v>2.89</v>
      </c>
      <c r="L5432">
        <v>0</v>
      </c>
    </row>
    <row r="5433" spans="1:12" x14ac:dyDescent="0.3">
      <c r="A5433" t="s">
        <v>5449</v>
      </c>
      <c r="B5433" t="s">
        <v>21</v>
      </c>
      <c r="C5433">
        <v>3998</v>
      </c>
      <c r="D5433">
        <v>11.99</v>
      </c>
      <c r="E5433">
        <v>2.16</v>
      </c>
      <c r="F5433">
        <f>COUNTIFS(mdr_rate_cleaned!$A$2:$A$10,B5433,mdr_rate_cleaned!$B$2:$B$10,"&lt;"&amp;C5433,mdr_rate_cleaned!$F$2:$F$10,"&gt;="&amp;C5433)</f>
        <v>1</v>
      </c>
      <c r="G5433">
        <v>3.0000000000000001E-3</v>
      </c>
      <c r="H5433">
        <v>11.99</v>
      </c>
      <c r="I5433" t="s">
        <v>15</v>
      </c>
      <c r="J5433" t="s">
        <v>15</v>
      </c>
      <c r="K5433">
        <v>2.16</v>
      </c>
      <c r="L5433">
        <v>0</v>
      </c>
    </row>
    <row r="5434" spans="1:12" x14ac:dyDescent="0.3">
      <c r="A5434" t="s">
        <v>5450</v>
      </c>
      <c r="B5434" t="s">
        <v>21</v>
      </c>
      <c r="C5434">
        <v>1299</v>
      </c>
      <c r="D5434">
        <v>0</v>
      </c>
      <c r="E5434">
        <v>0</v>
      </c>
      <c r="F5434">
        <f>COUNTIFS(mdr_rate_cleaned!$A$2:$A$10,B5434,mdr_rate_cleaned!$B$2:$B$10,"&lt;"&amp;C5434,mdr_rate_cleaned!$F$2:$F$10,"&gt;="&amp;C5434)</f>
        <v>1</v>
      </c>
      <c r="G5434">
        <v>0</v>
      </c>
      <c r="H5434">
        <v>0</v>
      </c>
      <c r="I5434" t="s">
        <v>15</v>
      </c>
      <c r="J5434" t="s">
        <v>15</v>
      </c>
      <c r="K5434">
        <v>0</v>
      </c>
      <c r="L5434">
        <v>0</v>
      </c>
    </row>
    <row r="5435" spans="1:12" x14ac:dyDescent="0.3">
      <c r="A5435" t="s">
        <v>5451</v>
      </c>
      <c r="B5435" t="s">
        <v>39</v>
      </c>
      <c r="C5435">
        <v>11297</v>
      </c>
      <c r="D5435">
        <v>101.67</v>
      </c>
      <c r="E5435">
        <v>18.3</v>
      </c>
      <c r="F5435">
        <f>COUNTIFS(mdr_rate_cleaned!$A$2:$A$10,B5435,mdr_rate_cleaned!$B$2:$B$10,"&lt;"&amp;C5435,mdr_rate_cleaned!$F$2:$F$10,"&gt;="&amp;C5435)</f>
        <v>1</v>
      </c>
      <c r="G5435">
        <v>8.9999999999999993E-3</v>
      </c>
      <c r="H5435">
        <v>101.67</v>
      </c>
      <c r="I5435" t="s">
        <v>15</v>
      </c>
      <c r="J5435" t="s">
        <v>15</v>
      </c>
      <c r="K5435">
        <v>18.3</v>
      </c>
      <c r="L5435">
        <v>0</v>
      </c>
    </row>
    <row r="5436" spans="1:12" x14ac:dyDescent="0.3">
      <c r="A5436" t="s">
        <v>5452</v>
      </c>
      <c r="B5436" t="s">
        <v>21</v>
      </c>
      <c r="C5436">
        <v>898</v>
      </c>
      <c r="D5436">
        <v>0</v>
      </c>
      <c r="E5436">
        <v>0</v>
      </c>
      <c r="F5436">
        <f>COUNTIFS(mdr_rate_cleaned!$A$2:$A$10,B5436,mdr_rate_cleaned!$B$2:$B$10,"&lt;"&amp;C5436,mdr_rate_cleaned!$F$2:$F$10,"&gt;="&amp;C5436)</f>
        <v>1</v>
      </c>
      <c r="G5436">
        <v>0</v>
      </c>
      <c r="H5436">
        <v>0</v>
      </c>
      <c r="I5436" t="s">
        <v>15</v>
      </c>
      <c r="J5436" t="s">
        <v>15</v>
      </c>
      <c r="K5436">
        <v>0</v>
      </c>
      <c r="L5436">
        <v>0</v>
      </c>
    </row>
    <row r="5437" spans="1:12" x14ac:dyDescent="0.3">
      <c r="A5437" t="s">
        <v>5453</v>
      </c>
      <c r="B5437" t="s">
        <v>21</v>
      </c>
      <c r="C5437">
        <v>2498</v>
      </c>
      <c r="D5437">
        <v>7.49</v>
      </c>
      <c r="E5437">
        <v>1.35</v>
      </c>
      <c r="F5437">
        <f>COUNTIFS(mdr_rate_cleaned!$A$2:$A$10,B5437,mdr_rate_cleaned!$B$2:$B$10,"&lt;"&amp;C5437,mdr_rate_cleaned!$F$2:$F$10,"&gt;="&amp;C5437)</f>
        <v>1</v>
      </c>
      <c r="G5437">
        <v>3.0000000000000001E-3</v>
      </c>
      <c r="H5437">
        <v>7.49</v>
      </c>
      <c r="I5437" t="s">
        <v>15</v>
      </c>
      <c r="J5437" t="s">
        <v>15</v>
      </c>
      <c r="K5437">
        <v>1.35</v>
      </c>
      <c r="L5437">
        <v>0</v>
      </c>
    </row>
    <row r="5438" spans="1:12" x14ac:dyDescent="0.3">
      <c r="A5438" t="s">
        <v>5454</v>
      </c>
      <c r="B5438" t="s">
        <v>21</v>
      </c>
      <c r="C5438">
        <v>4798</v>
      </c>
      <c r="D5438">
        <v>14.39</v>
      </c>
      <c r="E5438">
        <v>2.59</v>
      </c>
      <c r="F5438">
        <f>COUNTIFS(mdr_rate_cleaned!$A$2:$A$10,B5438,mdr_rate_cleaned!$B$2:$B$10,"&lt;"&amp;C5438,mdr_rate_cleaned!$F$2:$F$10,"&gt;="&amp;C5438)</f>
        <v>1</v>
      </c>
      <c r="G5438">
        <v>3.0000000000000001E-3</v>
      </c>
      <c r="H5438">
        <v>14.39</v>
      </c>
      <c r="I5438" t="s">
        <v>15</v>
      </c>
      <c r="J5438" t="s">
        <v>15</v>
      </c>
      <c r="K5438">
        <v>2.59</v>
      </c>
      <c r="L5438">
        <v>0</v>
      </c>
    </row>
    <row r="5439" spans="1:12" x14ac:dyDescent="0.3">
      <c r="A5439" t="s">
        <v>5455</v>
      </c>
      <c r="B5439" t="s">
        <v>21</v>
      </c>
      <c r="C5439">
        <v>349</v>
      </c>
      <c r="D5439">
        <v>0</v>
      </c>
      <c r="E5439">
        <v>0</v>
      </c>
      <c r="F5439">
        <f>COUNTIFS(mdr_rate_cleaned!$A$2:$A$10,B5439,mdr_rate_cleaned!$B$2:$B$10,"&lt;"&amp;C5439,mdr_rate_cleaned!$F$2:$F$10,"&gt;="&amp;C5439)</f>
        <v>1</v>
      </c>
      <c r="G5439">
        <v>0</v>
      </c>
      <c r="H5439">
        <v>0</v>
      </c>
      <c r="I5439" t="s">
        <v>15</v>
      </c>
      <c r="J5439" t="s">
        <v>15</v>
      </c>
      <c r="K5439">
        <v>0</v>
      </c>
      <c r="L5439">
        <v>0</v>
      </c>
    </row>
    <row r="5440" spans="1:12" x14ac:dyDescent="0.3">
      <c r="A5440" t="s">
        <v>5456</v>
      </c>
      <c r="B5440" t="s">
        <v>21</v>
      </c>
      <c r="C5440">
        <v>1299</v>
      </c>
      <c r="D5440">
        <v>0</v>
      </c>
      <c r="E5440">
        <v>0</v>
      </c>
      <c r="F5440">
        <f>COUNTIFS(mdr_rate_cleaned!$A$2:$A$10,B5440,mdr_rate_cleaned!$B$2:$B$10,"&lt;"&amp;C5440,mdr_rate_cleaned!$F$2:$F$10,"&gt;="&amp;C5440)</f>
        <v>1</v>
      </c>
      <c r="G5440">
        <v>0</v>
      </c>
      <c r="H5440">
        <v>0</v>
      </c>
      <c r="I5440" t="s">
        <v>15</v>
      </c>
      <c r="J5440" t="s">
        <v>15</v>
      </c>
      <c r="K5440">
        <v>0</v>
      </c>
      <c r="L5440">
        <v>0</v>
      </c>
    </row>
    <row r="5441" spans="1:12" x14ac:dyDescent="0.3">
      <c r="A5441" t="s">
        <v>5457</v>
      </c>
      <c r="B5441" t="s">
        <v>21</v>
      </c>
      <c r="C5441">
        <v>2098</v>
      </c>
      <c r="D5441">
        <v>6.29</v>
      </c>
      <c r="E5441">
        <v>1.1299999999999999</v>
      </c>
      <c r="F5441">
        <f>COUNTIFS(mdr_rate_cleaned!$A$2:$A$10,B5441,mdr_rate_cleaned!$B$2:$B$10,"&lt;"&amp;C5441,mdr_rate_cleaned!$F$2:$F$10,"&gt;="&amp;C5441)</f>
        <v>1</v>
      </c>
      <c r="G5441">
        <v>3.0000000000000001E-3</v>
      </c>
      <c r="H5441">
        <v>6.29</v>
      </c>
      <c r="I5441" t="s">
        <v>15</v>
      </c>
      <c r="J5441" t="s">
        <v>15</v>
      </c>
      <c r="K5441">
        <v>1.1299999999999999</v>
      </c>
      <c r="L5441">
        <v>0</v>
      </c>
    </row>
    <row r="5442" spans="1:12" x14ac:dyDescent="0.3">
      <c r="A5442" t="s">
        <v>5458</v>
      </c>
      <c r="B5442" t="s">
        <v>39</v>
      </c>
      <c r="C5442">
        <v>299</v>
      </c>
      <c r="D5442">
        <v>4.49</v>
      </c>
      <c r="E5442">
        <v>0.81</v>
      </c>
      <c r="F5442">
        <f>COUNTIFS(mdr_rate_cleaned!$A$2:$A$10,B5442,mdr_rate_cleaned!$B$2:$B$10,"&lt;"&amp;C5442,mdr_rate_cleaned!$F$2:$F$10,"&gt;="&amp;C5442)</f>
        <v>1</v>
      </c>
      <c r="G5442">
        <v>1.4999999999999999E-2</v>
      </c>
      <c r="H5442">
        <v>4.49</v>
      </c>
      <c r="I5442" t="s">
        <v>15</v>
      </c>
      <c r="J5442" t="s">
        <v>15</v>
      </c>
      <c r="K5442">
        <v>0.81</v>
      </c>
      <c r="L5442">
        <v>0</v>
      </c>
    </row>
    <row r="5443" spans="1:12" x14ac:dyDescent="0.3">
      <c r="A5443" t="s">
        <v>5459</v>
      </c>
      <c r="B5443" t="s">
        <v>17</v>
      </c>
      <c r="C5443">
        <v>5348</v>
      </c>
      <c r="D5443">
        <v>85.57</v>
      </c>
      <c r="E5443">
        <v>15.4</v>
      </c>
      <c r="F5443">
        <f>COUNTIFS(mdr_rate_cleaned!$A$2:$A$10,B5443,mdr_rate_cleaned!$B$2:$B$10,"&lt;"&amp;C5443,mdr_rate_cleaned!$F$2:$F$10,"&gt;="&amp;C5443)</f>
        <v>1</v>
      </c>
      <c r="G5443">
        <v>1.6E-2</v>
      </c>
      <c r="H5443">
        <v>85.57</v>
      </c>
      <c r="I5443" t="s">
        <v>15</v>
      </c>
      <c r="J5443" t="s">
        <v>15</v>
      </c>
      <c r="K5443">
        <v>15.4</v>
      </c>
      <c r="L5443">
        <v>0</v>
      </c>
    </row>
    <row r="5444" spans="1:12" x14ac:dyDescent="0.3">
      <c r="A5444" t="s">
        <v>5460</v>
      </c>
      <c r="B5444" t="s">
        <v>13</v>
      </c>
      <c r="C5444">
        <v>1598</v>
      </c>
      <c r="D5444">
        <v>30.36</v>
      </c>
      <c r="E5444">
        <v>5.46</v>
      </c>
      <c r="F5444">
        <f>COUNTIFS(mdr_rate_cleaned!$A$2:$A$10,B5444,mdr_rate_cleaned!$B$2:$B$10,"&lt;"&amp;C5444,mdr_rate_cleaned!$F$2:$F$10,"&gt;="&amp;C5444)</f>
        <v>1</v>
      </c>
      <c r="G5444">
        <v>1.9E-2</v>
      </c>
      <c r="H5444">
        <v>30.36</v>
      </c>
      <c r="I5444" t="s">
        <v>15</v>
      </c>
      <c r="J5444" t="s">
        <v>15</v>
      </c>
      <c r="K5444">
        <v>5.46</v>
      </c>
      <c r="L5444">
        <v>0</v>
      </c>
    </row>
    <row r="5445" spans="1:12" x14ac:dyDescent="0.3">
      <c r="A5445" t="s">
        <v>5461</v>
      </c>
      <c r="B5445" t="s">
        <v>21</v>
      </c>
      <c r="C5445">
        <v>4999</v>
      </c>
      <c r="D5445">
        <v>15</v>
      </c>
      <c r="E5445">
        <v>2.7</v>
      </c>
      <c r="F5445">
        <f>COUNTIFS(mdr_rate_cleaned!$A$2:$A$10,B5445,mdr_rate_cleaned!$B$2:$B$10,"&lt;"&amp;C5445,mdr_rate_cleaned!$F$2:$F$10,"&gt;="&amp;C5445)</f>
        <v>1</v>
      </c>
      <c r="G5445">
        <v>3.0000000000000001E-3</v>
      </c>
      <c r="H5445">
        <v>15</v>
      </c>
      <c r="I5445" t="s">
        <v>15</v>
      </c>
      <c r="J5445" t="s">
        <v>15</v>
      </c>
      <c r="K5445">
        <v>2.7</v>
      </c>
      <c r="L5445">
        <v>0</v>
      </c>
    </row>
    <row r="5446" spans="1:12" x14ac:dyDescent="0.3">
      <c r="A5446" t="s">
        <v>5462</v>
      </c>
      <c r="B5446" t="s">
        <v>13</v>
      </c>
      <c r="C5446">
        <v>7999</v>
      </c>
      <c r="D5446">
        <v>135.97999999999999</v>
      </c>
      <c r="E5446">
        <v>24.48</v>
      </c>
      <c r="F5446">
        <f>COUNTIFS(mdr_rate_cleaned!$A$2:$A$10,B5446,mdr_rate_cleaned!$B$2:$B$10,"&lt;"&amp;C5446,mdr_rate_cleaned!$F$2:$F$10,"&gt;="&amp;C5446)</f>
        <v>1</v>
      </c>
      <c r="G5446">
        <v>1.7000000000000001E-2</v>
      </c>
      <c r="H5446">
        <v>135.97999999999999</v>
      </c>
      <c r="I5446" t="s">
        <v>15</v>
      </c>
      <c r="J5446" t="s">
        <v>15</v>
      </c>
      <c r="K5446">
        <v>24.48</v>
      </c>
      <c r="L5446">
        <v>0</v>
      </c>
    </row>
    <row r="5447" spans="1:12" x14ac:dyDescent="0.3">
      <c r="A5447" t="s">
        <v>5463</v>
      </c>
      <c r="B5447" t="s">
        <v>17</v>
      </c>
      <c r="C5447">
        <v>3499</v>
      </c>
      <c r="D5447">
        <v>55.98</v>
      </c>
      <c r="E5447">
        <v>10.08</v>
      </c>
      <c r="F5447">
        <f>COUNTIFS(mdr_rate_cleaned!$A$2:$A$10,B5447,mdr_rate_cleaned!$B$2:$B$10,"&lt;"&amp;C5447,mdr_rate_cleaned!$F$2:$F$10,"&gt;="&amp;C5447)</f>
        <v>1</v>
      </c>
      <c r="G5447">
        <v>1.6E-2</v>
      </c>
      <c r="H5447">
        <v>55.98</v>
      </c>
      <c r="I5447" t="s">
        <v>15</v>
      </c>
      <c r="J5447" t="s">
        <v>15</v>
      </c>
      <c r="K5447">
        <v>10.08</v>
      </c>
      <c r="L5447">
        <v>0</v>
      </c>
    </row>
    <row r="5448" spans="1:12" x14ac:dyDescent="0.3">
      <c r="A5448" t="s">
        <v>5464</v>
      </c>
      <c r="B5448" t="s">
        <v>21</v>
      </c>
      <c r="C5448">
        <v>7397</v>
      </c>
      <c r="D5448">
        <v>22.19</v>
      </c>
      <c r="E5448">
        <v>3.99</v>
      </c>
      <c r="F5448">
        <f>COUNTIFS(mdr_rate_cleaned!$A$2:$A$10,B5448,mdr_rate_cleaned!$B$2:$B$10,"&lt;"&amp;C5448,mdr_rate_cleaned!$F$2:$F$10,"&gt;="&amp;C5448)</f>
        <v>1</v>
      </c>
      <c r="G5448">
        <v>3.0000000000000001E-3</v>
      </c>
      <c r="H5448">
        <v>22.19</v>
      </c>
      <c r="I5448" t="s">
        <v>15</v>
      </c>
      <c r="J5448" t="s">
        <v>15</v>
      </c>
      <c r="K5448">
        <v>3.99</v>
      </c>
      <c r="L5448">
        <v>0</v>
      </c>
    </row>
    <row r="5449" spans="1:12" x14ac:dyDescent="0.3">
      <c r="A5449" t="s">
        <v>5465</v>
      </c>
      <c r="B5449" t="s">
        <v>21</v>
      </c>
      <c r="C5449">
        <v>8797</v>
      </c>
      <c r="D5449">
        <v>26.39</v>
      </c>
      <c r="E5449">
        <v>4.75</v>
      </c>
      <c r="F5449">
        <f>COUNTIFS(mdr_rate_cleaned!$A$2:$A$10,B5449,mdr_rate_cleaned!$B$2:$B$10,"&lt;"&amp;C5449,mdr_rate_cleaned!$F$2:$F$10,"&gt;="&amp;C5449)</f>
        <v>1</v>
      </c>
      <c r="G5449">
        <v>3.0000000000000001E-3</v>
      </c>
      <c r="H5449">
        <v>26.39</v>
      </c>
      <c r="I5449" t="s">
        <v>15</v>
      </c>
      <c r="J5449" t="s">
        <v>15</v>
      </c>
      <c r="K5449">
        <v>4.75</v>
      </c>
      <c r="L5449">
        <v>0</v>
      </c>
    </row>
    <row r="5450" spans="1:12" x14ac:dyDescent="0.3">
      <c r="A5450" t="s">
        <v>5466</v>
      </c>
      <c r="B5450" t="s">
        <v>39</v>
      </c>
      <c r="C5450">
        <v>4797</v>
      </c>
      <c r="D5450">
        <v>57.56</v>
      </c>
      <c r="E5450">
        <v>10.36</v>
      </c>
      <c r="F5450">
        <f>COUNTIFS(mdr_rate_cleaned!$A$2:$A$10,B5450,mdr_rate_cleaned!$B$2:$B$10,"&lt;"&amp;C5450,mdr_rate_cleaned!$F$2:$F$10,"&gt;="&amp;C5450)</f>
        <v>1</v>
      </c>
      <c r="G5450">
        <v>1.2E-2</v>
      </c>
      <c r="H5450">
        <v>57.56</v>
      </c>
      <c r="I5450" t="s">
        <v>15</v>
      </c>
      <c r="J5450" t="s">
        <v>15</v>
      </c>
      <c r="K5450">
        <v>10.36</v>
      </c>
      <c r="L5450">
        <v>0</v>
      </c>
    </row>
    <row r="5451" spans="1:12" x14ac:dyDescent="0.3">
      <c r="A5451" t="s">
        <v>5467</v>
      </c>
      <c r="B5451" t="s">
        <v>17</v>
      </c>
      <c r="C5451">
        <v>4498</v>
      </c>
      <c r="D5451">
        <v>71.97</v>
      </c>
      <c r="E5451">
        <v>12.95</v>
      </c>
      <c r="F5451">
        <f>COUNTIFS(mdr_rate_cleaned!$A$2:$A$10,B5451,mdr_rate_cleaned!$B$2:$B$10,"&lt;"&amp;C5451,mdr_rate_cleaned!$F$2:$F$10,"&gt;="&amp;C5451)</f>
        <v>1</v>
      </c>
      <c r="G5451">
        <v>1.6E-2</v>
      </c>
      <c r="H5451">
        <v>71.97</v>
      </c>
      <c r="I5451" t="s">
        <v>15</v>
      </c>
      <c r="J5451" t="s">
        <v>15</v>
      </c>
      <c r="K5451">
        <v>12.95</v>
      </c>
      <c r="L5451">
        <v>0</v>
      </c>
    </row>
    <row r="5452" spans="1:12" x14ac:dyDescent="0.3">
      <c r="A5452" t="s">
        <v>5468</v>
      </c>
      <c r="B5452" t="s">
        <v>21</v>
      </c>
      <c r="C5452">
        <v>5998</v>
      </c>
      <c r="D5452">
        <v>17.989999999999998</v>
      </c>
      <c r="E5452">
        <v>3.24</v>
      </c>
      <c r="F5452">
        <f>COUNTIFS(mdr_rate_cleaned!$A$2:$A$10,B5452,mdr_rate_cleaned!$B$2:$B$10,"&lt;"&amp;C5452,mdr_rate_cleaned!$F$2:$F$10,"&gt;="&amp;C5452)</f>
        <v>1</v>
      </c>
      <c r="G5452">
        <v>3.0000000000000001E-3</v>
      </c>
      <c r="H5452">
        <v>17.989999999999998</v>
      </c>
      <c r="I5452" t="s">
        <v>15</v>
      </c>
      <c r="J5452" t="s">
        <v>15</v>
      </c>
      <c r="K5452">
        <v>3.24</v>
      </c>
      <c r="L5452">
        <v>0</v>
      </c>
    </row>
    <row r="5453" spans="1:12" x14ac:dyDescent="0.3">
      <c r="A5453" t="s">
        <v>5469</v>
      </c>
      <c r="B5453" t="s">
        <v>21</v>
      </c>
      <c r="C5453">
        <v>5597</v>
      </c>
      <c r="D5453">
        <v>16.79</v>
      </c>
      <c r="E5453">
        <v>3.02</v>
      </c>
      <c r="F5453">
        <f>COUNTIFS(mdr_rate_cleaned!$A$2:$A$10,B5453,mdr_rate_cleaned!$B$2:$B$10,"&lt;"&amp;C5453,mdr_rate_cleaned!$F$2:$F$10,"&gt;="&amp;C5453)</f>
        <v>1</v>
      </c>
      <c r="G5453">
        <v>3.0000000000000001E-3</v>
      </c>
      <c r="H5453">
        <v>16.79</v>
      </c>
      <c r="I5453" t="s">
        <v>15</v>
      </c>
      <c r="J5453" t="s">
        <v>15</v>
      </c>
      <c r="K5453">
        <v>3.02</v>
      </c>
      <c r="L5453">
        <v>0</v>
      </c>
    </row>
    <row r="5454" spans="1:12" x14ac:dyDescent="0.3">
      <c r="A5454" t="s">
        <v>5470</v>
      </c>
      <c r="B5454" t="s">
        <v>21</v>
      </c>
      <c r="C5454">
        <v>12297</v>
      </c>
      <c r="D5454">
        <v>36.89</v>
      </c>
      <c r="E5454">
        <v>6.64</v>
      </c>
      <c r="F5454">
        <f>COUNTIFS(mdr_rate_cleaned!$A$2:$A$10,B5454,mdr_rate_cleaned!$B$2:$B$10,"&lt;"&amp;C5454,mdr_rate_cleaned!$F$2:$F$10,"&gt;="&amp;C5454)</f>
        <v>1</v>
      </c>
      <c r="G5454">
        <v>3.0000000000000001E-3</v>
      </c>
      <c r="H5454">
        <v>36.89</v>
      </c>
      <c r="I5454" t="s">
        <v>15</v>
      </c>
      <c r="J5454" t="s">
        <v>15</v>
      </c>
      <c r="K5454">
        <v>6.64</v>
      </c>
      <c r="L5454">
        <v>0</v>
      </c>
    </row>
    <row r="5455" spans="1:12" x14ac:dyDescent="0.3">
      <c r="A5455" t="s">
        <v>5471</v>
      </c>
      <c r="B5455" t="s">
        <v>21</v>
      </c>
      <c r="C5455">
        <v>3499</v>
      </c>
      <c r="D5455">
        <v>10.5</v>
      </c>
      <c r="E5455">
        <v>1.89</v>
      </c>
      <c r="F5455">
        <f>COUNTIFS(mdr_rate_cleaned!$A$2:$A$10,B5455,mdr_rate_cleaned!$B$2:$B$10,"&lt;"&amp;C5455,mdr_rate_cleaned!$F$2:$F$10,"&gt;="&amp;C5455)</f>
        <v>1</v>
      </c>
      <c r="G5455">
        <v>3.0000000000000001E-3</v>
      </c>
      <c r="H5455">
        <v>10.5</v>
      </c>
      <c r="I5455" t="s">
        <v>15</v>
      </c>
      <c r="J5455" t="s">
        <v>15</v>
      </c>
      <c r="K5455">
        <v>1.89</v>
      </c>
      <c r="L5455">
        <v>0</v>
      </c>
    </row>
    <row r="5456" spans="1:12" x14ac:dyDescent="0.3">
      <c r="A5456" t="s">
        <v>5472</v>
      </c>
      <c r="B5456" t="s">
        <v>21</v>
      </c>
      <c r="C5456">
        <v>1198</v>
      </c>
      <c r="D5456">
        <v>0</v>
      </c>
      <c r="E5456">
        <v>0</v>
      </c>
      <c r="F5456">
        <f>COUNTIFS(mdr_rate_cleaned!$A$2:$A$10,B5456,mdr_rate_cleaned!$B$2:$B$10,"&lt;"&amp;C5456,mdr_rate_cleaned!$F$2:$F$10,"&gt;="&amp;C5456)</f>
        <v>1</v>
      </c>
      <c r="G5456">
        <v>0</v>
      </c>
      <c r="H5456">
        <v>0</v>
      </c>
      <c r="I5456" t="s">
        <v>15</v>
      </c>
      <c r="J5456" t="s">
        <v>15</v>
      </c>
      <c r="K5456">
        <v>0</v>
      </c>
      <c r="L5456">
        <v>0</v>
      </c>
    </row>
    <row r="5457" spans="1:12" x14ac:dyDescent="0.3">
      <c r="A5457" t="s">
        <v>5473</v>
      </c>
      <c r="B5457" t="s">
        <v>13</v>
      </c>
      <c r="C5457">
        <v>799</v>
      </c>
      <c r="D5457">
        <v>15.18</v>
      </c>
      <c r="E5457">
        <v>2.73</v>
      </c>
      <c r="F5457">
        <f>COUNTIFS(mdr_rate_cleaned!$A$2:$A$10,B5457,mdr_rate_cleaned!$B$2:$B$10,"&lt;"&amp;C5457,mdr_rate_cleaned!$F$2:$F$10,"&gt;="&amp;C5457)</f>
        <v>1</v>
      </c>
      <c r="G5457">
        <v>1.9E-2</v>
      </c>
      <c r="H5457">
        <v>15.18</v>
      </c>
      <c r="I5457" t="s">
        <v>15</v>
      </c>
      <c r="J5457" t="s">
        <v>15</v>
      </c>
      <c r="K5457">
        <v>2.73</v>
      </c>
      <c r="L5457">
        <v>0</v>
      </c>
    </row>
    <row r="5458" spans="1:12" x14ac:dyDescent="0.3">
      <c r="A5458" t="s">
        <v>5474</v>
      </c>
      <c r="B5458" t="s">
        <v>13</v>
      </c>
      <c r="C5458">
        <v>999</v>
      </c>
      <c r="D5458">
        <v>18.98</v>
      </c>
      <c r="E5458">
        <v>3.42</v>
      </c>
      <c r="F5458">
        <f>COUNTIFS(mdr_rate_cleaned!$A$2:$A$10,B5458,mdr_rate_cleaned!$B$2:$B$10,"&lt;"&amp;C5458,mdr_rate_cleaned!$F$2:$F$10,"&gt;="&amp;C5458)</f>
        <v>1</v>
      </c>
      <c r="G5458">
        <v>1.9E-2</v>
      </c>
      <c r="H5458">
        <v>18.98</v>
      </c>
      <c r="I5458" t="s">
        <v>15</v>
      </c>
      <c r="J5458" t="s">
        <v>15</v>
      </c>
      <c r="K5458">
        <v>3.42</v>
      </c>
      <c r="L5458">
        <v>0</v>
      </c>
    </row>
    <row r="5459" spans="1:12" x14ac:dyDescent="0.3">
      <c r="A5459" t="s">
        <v>5475</v>
      </c>
      <c r="B5459" t="s">
        <v>21</v>
      </c>
      <c r="C5459">
        <v>3298</v>
      </c>
      <c r="D5459">
        <v>9.89</v>
      </c>
      <c r="E5459">
        <v>1.78</v>
      </c>
      <c r="F5459">
        <f>COUNTIFS(mdr_rate_cleaned!$A$2:$A$10,B5459,mdr_rate_cleaned!$B$2:$B$10,"&lt;"&amp;C5459,mdr_rate_cleaned!$F$2:$F$10,"&gt;="&amp;C5459)</f>
        <v>1</v>
      </c>
      <c r="G5459">
        <v>3.0000000000000001E-3</v>
      </c>
      <c r="H5459">
        <v>9.89</v>
      </c>
      <c r="I5459" t="s">
        <v>15</v>
      </c>
      <c r="J5459" t="s">
        <v>15</v>
      </c>
      <c r="K5459">
        <v>1.78</v>
      </c>
      <c r="L5459">
        <v>0</v>
      </c>
    </row>
    <row r="5460" spans="1:12" x14ac:dyDescent="0.3">
      <c r="A5460" t="s">
        <v>5476</v>
      </c>
      <c r="B5460" t="s">
        <v>21</v>
      </c>
      <c r="C5460">
        <v>2999</v>
      </c>
      <c r="D5460">
        <v>9</v>
      </c>
      <c r="E5460">
        <v>1.62</v>
      </c>
      <c r="F5460">
        <f>COUNTIFS(mdr_rate_cleaned!$A$2:$A$10,B5460,mdr_rate_cleaned!$B$2:$B$10,"&lt;"&amp;C5460,mdr_rate_cleaned!$F$2:$F$10,"&gt;="&amp;C5460)</f>
        <v>1</v>
      </c>
      <c r="G5460">
        <v>3.0000000000000001E-3</v>
      </c>
      <c r="H5460">
        <v>9</v>
      </c>
      <c r="I5460" t="s">
        <v>15</v>
      </c>
      <c r="J5460" t="s">
        <v>15</v>
      </c>
      <c r="K5460">
        <v>1.62</v>
      </c>
      <c r="L5460">
        <v>0</v>
      </c>
    </row>
    <row r="5461" spans="1:12" x14ac:dyDescent="0.3">
      <c r="A5461" t="s">
        <v>5477</v>
      </c>
      <c r="B5461" t="s">
        <v>21</v>
      </c>
      <c r="C5461">
        <v>13997</v>
      </c>
      <c r="D5461">
        <v>41.99</v>
      </c>
      <c r="E5461">
        <v>7.56</v>
      </c>
      <c r="F5461">
        <f>COUNTIFS(mdr_rate_cleaned!$A$2:$A$10,B5461,mdr_rate_cleaned!$B$2:$B$10,"&lt;"&amp;C5461,mdr_rate_cleaned!$F$2:$F$10,"&gt;="&amp;C5461)</f>
        <v>1</v>
      </c>
      <c r="G5461">
        <v>3.0000000000000001E-3</v>
      </c>
      <c r="H5461">
        <v>41.99</v>
      </c>
      <c r="I5461" t="s">
        <v>15</v>
      </c>
      <c r="J5461" t="s">
        <v>15</v>
      </c>
      <c r="K5461">
        <v>7.56</v>
      </c>
      <c r="L5461">
        <v>0</v>
      </c>
    </row>
    <row r="5462" spans="1:12" x14ac:dyDescent="0.3">
      <c r="A5462" t="s">
        <v>5478</v>
      </c>
      <c r="B5462" t="s">
        <v>21</v>
      </c>
      <c r="C5462">
        <v>3798</v>
      </c>
      <c r="D5462">
        <v>11.39</v>
      </c>
      <c r="E5462">
        <v>2.0499999999999998</v>
      </c>
      <c r="F5462">
        <f>COUNTIFS(mdr_rate_cleaned!$A$2:$A$10,B5462,mdr_rate_cleaned!$B$2:$B$10,"&lt;"&amp;C5462,mdr_rate_cleaned!$F$2:$F$10,"&gt;="&amp;C5462)</f>
        <v>1</v>
      </c>
      <c r="G5462">
        <v>3.0000000000000001E-3</v>
      </c>
      <c r="H5462">
        <v>11.39</v>
      </c>
      <c r="I5462" t="s">
        <v>15</v>
      </c>
      <c r="J5462" t="s">
        <v>15</v>
      </c>
      <c r="K5462">
        <v>2.0499999999999998</v>
      </c>
      <c r="L5462">
        <v>0</v>
      </c>
    </row>
    <row r="5463" spans="1:12" x14ac:dyDescent="0.3">
      <c r="A5463" t="s">
        <v>5479</v>
      </c>
      <c r="B5463" t="s">
        <v>17</v>
      </c>
      <c r="C5463">
        <v>4999</v>
      </c>
      <c r="D5463">
        <v>79.98</v>
      </c>
      <c r="E5463">
        <v>14.4</v>
      </c>
      <c r="F5463">
        <f>COUNTIFS(mdr_rate_cleaned!$A$2:$A$10,B5463,mdr_rate_cleaned!$B$2:$B$10,"&lt;"&amp;C5463,mdr_rate_cleaned!$F$2:$F$10,"&gt;="&amp;C5463)</f>
        <v>1</v>
      </c>
      <c r="G5463">
        <v>1.6E-2</v>
      </c>
      <c r="H5463">
        <v>79.98</v>
      </c>
      <c r="I5463" t="s">
        <v>15</v>
      </c>
      <c r="J5463" t="s">
        <v>15</v>
      </c>
      <c r="K5463">
        <v>14.4</v>
      </c>
      <c r="L5463">
        <v>0</v>
      </c>
    </row>
    <row r="5464" spans="1:12" x14ac:dyDescent="0.3">
      <c r="A5464" t="s">
        <v>5480</v>
      </c>
      <c r="B5464" t="s">
        <v>17</v>
      </c>
      <c r="C5464">
        <v>1298</v>
      </c>
      <c r="D5464">
        <v>23.36</v>
      </c>
      <c r="E5464">
        <v>4.2</v>
      </c>
      <c r="F5464">
        <f>COUNTIFS(mdr_rate_cleaned!$A$2:$A$10,B5464,mdr_rate_cleaned!$B$2:$B$10,"&lt;"&amp;C5464,mdr_rate_cleaned!$F$2:$F$10,"&gt;="&amp;C5464)</f>
        <v>1</v>
      </c>
      <c r="G5464">
        <v>1.7999999999999999E-2</v>
      </c>
      <c r="H5464">
        <v>23.36</v>
      </c>
      <c r="I5464" t="s">
        <v>15</v>
      </c>
      <c r="J5464" t="s">
        <v>15</v>
      </c>
      <c r="K5464">
        <v>4.2</v>
      </c>
      <c r="L5464">
        <v>0</v>
      </c>
    </row>
    <row r="5465" spans="1:12" x14ac:dyDescent="0.3">
      <c r="A5465" t="s">
        <v>5481</v>
      </c>
      <c r="B5465" t="s">
        <v>21</v>
      </c>
      <c r="C5465">
        <v>5097</v>
      </c>
      <c r="D5465">
        <v>15.29</v>
      </c>
      <c r="E5465">
        <v>2.75</v>
      </c>
      <c r="F5465">
        <f>COUNTIFS(mdr_rate_cleaned!$A$2:$A$10,B5465,mdr_rate_cleaned!$B$2:$B$10,"&lt;"&amp;C5465,mdr_rate_cleaned!$F$2:$F$10,"&gt;="&amp;C5465)</f>
        <v>1</v>
      </c>
      <c r="G5465">
        <v>3.0000000000000001E-3</v>
      </c>
      <c r="H5465">
        <v>15.29</v>
      </c>
      <c r="I5465" t="s">
        <v>15</v>
      </c>
      <c r="J5465" t="s">
        <v>15</v>
      </c>
      <c r="K5465">
        <v>2.75</v>
      </c>
      <c r="L5465">
        <v>0</v>
      </c>
    </row>
    <row r="5466" spans="1:12" x14ac:dyDescent="0.3">
      <c r="A5466" t="s">
        <v>5482</v>
      </c>
      <c r="B5466" t="s">
        <v>21</v>
      </c>
      <c r="C5466">
        <v>799</v>
      </c>
      <c r="D5466">
        <v>0</v>
      </c>
      <c r="E5466">
        <v>0</v>
      </c>
      <c r="F5466">
        <f>COUNTIFS(mdr_rate_cleaned!$A$2:$A$10,B5466,mdr_rate_cleaned!$B$2:$B$10,"&lt;"&amp;C5466,mdr_rate_cleaned!$F$2:$F$10,"&gt;="&amp;C5466)</f>
        <v>1</v>
      </c>
      <c r="G5466">
        <v>0</v>
      </c>
      <c r="H5466">
        <v>0</v>
      </c>
      <c r="I5466" t="s">
        <v>15</v>
      </c>
      <c r="J5466" t="s">
        <v>15</v>
      </c>
      <c r="K5466">
        <v>0</v>
      </c>
      <c r="L5466">
        <v>0</v>
      </c>
    </row>
    <row r="5467" spans="1:12" x14ac:dyDescent="0.3">
      <c r="A5467" t="s">
        <v>5483</v>
      </c>
      <c r="B5467" t="s">
        <v>13</v>
      </c>
      <c r="C5467">
        <v>3098</v>
      </c>
      <c r="D5467">
        <v>52.67</v>
      </c>
      <c r="E5467">
        <v>9.48</v>
      </c>
      <c r="F5467">
        <f>COUNTIFS(mdr_rate_cleaned!$A$2:$A$10,B5467,mdr_rate_cleaned!$B$2:$B$10,"&lt;"&amp;C5467,mdr_rate_cleaned!$F$2:$F$10,"&gt;="&amp;C5467)</f>
        <v>1</v>
      </c>
      <c r="G5467">
        <v>1.7000000000000001E-2</v>
      </c>
      <c r="H5467">
        <v>52.67</v>
      </c>
      <c r="I5467" t="s">
        <v>15</v>
      </c>
      <c r="J5467" t="s">
        <v>15</v>
      </c>
      <c r="K5467">
        <v>9.48</v>
      </c>
      <c r="L5467">
        <v>0</v>
      </c>
    </row>
    <row r="5468" spans="1:12" x14ac:dyDescent="0.3">
      <c r="A5468" t="s">
        <v>5484</v>
      </c>
      <c r="B5468" t="s">
        <v>21</v>
      </c>
      <c r="C5468">
        <v>4999</v>
      </c>
      <c r="D5468">
        <v>15</v>
      </c>
      <c r="E5468">
        <v>2.7</v>
      </c>
      <c r="F5468">
        <f>COUNTIFS(mdr_rate_cleaned!$A$2:$A$10,B5468,mdr_rate_cleaned!$B$2:$B$10,"&lt;"&amp;C5468,mdr_rate_cleaned!$F$2:$F$10,"&gt;="&amp;C5468)</f>
        <v>1</v>
      </c>
      <c r="G5468">
        <v>3.0000000000000001E-3</v>
      </c>
      <c r="H5468">
        <v>15</v>
      </c>
      <c r="I5468" t="s">
        <v>15</v>
      </c>
      <c r="J5468" t="s">
        <v>15</v>
      </c>
      <c r="K5468">
        <v>2.7</v>
      </c>
      <c r="L5468">
        <v>0</v>
      </c>
    </row>
    <row r="5469" spans="1:12" x14ac:dyDescent="0.3">
      <c r="A5469" t="s">
        <v>5485</v>
      </c>
      <c r="B5469" t="s">
        <v>13</v>
      </c>
      <c r="C5469">
        <v>2397</v>
      </c>
      <c r="D5469">
        <v>40.75</v>
      </c>
      <c r="E5469">
        <v>7.34</v>
      </c>
      <c r="F5469">
        <f>COUNTIFS(mdr_rate_cleaned!$A$2:$A$10,B5469,mdr_rate_cleaned!$B$2:$B$10,"&lt;"&amp;C5469,mdr_rate_cleaned!$F$2:$F$10,"&gt;="&amp;C5469)</f>
        <v>1</v>
      </c>
      <c r="G5469">
        <v>1.7000000000000001E-2</v>
      </c>
      <c r="H5469">
        <v>40.75</v>
      </c>
      <c r="I5469" t="s">
        <v>15</v>
      </c>
      <c r="J5469" t="s">
        <v>15</v>
      </c>
      <c r="K5469">
        <v>7.34</v>
      </c>
      <c r="L5469">
        <v>0</v>
      </c>
    </row>
    <row r="5470" spans="1:12" x14ac:dyDescent="0.3">
      <c r="A5470" t="s">
        <v>5486</v>
      </c>
      <c r="B5470" t="s">
        <v>17</v>
      </c>
      <c r="C5470">
        <v>1299</v>
      </c>
      <c r="D5470">
        <v>23.38</v>
      </c>
      <c r="E5470">
        <v>4.21</v>
      </c>
      <c r="F5470">
        <f>COUNTIFS(mdr_rate_cleaned!$A$2:$A$10,B5470,mdr_rate_cleaned!$B$2:$B$10,"&lt;"&amp;C5470,mdr_rate_cleaned!$F$2:$F$10,"&gt;="&amp;C5470)</f>
        <v>1</v>
      </c>
      <c r="G5470">
        <v>1.7999999999999999E-2</v>
      </c>
      <c r="H5470">
        <v>23.38</v>
      </c>
      <c r="I5470" t="s">
        <v>15</v>
      </c>
      <c r="J5470" t="s">
        <v>15</v>
      </c>
      <c r="K5470">
        <v>4.21</v>
      </c>
      <c r="L5470">
        <v>0</v>
      </c>
    </row>
    <row r="5471" spans="1:12" x14ac:dyDescent="0.3">
      <c r="A5471" t="s">
        <v>5487</v>
      </c>
      <c r="B5471" t="s">
        <v>39</v>
      </c>
      <c r="C5471">
        <v>999</v>
      </c>
      <c r="D5471">
        <v>14.99</v>
      </c>
      <c r="E5471">
        <v>2.7</v>
      </c>
      <c r="F5471">
        <f>COUNTIFS(mdr_rate_cleaned!$A$2:$A$10,B5471,mdr_rate_cleaned!$B$2:$B$10,"&lt;"&amp;C5471,mdr_rate_cleaned!$F$2:$F$10,"&gt;="&amp;C5471)</f>
        <v>1</v>
      </c>
      <c r="G5471">
        <v>1.4999999999999999E-2</v>
      </c>
      <c r="H5471">
        <v>14.99</v>
      </c>
      <c r="I5471" t="s">
        <v>15</v>
      </c>
      <c r="J5471" t="s">
        <v>15</v>
      </c>
      <c r="K5471">
        <v>2.7</v>
      </c>
      <c r="L5471">
        <v>0</v>
      </c>
    </row>
    <row r="5472" spans="1:12" x14ac:dyDescent="0.3">
      <c r="A5472" t="s">
        <v>5488</v>
      </c>
      <c r="B5472" t="s">
        <v>21</v>
      </c>
      <c r="C5472">
        <v>599</v>
      </c>
      <c r="D5472">
        <v>0</v>
      </c>
      <c r="E5472">
        <v>0</v>
      </c>
      <c r="F5472">
        <f>COUNTIFS(mdr_rate_cleaned!$A$2:$A$10,B5472,mdr_rate_cleaned!$B$2:$B$10,"&lt;"&amp;C5472,mdr_rate_cleaned!$F$2:$F$10,"&gt;="&amp;C5472)</f>
        <v>1</v>
      </c>
      <c r="G5472">
        <v>0</v>
      </c>
      <c r="H5472">
        <v>0</v>
      </c>
      <c r="I5472" t="s">
        <v>15</v>
      </c>
      <c r="J5472" t="s">
        <v>15</v>
      </c>
      <c r="K5472">
        <v>0</v>
      </c>
      <c r="L5472">
        <v>0</v>
      </c>
    </row>
    <row r="5473" spans="1:12" x14ac:dyDescent="0.3">
      <c r="A5473" t="s">
        <v>5489</v>
      </c>
      <c r="B5473" t="s">
        <v>21</v>
      </c>
      <c r="C5473">
        <v>299</v>
      </c>
      <c r="D5473">
        <v>0</v>
      </c>
      <c r="E5473">
        <v>0</v>
      </c>
      <c r="F5473">
        <f>COUNTIFS(mdr_rate_cleaned!$A$2:$A$10,B5473,mdr_rate_cleaned!$B$2:$B$10,"&lt;"&amp;C5473,mdr_rate_cleaned!$F$2:$F$10,"&gt;="&amp;C5473)</f>
        <v>1</v>
      </c>
      <c r="G5473">
        <v>0</v>
      </c>
      <c r="H5473">
        <v>0</v>
      </c>
      <c r="I5473" t="s">
        <v>15</v>
      </c>
      <c r="J5473" t="s">
        <v>15</v>
      </c>
      <c r="K5473">
        <v>0</v>
      </c>
      <c r="L5473">
        <v>0</v>
      </c>
    </row>
    <row r="5474" spans="1:12" x14ac:dyDescent="0.3">
      <c r="A5474" t="s">
        <v>5490</v>
      </c>
      <c r="B5474" t="s">
        <v>21</v>
      </c>
      <c r="C5474">
        <v>499</v>
      </c>
      <c r="D5474">
        <v>0</v>
      </c>
      <c r="E5474">
        <v>0</v>
      </c>
      <c r="F5474">
        <f>COUNTIFS(mdr_rate_cleaned!$A$2:$A$10,B5474,mdr_rate_cleaned!$B$2:$B$10,"&lt;"&amp;C5474,mdr_rate_cleaned!$F$2:$F$10,"&gt;="&amp;C5474)</f>
        <v>1</v>
      </c>
      <c r="G5474">
        <v>0</v>
      </c>
      <c r="H5474">
        <v>0</v>
      </c>
      <c r="I5474" t="s">
        <v>15</v>
      </c>
      <c r="J5474" t="s">
        <v>15</v>
      </c>
      <c r="K5474">
        <v>0</v>
      </c>
      <c r="L5474">
        <v>0</v>
      </c>
    </row>
    <row r="5475" spans="1:12" x14ac:dyDescent="0.3">
      <c r="A5475" t="s">
        <v>5491</v>
      </c>
      <c r="B5475" t="s">
        <v>39</v>
      </c>
      <c r="C5475">
        <v>999</v>
      </c>
      <c r="D5475">
        <v>14.99</v>
      </c>
      <c r="E5475">
        <v>2.7</v>
      </c>
      <c r="F5475">
        <f>COUNTIFS(mdr_rate_cleaned!$A$2:$A$10,B5475,mdr_rate_cleaned!$B$2:$B$10,"&lt;"&amp;C5475,mdr_rate_cleaned!$F$2:$F$10,"&gt;="&amp;C5475)</f>
        <v>1</v>
      </c>
      <c r="G5475">
        <v>1.4999999999999999E-2</v>
      </c>
      <c r="H5475">
        <v>14.99</v>
      </c>
      <c r="I5475" t="s">
        <v>15</v>
      </c>
      <c r="J5475" t="s">
        <v>15</v>
      </c>
      <c r="K5475">
        <v>2.7</v>
      </c>
      <c r="L5475">
        <v>0</v>
      </c>
    </row>
    <row r="5476" spans="1:12" x14ac:dyDescent="0.3">
      <c r="A5476" t="s">
        <v>5492</v>
      </c>
      <c r="B5476" t="s">
        <v>17</v>
      </c>
      <c r="C5476">
        <v>3498</v>
      </c>
      <c r="D5476">
        <v>55.97</v>
      </c>
      <c r="E5476">
        <v>10.07</v>
      </c>
      <c r="F5476">
        <f>COUNTIFS(mdr_rate_cleaned!$A$2:$A$10,B5476,mdr_rate_cleaned!$B$2:$B$10,"&lt;"&amp;C5476,mdr_rate_cleaned!$F$2:$F$10,"&gt;="&amp;C5476)</f>
        <v>1</v>
      </c>
      <c r="G5476">
        <v>1.6E-2</v>
      </c>
      <c r="H5476">
        <v>55.97</v>
      </c>
      <c r="I5476" t="s">
        <v>15</v>
      </c>
      <c r="J5476" t="s">
        <v>15</v>
      </c>
      <c r="K5476">
        <v>10.07</v>
      </c>
      <c r="L5476">
        <v>0</v>
      </c>
    </row>
    <row r="5477" spans="1:12" x14ac:dyDescent="0.3">
      <c r="A5477" t="s">
        <v>5493</v>
      </c>
      <c r="B5477" t="s">
        <v>21</v>
      </c>
      <c r="C5477">
        <v>648</v>
      </c>
      <c r="D5477">
        <v>0</v>
      </c>
      <c r="E5477">
        <v>0</v>
      </c>
      <c r="F5477">
        <f>COUNTIFS(mdr_rate_cleaned!$A$2:$A$10,B5477,mdr_rate_cleaned!$B$2:$B$10,"&lt;"&amp;C5477,mdr_rate_cleaned!$F$2:$F$10,"&gt;="&amp;C5477)</f>
        <v>1</v>
      </c>
      <c r="G5477">
        <v>0</v>
      </c>
      <c r="H5477">
        <v>0</v>
      </c>
      <c r="I5477" t="s">
        <v>15</v>
      </c>
      <c r="J5477" t="s">
        <v>15</v>
      </c>
      <c r="K5477">
        <v>0</v>
      </c>
      <c r="L5477">
        <v>0</v>
      </c>
    </row>
    <row r="5478" spans="1:12" x14ac:dyDescent="0.3">
      <c r="A5478" t="s">
        <v>5494</v>
      </c>
      <c r="B5478" t="s">
        <v>21</v>
      </c>
      <c r="C5478">
        <v>4498</v>
      </c>
      <c r="D5478">
        <v>13.49</v>
      </c>
      <c r="E5478">
        <v>2.4300000000000002</v>
      </c>
      <c r="F5478">
        <f>COUNTIFS(mdr_rate_cleaned!$A$2:$A$10,B5478,mdr_rate_cleaned!$B$2:$B$10,"&lt;"&amp;C5478,mdr_rate_cleaned!$F$2:$F$10,"&gt;="&amp;C5478)</f>
        <v>1</v>
      </c>
      <c r="G5478">
        <v>3.0000000000000001E-3</v>
      </c>
      <c r="H5478">
        <v>13.49</v>
      </c>
      <c r="I5478" t="s">
        <v>15</v>
      </c>
      <c r="J5478" t="s">
        <v>15</v>
      </c>
      <c r="K5478">
        <v>2.4300000000000002</v>
      </c>
      <c r="L5478">
        <v>0</v>
      </c>
    </row>
    <row r="5479" spans="1:12" x14ac:dyDescent="0.3">
      <c r="A5479" t="s">
        <v>5495</v>
      </c>
      <c r="B5479" t="s">
        <v>39</v>
      </c>
      <c r="C5479">
        <v>6797</v>
      </c>
      <c r="D5479">
        <v>81.56</v>
      </c>
      <c r="E5479">
        <v>14.68</v>
      </c>
      <c r="F5479">
        <f>COUNTIFS(mdr_rate_cleaned!$A$2:$A$10,B5479,mdr_rate_cleaned!$B$2:$B$10,"&lt;"&amp;C5479,mdr_rate_cleaned!$F$2:$F$10,"&gt;="&amp;C5479)</f>
        <v>1</v>
      </c>
      <c r="G5479">
        <v>1.2E-2</v>
      </c>
      <c r="H5479">
        <v>81.56</v>
      </c>
      <c r="I5479" t="s">
        <v>15</v>
      </c>
      <c r="J5479" t="s">
        <v>15</v>
      </c>
      <c r="K5479">
        <v>14.68</v>
      </c>
      <c r="L5479">
        <v>0</v>
      </c>
    </row>
    <row r="5480" spans="1:12" x14ac:dyDescent="0.3">
      <c r="A5480" t="s">
        <v>5496</v>
      </c>
      <c r="B5480" t="s">
        <v>13</v>
      </c>
      <c r="C5480">
        <v>2897</v>
      </c>
      <c r="D5480">
        <v>49.25</v>
      </c>
      <c r="E5480">
        <v>8.8699999999999992</v>
      </c>
      <c r="F5480">
        <f>COUNTIFS(mdr_rate_cleaned!$A$2:$A$10,B5480,mdr_rate_cleaned!$B$2:$B$10,"&lt;"&amp;C5480,mdr_rate_cleaned!$F$2:$F$10,"&gt;="&amp;C5480)</f>
        <v>1</v>
      </c>
      <c r="G5480">
        <v>1.7000000000000001E-2</v>
      </c>
      <c r="H5480">
        <v>49.25</v>
      </c>
      <c r="I5480" t="s">
        <v>15</v>
      </c>
      <c r="J5480" t="s">
        <v>15</v>
      </c>
      <c r="K5480">
        <v>8.8699999999999992</v>
      </c>
      <c r="L5480">
        <v>0</v>
      </c>
    </row>
    <row r="5481" spans="1:12" x14ac:dyDescent="0.3">
      <c r="A5481" t="s">
        <v>5497</v>
      </c>
      <c r="B5481" t="s">
        <v>21</v>
      </c>
      <c r="C5481">
        <v>2499</v>
      </c>
      <c r="D5481">
        <v>7.5</v>
      </c>
      <c r="E5481">
        <v>1.35</v>
      </c>
      <c r="F5481">
        <f>COUNTIFS(mdr_rate_cleaned!$A$2:$A$10,B5481,mdr_rate_cleaned!$B$2:$B$10,"&lt;"&amp;C5481,mdr_rate_cleaned!$F$2:$F$10,"&gt;="&amp;C5481)</f>
        <v>1</v>
      </c>
      <c r="G5481">
        <v>3.0000000000000001E-3</v>
      </c>
      <c r="H5481">
        <v>7.5</v>
      </c>
      <c r="I5481" t="s">
        <v>15</v>
      </c>
      <c r="J5481" t="s">
        <v>15</v>
      </c>
      <c r="K5481">
        <v>1.35</v>
      </c>
      <c r="L5481">
        <v>0</v>
      </c>
    </row>
    <row r="5482" spans="1:12" x14ac:dyDescent="0.3">
      <c r="A5482" t="s">
        <v>5498</v>
      </c>
      <c r="B5482" t="s">
        <v>13</v>
      </c>
      <c r="C5482">
        <v>2398</v>
      </c>
      <c r="D5482">
        <v>57.55</v>
      </c>
      <c r="E5482">
        <v>10.36</v>
      </c>
      <c r="F5482">
        <f>COUNTIFS(mdr_rate_cleaned!$A$2:$A$10,B5482,mdr_rate_cleaned!$B$2:$B$10,"&lt;"&amp;C5482,mdr_rate_cleaned!$F$2:$F$10,"&gt;="&amp;C5482)</f>
        <v>1</v>
      </c>
      <c r="G5482">
        <v>1.7000000000000001E-2</v>
      </c>
      <c r="H5482">
        <v>40.770000000000003</v>
      </c>
      <c r="I5482" t="s">
        <v>14</v>
      </c>
      <c r="J5482" t="s">
        <v>15</v>
      </c>
      <c r="K5482">
        <v>7.34</v>
      </c>
      <c r="L5482">
        <v>19.8</v>
      </c>
    </row>
    <row r="5483" spans="1:12" x14ac:dyDescent="0.3">
      <c r="A5483" t="s">
        <v>5499</v>
      </c>
      <c r="B5483" t="s">
        <v>21</v>
      </c>
      <c r="C5483">
        <v>999</v>
      </c>
      <c r="D5483">
        <v>0</v>
      </c>
      <c r="E5483">
        <v>0</v>
      </c>
      <c r="F5483">
        <f>COUNTIFS(mdr_rate_cleaned!$A$2:$A$10,B5483,mdr_rate_cleaned!$B$2:$B$10,"&lt;"&amp;C5483,mdr_rate_cleaned!$F$2:$F$10,"&gt;="&amp;C5483)</f>
        <v>1</v>
      </c>
      <c r="G5483">
        <v>0</v>
      </c>
      <c r="H5483">
        <v>0</v>
      </c>
      <c r="I5483" t="s">
        <v>15</v>
      </c>
      <c r="J5483" t="s">
        <v>15</v>
      </c>
      <c r="K5483">
        <v>0</v>
      </c>
      <c r="L5483">
        <v>0</v>
      </c>
    </row>
    <row r="5484" spans="1:12" x14ac:dyDescent="0.3">
      <c r="A5484" t="s">
        <v>5500</v>
      </c>
      <c r="B5484" t="s">
        <v>13</v>
      </c>
      <c r="C5484">
        <v>1799</v>
      </c>
      <c r="D5484">
        <v>34.18</v>
      </c>
      <c r="E5484">
        <v>6.15</v>
      </c>
      <c r="F5484">
        <f>COUNTIFS(mdr_rate_cleaned!$A$2:$A$10,B5484,mdr_rate_cleaned!$B$2:$B$10,"&lt;"&amp;C5484,mdr_rate_cleaned!$F$2:$F$10,"&gt;="&amp;C5484)</f>
        <v>1</v>
      </c>
      <c r="G5484">
        <v>1.9E-2</v>
      </c>
      <c r="H5484">
        <v>34.18</v>
      </c>
      <c r="I5484" t="s">
        <v>15</v>
      </c>
      <c r="J5484" t="s">
        <v>15</v>
      </c>
      <c r="K5484">
        <v>6.15</v>
      </c>
      <c r="L5484">
        <v>0</v>
      </c>
    </row>
    <row r="5485" spans="1:12" x14ac:dyDescent="0.3">
      <c r="A5485" t="s">
        <v>5501</v>
      </c>
      <c r="B5485" t="s">
        <v>21</v>
      </c>
      <c r="C5485">
        <v>599</v>
      </c>
      <c r="D5485">
        <v>0</v>
      </c>
      <c r="E5485">
        <v>0</v>
      </c>
      <c r="F5485">
        <f>COUNTIFS(mdr_rate_cleaned!$A$2:$A$10,B5485,mdr_rate_cleaned!$B$2:$B$10,"&lt;"&amp;C5485,mdr_rate_cleaned!$F$2:$F$10,"&gt;="&amp;C5485)</f>
        <v>1</v>
      </c>
      <c r="G5485">
        <v>0</v>
      </c>
      <c r="H5485">
        <v>0</v>
      </c>
      <c r="I5485" t="s">
        <v>15</v>
      </c>
      <c r="J5485" t="s">
        <v>15</v>
      </c>
      <c r="K5485">
        <v>0</v>
      </c>
      <c r="L5485">
        <v>0</v>
      </c>
    </row>
    <row r="5486" spans="1:12" x14ac:dyDescent="0.3">
      <c r="A5486" t="s">
        <v>5502</v>
      </c>
      <c r="B5486" t="s">
        <v>17</v>
      </c>
      <c r="C5486">
        <v>3499</v>
      </c>
      <c r="D5486">
        <v>55.98</v>
      </c>
      <c r="E5486">
        <v>10.08</v>
      </c>
      <c r="F5486">
        <f>COUNTIFS(mdr_rate_cleaned!$A$2:$A$10,B5486,mdr_rate_cleaned!$B$2:$B$10,"&lt;"&amp;C5486,mdr_rate_cleaned!$F$2:$F$10,"&gt;="&amp;C5486)</f>
        <v>1</v>
      </c>
      <c r="G5486">
        <v>1.6E-2</v>
      </c>
      <c r="H5486">
        <v>55.98</v>
      </c>
      <c r="I5486" t="s">
        <v>15</v>
      </c>
      <c r="J5486" t="s">
        <v>15</v>
      </c>
      <c r="K5486">
        <v>10.08</v>
      </c>
      <c r="L5486">
        <v>0</v>
      </c>
    </row>
    <row r="5487" spans="1:12" x14ac:dyDescent="0.3">
      <c r="A5487" t="s">
        <v>5503</v>
      </c>
      <c r="B5487" t="s">
        <v>17</v>
      </c>
      <c r="C5487">
        <v>3499</v>
      </c>
      <c r="D5487">
        <v>55.98</v>
      </c>
      <c r="E5487">
        <v>10.08</v>
      </c>
      <c r="F5487">
        <f>COUNTIFS(mdr_rate_cleaned!$A$2:$A$10,B5487,mdr_rate_cleaned!$B$2:$B$10,"&lt;"&amp;C5487,mdr_rate_cleaned!$F$2:$F$10,"&gt;="&amp;C5487)</f>
        <v>1</v>
      </c>
      <c r="G5487">
        <v>1.6E-2</v>
      </c>
      <c r="H5487">
        <v>55.98</v>
      </c>
      <c r="I5487" t="s">
        <v>15</v>
      </c>
      <c r="J5487" t="s">
        <v>15</v>
      </c>
      <c r="K5487">
        <v>10.08</v>
      </c>
      <c r="L5487">
        <v>0</v>
      </c>
    </row>
    <row r="5488" spans="1:12" x14ac:dyDescent="0.3">
      <c r="A5488" t="s">
        <v>5504</v>
      </c>
      <c r="B5488" t="s">
        <v>21</v>
      </c>
      <c r="C5488">
        <v>599</v>
      </c>
      <c r="D5488">
        <v>0</v>
      </c>
      <c r="E5488">
        <v>0</v>
      </c>
      <c r="F5488">
        <f>COUNTIFS(mdr_rate_cleaned!$A$2:$A$10,B5488,mdr_rate_cleaned!$B$2:$B$10,"&lt;"&amp;C5488,mdr_rate_cleaned!$F$2:$F$10,"&gt;="&amp;C5488)</f>
        <v>1</v>
      </c>
      <c r="G5488">
        <v>0</v>
      </c>
      <c r="H5488">
        <v>0</v>
      </c>
      <c r="I5488" t="s">
        <v>15</v>
      </c>
      <c r="J5488" t="s">
        <v>15</v>
      </c>
      <c r="K5488">
        <v>0</v>
      </c>
      <c r="L5488">
        <v>0</v>
      </c>
    </row>
    <row r="5489" spans="1:12" x14ac:dyDescent="0.3">
      <c r="A5489" t="s">
        <v>5505</v>
      </c>
      <c r="B5489" t="s">
        <v>17</v>
      </c>
      <c r="C5489">
        <v>3098</v>
      </c>
      <c r="D5489">
        <v>49.57</v>
      </c>
      <c r="E5489">
        <v>8.92</v>
      </c>
      <c r="F5489">
        <f>COUNTIFS(mdr_rate_cleaned!$A$2:$A$10,B5489,mdr_rate_cleaned!$B$2:$B$10,"&lt;"&amp;C5489,mdr_rate_cleaned!$F$2:$F$10,"&gt;="&amp;C5489)</f>
        <v>1</v>
      </c>
      <c r="G5489">
        <v>1.6E-2</v>
      </c>
      <c r="H5489">
        <v>49.57</v>
      </c>
      <c r="I5489" t="s">
        <v>15</v>
      </c>
      <c r="J5489" t="s">
        <v>15</v>
      </c>
      <c r="K5489">
        <v>8.92</v>
      </c>
      <c r="L5489">
        <v>0</v>
      </c>
    </row>
    <row r="5490" spans="1:12" x14ac:dyDescent="0.3">
      <c r="A5490" t="s">
        <v>5506</v>
      </c>
      <c r="B5490" t="s">
        <v>21</v>
      </c>
      <c r="C5490">
        <v>7097</v>
      </c>
      <c r="D5490">
        <v>21.29</v>
      </c>
      <c r="E5490">
        <v>3.83</v>
      </c>
      <c r="F5490">
        <f>COUNTIFS(mdr_rate_cleaned!$A$2:$A$10,B5490,mdr_rate_cleaned!$B$2:$B$10,"&lt;"&amp;C5490,mdr_rate_cleaned!$F$2:$F$10,"&gt;="&amp;C5490)</f>
        <v>1</v>
      </c>
      <c r="G5490">
        <v>3.0000000000000001E-3</v>
      </c>
      <c r="H5490">
        <v>21.29</v>
      </c>
      <c r="I5490" t="s">
        <v>15</v>
      </c>
      <c r="J5490" t="s">
        <v>15</v>
      </c>
      <c r="K5490">
        <v>3.83</v>
      </c>
      <c r="L5490">
        <v>0</v>
      </c>
    </row>
    <row r="5491" spans="1:12" x14ac:dyDescent="0.3">
      <c r="A5491" t="s">
        <v>5507</v>
      </c>
      <c r="B5491" t="s">
        <v>17</v>
      </c>
      <c r="C5491">
        <v>7999</v>
      </c>
      <c r="D5491">
        <v>127.98</v>
      </c>
      <c r="E5491">
        <v>23.04</v>
      </c>
      <c r="F5491">
        <f>COUNTIFS(mdr_rate_cleaned!$A$2:$A$10,B5491,mdr_rate_cleaned!$B$2:$B$10,"&lt;"&amp;C5491,mdr_rate_cleaned!$F$2:$F$10,"&gt;="&amp;C5491)</f>
        <v>1</v>
      </c>
      <c r="G5491">
        <v>1.6E-2</v>
      </c>
      <c r="H5491">
        <v>127.98</v>
      </c>
      <c r="I5491" t="s">
        <v>15</v>
      </c>
      <c r="J5491" t="s">
        <v>15</v>
      </c>
      <c r="K5491">
        <v>23.04</v>
      </c>
      <c r="L5491">
        <v>0</v>
      </c>
    </row>
    <row r="5492" spans="1:12" x14ac:dyDescent="0.3">
      <c r="A5492" t="s">
        <v>5508</v>
      </c>
      <c r="B5492" t="s">
        <v>21</v>
      </c>
      <c r="C5492">
        <v>1499</v>
      </c>
      <c r="D5492">
        <v>0</v>
      </c>
      <c r="E5492">
        <v>0</v>
      </c>
      <c r="F5492">
        <f>COUNTIFS(mdr_rate_cleaned!$A$2:$A$10,B5492,mdr_rate_cleaned!$B$2:$B$10,"&lt;"&amp;C5492,mdr_rate_cleaned!$F$2:$F$10,"&gt;="&amp;C5492)</f>
        <v>1</v>
      </c>
      <c r="G5492">
        <v>0</v>
      </c>
      <c r="H5492">
        <v>0</v>
      </c>
      <c r="I5492" t="s">
        <v>15</v>
      </c>
      <c r="J5492" t="s">
        <v>15</v>
      </c>
      <c r="K5492">
        <v>0</v>
      </c>
      <c r="L5492">
        <v>0</v>
      </c>
    </row>
    <row r="5493" spans="1:12" x14ac:dyDescent="0.3">
      <c r="A5493" t="s">
        <v>5509</v>
      </c>
      <c r="B5493" t="s">
        <v>21</v>
      </c>
      <c r="C5493">
        <v>2999</v>
      </c>
      <c r="D5493">
        <v>9</v>
      </c>
      <c r="E5493">
        <v>1.62</v>
      </c>
      <c r="F5493">
        <f>COUNTIFS(mdr_rate_cleaned!$A$2:$A$10,B5493,mdr_rate_cleaned!$B$2:$B$10,"&lt;"&amp;C5493,mdr_rate_cleaned!$F$2:$F$10,"&gt;="&amp;C5493)</f>
        <v>1</v>
      </c>
      <c r="G5493">
        <v>3.0000000000000001E-3</v>
      </c>
      <c r="H5493">
        <v>9</v>
      </c>
      <c r="I5493" t="s">
        <v>15</v>
      </c>
      <c r="J5493" t="s">
        <v>15</v>
      </c>
      <c r="K5493">
        <v>1.62</v>
      </c>
      <c r="L5493">
        <v>0</v>
      </c>
    </row>
    <row r="5494" spans="1:12" x14ac:dyDescent="0.3">
      <c r="A5494" t="s">
        <v>5510</v>
      </c>
      <c r="B5494" t="s">
        <v>21</v>
      </c>
      <c r="C5494">
        <v>499</v>
      </c>
      <c r="D5494">
        <v>0</v>
      </c>
      <c r="E5494">
        <v>0</v>
      </c>
      <c r="F5494">
        <f>COUNTIFS(mdr_rate_cleaned!$A$2:$A$10,B5494,mdr_rate_cleaned!$B$2:$B$10,"&lt;"&amp;C5494,mdr_rate_cleaned!$F$2:$F$10,"&gt;="&amp;C5494)</f>
        <v>1</v>
      </c>
      <c r="G5494">
        <v>0</v>
      </c>
      <c r="H5494">
        <v>0</v>
      </c>
      <c r="I5494" t="s">
        <v>15</v>
      </c>
      <c r="J5494" t="s">
        <v>15</v>
      </c>
      <c r="K5494">
        <v>0</v>
      </c>
      <c r="L5494">
        <v>0</v>
      </c>
    </row>
    <row r="5495" spans="1:12" x14ac:dyDescent="0.3">
      <c r="A5495" t="s">
        <v>5511</v>
      </c>
      <c r="B5495" t="s">
        <v>17</v>
      </c>
      <c r="C5495">
        <v>299</v>
      </c>
      <c r="D5495">
        <v>5.38</v>
      </c>
      <c r="E5495">
        <v>0.97</v>
      </c>
      <c r="F5495">
        <f>COUNTIFS(mdr_rate_cleaned!$A$2:$A$10,B5495,mdr_rate_cleaned!$B$2:$B$10,"&lt;"&amp;C5495,mdr_rate_cleaned!$F$2:$F$10,"&gt;="&amp;C5495)</f>
        <v>1</v>
      </c>
      <c r="G5495">
        <v>1.7999999999999999E-2</v>
      </c>
      <c r="H5495">
        <v>5.38</v>
      </c>
      <c r="I5495" t="s">
        <v>15</v>
      </c>
      <c r="J5495" t="s">
        <v>15</v>
      </c>
      <c r="K5495">
        <v>0.97</v>
      </c>
      <c r="L5495">
        <v>0</v>
      </c>
    </row>
    <row r="5496" spans="1:12" x14ac:dyDescent="0.3">
      <c r="A5496" t="s">
        <v>5512</v>
      </c>
      <c r="B5496" t="s">
        <v>39</v>
      </c>
      <c r="C5496">
        <v>2499</v>
      </c>
      <c r="D5496">
        <v>29.99</v>
      </c>
      <c r="E5496">
        <v>5.4</v>
      </c>
      <c r="F5496">
        <f>COUNTIFS(mdr_rate_cleaned!$A$2:$A$10,B5496,mdr_rate_cleaned!$B$2:$B$10,"&lt;"&amp;C5496,mdr_rate_cleaned!$F$2:$F$10,"&gt;="&amp;C5496)</f>
        <v>1</v>
      </c>
      <c r="G5496">
        <v>1.2E-2</v>
      </c>
      <c r="H5496">
        <v>29.99</v>
      </c>
      <c r="I5496" t="s">
        <v>15</v>
      </c>
      <c r="J5496" t="s">
        <v>15</v>
      </c>
      <c r="K5496">
        <v>5.4</v>
      </c>
      <c r="L5496">
        <v>0</v>
      </c>
    </row>
    <row r="5497" spans="1:12" x14ac:dyDescent="0.3">
      <c r="A5497" t="s">
        <v>5513</v>
      </c>
      <c r="B5497" t="s">
        <v>13</v>
      </c>
      <c r="C5497">
        <v>999</v>
      </c>
      <c r="D5497">
        <v>18.98</v>
      </c>
      <c r="E5497">
        <v>3.42</v>
      </c>
      <c r="F5497">
        <f>COUNTIFS(mdr_rate_cleaned!$A$2:$A$10,B5497,mdr_rate_cleaned!$B$2:$B$10,"&lt;"&amp;C5497,mdr_rate_cleaned!$F$2:$F$10,"&gt;="&amp;C5497)</f>
        <v>1</v>
      </c>
      <c r="G5497">
        <v>1.9E-2</v>
      </c>
      <c r="H5497">
        <v>18.98</v>
      </c>
      <c r="I5497" t="s">
        <v>15</v>
      </c>
      <c r="J5497" t="s">
        <v>15</v>
      </c>
      <c r="K5497">
        <v>3.42</v>
      </c>
      <c r="L5497">
        <v>0</v>
      </c>
    </row>
    <row r="5498" spans="1:12" x14ac:dyDescent="0.3">
      <c r="A5498" t="s">
        <v>5514</v>
      </c>
      <c r="B5498" t="s">
        <v>39</v>
      </c>
      <c r="C5498">
        <v>349</v>
      </c>
      <c r="D5498">
        <v>5.24</v>
      </c>
      <c r="E5498">
        <v>0.94</v>
      </c>
      <c r="F5498">
        <f>COUNTIFS(mdr_rate_cleaned!$A$2:$A$10,B5498,mdr_rate_cleaned!$B$2:$B$10,"&lt;"&amp;C5498,mdr_rate_cleaned!$F$2:$F$10,"&gt;="&amp;C5498)</f>
        <v>1</v>
      </c>
      <c r="G5498">
        <v>1.4999999999999999E-2</v>
      </c>
      <c r="H5498">
        <v>5.24</v>
      </c>
      <c r="I5498" t="s">
        <v>15</v>
      </c>
      <c r="J5498" t="s">
        <v>15</v>
      </c>
      <c r="K5498">
        <v>0.94</v>
      </c>
      <c r="L5498">
        <v>0</v>
      </c>
    </row>
    <row r="5499" spans="1:12" x14ac:dyDescent="0.3">
      <c r="A5499" t="s">
        <v>5515</v>
      </c>
      <c r="B5499" t="s">
        <v>17</v>
      </c>
      <c r="C5499">
        <v>2999</v>
      </c>
      <c r="D5499">
        <v>47.98</v>
      </c>
      <c r="E5499">
        <v>8.64</v>
      </c>
      <c r="F5499">
        <f>COUNTIFS(mdr_rate_cleaned!$A$2:$A$10,B5499,mdr_rate_cleaned!$B$2:$B$10,"&lt;"&amp;C5499,mdr_rate_cleaned!$F$2:$F$10,"&gt;="&amp;C5499)</f>
        <v>1</v>
      </c>
      <c r="G5499">
        <v>1.6E-2</v>
      </c>
      <c r="H5499">
        <v>47.98</v>
      </c>
      <c r="I5499" t="s">
        <v>15</v>
      </c>
      <c r="J5499" t="s">
        <v>15</v>
      </c>
      <c r="K5499">
        <v>8.64</v>
      </c>
      <c r="L5499">
        <v>0</v>
      </c>
    </row>
    <row r="5500" spans="1:12" x14ac:dyDescent="0.3">
      <c r="A5500" t="s">
        <v>5516</v>
      </c>
      <c r="B5500" t="s">
        <v>21</v>
      </c>
      <c r="C5500">
        <v>599</v>
      </c>
      <c r="D5500">
        <v>0</v>
      </c>
      <c r="E5500">
        <v>0</v>
      </c>
      <c r="F5500">
        <f>COUNTIFS(mdr_rate_cleaned!$A$2:$A$10,B5500,mdr_rate_cleaned!$B$2:$B$10,"&lt;"&amp;C5500,mdr_rate_cleaned!$F$2:$F$10,"&gt;="&amp;C5500)</f>
        <v>1</v>
      </c>
      <c r="G5500">
        <v>0</v>
      </c>
      <c r="H5500">
        <v>0</v>
      </c>
      <c r="I5500" t="s">
        <v>15</v>
      </c>
      <c r="J5500" t="s">
        <v>15</v>
      </c>
      <c r="K5500">
        <v>0</v>
      </c>
      <c r="L55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mdr_rate</vt:lpstr>
      <vt:lpstr>mdr_rate_cleaned</vt:lpstr>
      <vt:lpstr>mdr_test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KRISHNAN</dc:creator>
  <cp:lastModifiedBy>SRI KRISHNAN</cp:lastModifiedBy>
  <dcterms:created xsi:type="dcterms:W3CDTF">2015-06-05T18:17:20Z</dcterms:created>
  <dcterms:modified xsi:type="dcterms:W3CDTF">2026-10-21T13:43:22Z</dcterms:modified>
</cp:coreProperties>
</file>